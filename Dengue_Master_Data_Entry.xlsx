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pi.box.com/wopi/files/2403666705486/WOPIServiceId_TP_BOX_2/WOPIUserId_-/"/>
    </mc:Choice>
  </mc:AlternateContent>
  <xr:revisionPtr revIDLastSave="50" documentId="13_ncr:1_{DE35AB6C-3054-481C-93FD-D4652C9775A8}" xr6:coauthVersionLast="47" xr6:coauthVersionMax="47" xr10:uidLastSave="{8D88D9D5-EB22-48D3-B60A-3A9F2CBB24F3}"/>
  <bookViews>
    <workbookView xWindow="-108" yWindow="-108" windowWidth="23256" windowHeight="13896" tabRatio="500" firstSheet="4" activeTab="5" xr2:uid="{00000000-000D-0000-FFFF-FFFF00000000}"/>
  </bookViews>
  <sheets>
    <sheet name="README" sheetId="1" r:id="rId1"/>
    <sheet name="Lookup_Lists" sheetId="2" r:id="rId2"/>
    <sheet name="Population_by_Province_Year" sheetId="3" r:id="rId3"/>
    <sheet name="National_Monthly_Entry" sheetId="4" r:id="rId4"/>
    <sheet name="QA_Checklist" sheetId="5" r:id="rId5"/>
    <sheet name="National_AgeGroup_Entry" sheetId="6" r:id="rId6"/>
  </sheets>
  <definedNames>
    <definedName name="_xlnm._FilterDatabase" localSheetId="5" hidden="1">National_AgeGroup_Entry!$A$4:$H$43</definedName>
    <definedName name="_xlnm._FilterDatabase" localSheetId="3" hidden="1">National_Monthly_Entry!$A$4:$H$2371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6" l="1"/>
  <c r="E42" i="6"/>
  <c r="E41" i="6"/>
  <c r="E40" i="6"/>
  <c r="E39" i="6"/>
  <c r="E38" i="6"/>
  <c r="E37" i="6"/>
  <c r="E36" i="6"/>
  <c r="E35" i="6"/>
  <c r="E34" i="6"/>
  <c r="E33" i="6"/>
  <c r="E32" i="6"/>
  <c r="E31" i="6"/>
  <c r="E30" i="6"/>
  <c r="E29" i="6"/>
  <c r="E28" i="6"/>
  <c r="E27" i="6"/>
  <c r="E26" i="6"/>
  <c r="E25" i="6"/>
  <c r="E24" i="6"/>
  <c r="E23" i="6"/>
  <c r="E22" i="6"/>
  <c r="E21" i="6"/>
  <c r="E20" i="6"/>
  <c r="E19" i="6"/>
  <c r="E18" i="6"/>
  <c r="E17" i="6"/>
  <c r="E16" i="6"/>
  <c r="E8" i="6"/>
  <c r="E7" i="6"/>
  <c r="E6" i="6"/>
  <c r="E5" i="6"/>
  <c r="D12" i="5"/>
  <c r="D11" i="5"/>
  <c r="D10" i="5"/>
  <c r="D9" i="5"/>
  <c r="D6" i="5"/>
  <c r="D5" i="5"/>
  <c r="G2371" i="4"/>
  <c r="H2371" i="4" s="1"/>
  <c r="F2371" i="4"/>
  <c r="G2370" i="4"/>
  <c r="H2370" i="4" s="1"/>
  <c r="F2370" i="4"/>
  <c r="G2369" i="4"/>
  <c r="H2369" i="4" s="1"/>
  <c r="F2369" i="4"/>
  <c r="G2368" i="4"/>
  <c r="H2368" i="4" s="1"/>
  <c r="F2368" i="4"/>
  <c r="G2367" i="4"/>
  <c r="H2367" i="4" s="1"/>
  <c r="F2367" i="4"/>
  <c r="G2366" i="4"/>
  <c r="H2366" i="4" s="1"/>
  <c r="F2366" i="4"/>
  <c r="G2365" i="4"/>
  <c r="H2365" i="4" s="1"/>
  <c r="F2365" i="4"/>
  <c r="G2364" i="4"/>
  <c r="H2364" i="4" s="1"/>
  <c r="F2364" i="4"/>
  <c r="G2363" i="4"/>
  <c r="H2363" i="4" s="1"/>
  <c r="F2363" i="4"/>
  <c r="G2362" i="4"/>
  <c r="H2362" i="4" s="1"/>
  <c r="F2362" i="4"/>
  <c r="G2361" i="4"/>
  <c r="H2361" i="4" s="1"/>
  <c r="F2361" i="4"/>
  <c r="G2360" i="4"/>
  <c r="H2360" i="4" s="1"/>
  <c r="F2360" i="4"/>
  <c r="G2359" i="4"/>
  <c r="H2359" i="4" s="1"/>
  <c r="F2359" i="4"/>
  <c r="G2358" i="4"/>
  <c r="H2358" i="4" s="1"/>
  <c r="F2358" i="4"/>
  <c r="G2357" i="4"/>
  <c r="H2357" i="4" s="1"/>
  <c r="F2357" i="4"/>
  <c r="G2356" i="4"/>
  <c r="H2356" i="4" s="1"/>
  <c r="F2356" i="4"/>
  <c r="G2355" i="4"/>
  <c r="H2355" i="4" s="1"/>
  <c r="F2355" i="4"/>
  <c r="G2354" i="4"/>
  <c r="H2354" i="4" s="1"/>
  <c r="F2354" i="4"/>
  <c r="G2353" i="4"/>
  <c r="H2353" i="4" s="1"/>
  <c r="F2353" i="4"/>
  <c r="G2352" i="4"/>
  <c r="H2352" i="4" s="1"/>
  <c r="F2352" i="4"/>
  <c r="G2351" i="4"/>
  <c r="H2351" i="4" s="1"/>
  <c r="F2351" i="4"/>
  <c r="G2350" i="4"/>
  <c r="H2350" i="4" s="1"/>
  <c r="F2350" i="4"/>
  <c r="G2349" i="4"/>
  <c r="H2349" i="4" s="1"/>
  <c r="F2349" i="4"/>
  <c r="G2348" i="4"/>
  <c r="H2348" i="4" s="1"/>
  <c r="F2348" i="4"/>
  <c r="G2347" i="4"/>
  <c r="H2347" i="4" s="1"/>
  <c r="F2347" i="4"/>
  <c r="G1785" i="4"/>
  <c r="H1785" i="4" s="1"/>
  <c r="F1785" i="4"/>
  <c r="G1784" i="4"/>
  <c r="H1784" i="4" s="1"/>
  <c r="F1784" i="4"/>
  <c r="G1783" i="4"/>
  <c r="H1783" i="4" s="1"/>
  <c r="F1783" i="4"/>
  <c r="G1782" i="4"/>
  <c r="H1782" i="4" s="1"/>
  <c r="F1782" i="4"/>
  <c r="G1781" i="4"/>
  <c r="H1781" i="4" s="1"/>
  <c r="F1781" i="4"/>
  <c r="G1780" i="4"/>
  <c r="H1780" i="4" s="1"/>
  <c r="F1780" i="4"/>
  <c r="G1779" i="4"/>
  <c r="H1779" i="4" s="1"/>
  <c r="F1779" i="4"/>
  <c r="G1778" i="4"/>
  <c r="H1778" i="4" s="1"/>
  <c r="F1778" i="4"/>
  <c r="G1777" i="4"/>
  <c r="H1777" i="4" s="1"/>
  <c r="F1777" i="4"/>
  <c r="G1776" i="4"/>
  <c r="H1776" i="4" s="1"/>
  <c r="F1776" i="4"/>
  <c r="G1775" i="4"/>
  <c r="H1775" i="4" s="1"/>
  <c r="F1775" i="4"/>
  <c r="G1774" i="4"/>
  <c r="H1774" i="4" s="1"/>
  <c r="F1774" i="4"/>
  <c r="G1773" i="4"/>
  <c r="H1773" i="4" s="1"/>
  <c r="F1773" i="4"/>
  <c r="G1772" i="4"/>
  <c r="H1772" i="4" s="1"/>
  <c r="F1772" i="4"/>
  <c r="G1771" i="4"/>
  <c r="H1771" i="4" s="1"/>
  <c r="F1771" i="4"/>
  <c r="G1770" i="4"/>
  <c r="H1770" i="4" s="1"/>
  <c r="F1770" i="4"/>
  <c r="G1769" i="4"/>
  <c r="H1769" i="4" s="1"/>
  <c r="F1769" i="4"/>
  <c r="G1768" i="4"/>
  <c r="H1768" i="4" s="1"/>
  <c r="F1768" i="4"/>
  <c r="G1767" i="4"/>
  <c r="H1767" i="4" s="1"/>
  <c r="F1767" i="4"/>
  <c r="G1766" i="4"/>
  <c r="H1766" i="4" s="1"/>
  <c r="F1766" i="4"/>
  <c r="G1765" i="4"/>
  <c r="H1765" i="4" s="1"/>
  <c r="F1765" i="4"/>
  <c r="G1764" i="4"/>
  <c r="H1764" i="4" s="1"/>
  <c r="F1764" i="4"/>
  <c r="G1763" i="4"/>
  <c r="H1763" i="4" s="1"/>
  <c r="F1763" i="4"/>
  <c r="G1762" i="4"/>
  <c r="H1762" i="4" s="1"/>
  <c r="F1762" i="4"/>
  <c r="G1761" i="4"/>
  <c r="H1761" i="4" s="1"/>
  <c r="F1761" i="4"/>
  <c r="G1577" i="4"/>
  <c r="H1577" i="4" s="1"/>
  <c r="F1577" i="4"/>
  <c r="G1576" i="4"/>
  <c r="H1576" i="4" s="1"/>
  <c r="F1576" i="4"/>
  <c r="G1575" i="4"/>
  <c r="H1575" i="4" s="1"/>
  <c r="F1575" i="4"/>
  <c r="G1574" i="4"/>
  <c r="H1574" i="4" s="1"/>
  <c r="F1574" i="4"/>
  <c r="G1573" i="4"/>
  <c r="H1573" i="4" s="1"/>
  <c r="F1573" i="4"/>
  <c r="G1572" i="4"/>
  <c r="H1572" i="4" s="1"/>
  <c r="F1572" i="4"/>
  <c r="G1571" i="4"/>
  <c r="H1571" i="4" s="1"/>
  <c r="F1571" i="4"/>
  <c r="G1570" i="4"/>
  <c r="H1570" i="4" s="1"/>
  <c r="F1570" i="4"/>
  <c r="G1569" i="4"/>
  <c r="H1569" i="4" s="1"/>
  <c r="F1569" i="4"/>
  <c r="G1568" i="4"/>
  <c r="H1568" i="4" s="1"/>
  <c r="F1568" i="4"/>
  <c r="G1567" i="4"/>
  <c r="H1567" i="4" s="1"/>
  <c r="F1567" i="4"/>
  <c r="G1566" i="4"/>
  <c r="H1566" i="4" s="1"/>
  <c r="F1566" i="4"/>
  <c r="G1565" i="4"/>
  <c r="H1565" i="4" s="1"/>
  <c r="F1565" i="4"/>
  <c r="G1564" i="4"/>
  <c r="H1564" i="4" s="1"/>
  <c r="F1564" i="4"/>
  <c r="G1563" i="4"/>
  <c r="H1563" i="4" s="1"/>
  <c r="F1563" i="4"/>
  <c r="G1562" i="4"/>
  <c r="H1562" i="4" s="1"/>
  <c r="F1562" i="4"/>
  <c r="G1561" i="4"/>
  <c r="H1561" i="4" s="1"/>
  <c r="F1561" i="4"/>
  <c r="G1560" i="4"/>
  <c r="H1560" i="4" s="1"/>
  <c r="F1560" i="4"/>
  <c r="G1559" i="4"/>
  <c r="H1559" i="4" s="1"/>
  <c r="F1559" i="4"/>
  <c r="G1558" i="4"/>
  <c r="H1558" i="4" s="1"/>
  <c r="F1558" i="4"/>
  <c r="G1557" i="4"/>
  <c r="H1557" i="4" s="1"/>
  <c r="F1557" i="4"/>
  <c r="G1556" i="4"/>
  <c r="H1556" i="4" s="1"/>
  <c r="F1556" i="4"/>
  <c r="G1555" i="4"/>
  <c r="H1555" i="4" s="1"/>
  <c r="F1555" i="4"/>
  <c r="G1554" i="4"/>
  <c r="H1554" i="4" s="1"/>
  <c r="F1554" i="4"/>
  <c r="G1553" i="4"/>
  <c r="H1553" i="4" s="1"/>
  <c r="F1553" i="4"/>
  <c r="G1377" i="4"/>
  <c r="H1377" i="4" s="1"/>
  <c r="F1377" i="4"/>
  <c r="G1376" i="4"/>
  <c r="H1376" i="4" s="1"/>
  <c r="F1376" i="4"/>
  <c r="G1375" i="4"/>
  <c r="H1375" i="4" s="1"/>
  <c r="F1375" i="4"/>
  <c r="G1374" i="4"/>
  <c r="H1374" i="4" s="1"/>
  <c r="F1374" i="4"/>
  <c r="G1373" i="4"/>
  <c r="H1373" i="4" s="1"/>
  <c r="F1373" i="4"/>
  <c r="G1372" i="4"/>
  <c r="H1372" i="4" s="1"/>
  <c r="F1372" i="4"/>
  <c r="G1371" i="4"/>
  <c r="H1371" i="4" s="1"/>
  <c r="F1371" i="4"/>
  <c r="G1370" i="4"/>
  <c r="H1370" i="4" s="1"/>
  <c r="F1370" i="4"/>
  <c r="G1369" i="4"/>
  <c r="H1369" i="4" s="1"/>
  <c r="F1369" i="4"/>
  <c r="G1368" i="4"/>
  <c r="H1368" i="4" s="1"/>
  <c r="F1368" i="4"/>
  <c r="G1367" i="4"/>
  <c r="H1367" i="4" s="1"/>
  <c r="F1367" i="4"/>
  <c r="G1366" i="4"/>
  <c r="H1366" i="4" s="1"/>
  <c r="F1366" i="4"/>
  <c r="G1365" i="4"/>
  <c r="H1365" i="4" s="1"/>
  <c r="F1365" i="4"/>
  <c r="G1364" i="4"/>
  <c r="H1364" i="4" s="1"/>
  <c r="F1364" i="4"/>
  <c r="G1363" i="4"/>
  <c r="H1363" i="4" s="1"/>
  <c r="F1363" i="4"/>
  <c r="G1362" i="4"/>
  <c r="H1362" i="4" s="1"/>
  <c r="F1362" i="4"/>
  <c r="G1361" i="4"/>
  <c r="H1361" i="4" s="1"/>
  <c r="F1361" i="4"/>
  <c r="G1360" i="4"/>
  <c r="H1360" i="4" s="1"/>
  <c r="F1360" i="4"/>
  <c r="G1359" i="4"/>
  <c r="H1359" i="4" s="1"/>
  <c r="F1359" i="4"/>
  <c r="G1358" i="4"/>
  <c r="H1358" i="4" s="1"/>
  <c r="F1358" i="4"/>
  <c r="G1357" i="4"/>
  <c r="H1357" i="4" s="1"/>
  <c r="F1357" i="4"/>
  <c r="G1356" i="4"/>
  <c r="H1356" i="4" s="1"/>
  <c r="F1356" i="4"/>
  <c r="G1355" i="4"/>
  <c r="H1355" i="4" s="1"/>
  <c r="F1355" i="4"/>
  <c r="G1354" i="4"/>
  <c r="H1354" i="4" s="1"/>
  <c r="F1354" i="4"/>
  <c r="G1353" i="4"/>
  <c r="H1353" i="4" s="1"/>
  <c r="F1353" i="4"/>
  <c r="G1352" i="4"/>
  <c r="H1352" i="4" s="1"/>
  <c r="F1352" i="4"/>
  <c r="G1160" i="4"/>
  <c r="H1160" i="4" s="1"/>
  <c r="F1160" i="4"/>
  <c r="G1159" i="4"/>
  <c r="H1159" i="4" s="1"/>
  <c r="F1159" i="4"/>
  <c r="G1158" i="4"/>
  <c r="H1158" i="4" s="1"/>
  <c r="F1158" i="4"/>
  <c r="G1157" i="4"/>
  <c r="H1157" i="4" s="1"/>
  <c r="F1157" i="4"/>
  <c r="G1156" i="4"/>
  <c r="H1156" i="4" s="1"/>
  <c r="F1156" i="4"/>
  <c r="G1155" i="4"/>
  <c r="H1155" i="4" s="1"/>
  <c r="F1155" i="4"/>
  <c r="G1154" i="4"/>
  <c r="H1154" i="4" s="1"/>
  <c r="F1154" i="4"/>
  <c r="G1153" i="4"/>
  <c r="H1153" i="4" s="1"/>
  <c r="F1153" i="4"/>
  <c r="G1152" i="4"/>
  <c r="H1152" i="4" s="1"/>
  <c r="F1152" i="4"/>
  <c r="G1151" i="4"/>
  <c r="H1151" i="4" s="1"/>
  <c r="F1151" i="4"/>
  <c r="G1150" i="4"/>
  <c r="H1150" i="4" s="1"/>
  <c r="F1150" i="4"/>
  <c r="G1149" i="4"/>
  <c r="H1149" i="4" s="1"/>
  <c r="F1149" i="4"/>
  <c r="G1148" i="4"/>
  <c r="H1148" i="4" s="1"/>
  <c r="F1148" i="4"/>
  <c r="G1147" i="4"/>
  <c r="H1147" i="4" s="1"/>
  <c r="F1147" i="4"/>
  <c r="G1146" i="4"/>
  <c r="H1146" i="4" s="1"/>
  <c r="F1146" i="4"/>
  <c r="G1145" i="4"/>
  <c r="H1145" i="4" s="1"/>
  <c r="F1145" i="4"/>
  <c r="G1144" i="4"/>
  <c r="H1144" i="4" s="1"/>
  <c r="F1144" i="4"/>
  <c r="G1143" i="4"/>
  <c r="H1143" i="4" s="1"/>
  <c r="F1143" i="4"/>
  <c r="G1142" i="4"/>
  <c r="H1142" i="4" s="1"/>
  <c r="F1142" i="4"/>
  <c r="G1141" i="4"/>
  <c r="H1141" i="4" s="1"/>
  <c r="F1141" i="4"/>
  <c r="G1140" i="4"/>
  <c r="H1140" i="4" s="1"/>
  <c r="F1140" i="4"/>
  <c r="G1139" i="4"/>
  <c r="H1139" i="4" s="1"/>
  <c r="F1139" i="4"/>
  <c r="G1138" i="4"/>
  <c r="H1138" i="4" s="1"/>
  <c r="F1138" i="4"/>
  <c r="G1137" i="4"/>
  <c r="H1137" i="4" s="1"/>
  <c r="F1137" i="4"/>
  <c r="G1136" i="4"/>
  <c r="H1136" i="4" s="1"/>
  <c r="F1136" i="4"/>
  <c r="G947" i="4"/>
  <c r="H947" i="4" s="1"/>
  <c r="F947" i="4"/>
  <c r="G946" i="4"/>
  <c r="H946" i="4" s="1"/>
  <c r="F946" i="4"/>
  <c r="G945" i="4"/>
  <c r="H945" i="4" s="1"/>
  <c r="F945" i="4"/>
  <c r="G944" i="4"/>
  <c r="H944" i="4" s="1"/>
  <c r="F944" i="4"/>
  <c r="G943" i="4"/>
  <c r="H943" i="4" s="1"/>
  <c r="F943" i="4"/>
  <c r="G942" i="4"/>
  <c r="H942" i="4" s="1"/>
  <c r="F942" i="4"/>
  <c r="G941" i="4"/>
  <c r="H941" i="4" s="1"/>
  <c r="F941" i="4"/>
  <c r="G940" i="4"/>
  <c r="H940" i="4" s="1"/>
  <c r="F940" i="4"/>
  <c r="G939" i="4"/>
  <c r="H939" i="4" s="1"/>
  <c r="F939" i="4"/>
  <c r="G938" i="4"/>
  <c r="H938" i="4" s="1"/>
  <c r="F938" i="4"/>
  <c r="G937" i="4"/>
  <c r="H937" i="4" s="1"/>
  <c r="F937" i="4"/>
  <c r="G936" i="4"/>
  <c r="H936" i="4" s="1"/>
  <c r="F936" i="4"/>
  <c r="G935" i="4"/>
  <c r="H935" i="4" s="1"/>
  <c r="F935" i="4"/>
  <c r="G934" i="4"/>
  <c r="H934" i="4" s="1"/>
  <c r="F934" i="4"/>
  <c r="G933" i="4"/>
  <c r="H933" i="4" s="1"/>
  <c r="F933" i="4"/>
  <c r="G932" i="4"/>
  <c r="H932" i="4" s="1"/>
  <c r="F932" i="4"/>
  <c r="G931" i="4"/>
  <c r="H931" i="4" s="1"/>
  <c r="F931" i="4"/>
  <c r="G930" i="4"/>
  <c r="H930" i="4" s="1"/>
  <c r="F930" i="4"/>
  <c r="G929" i="4"/>
  <c r="H929" i="4" s="1"/>
  <c r="F929" i="4"/>
  <c r="G928" i="4"/>
  <c r="H928" i="4" s="1"/>
  <c r="F928" i="4"/>
  <c r="G927" i="4"/>
  <c r="H927" i="4" s="1"/>
  <c r="F927" i="4"/>
  <c r="G926" i="4"/>
  <c r="H926" i="4" s="1"/>
  <c r="F926" i="4"/>
  <c r="G925" i="4"/>
  <c r="H925" i="4" s="1"/>
  <c r="F925" i="4"/>
  <c r="G924" i="4"/>
  <c r="H924" i="4" s="1"/>
  <c r="F924" i="4"/>
  <c r="G923" i="4"/>
  <c r="H923" i="4" s="1"/>
  <c r="F923" i="4"/>
  <c r="G745" i="4"/>
  <c r="H745" i="4" s="1"/>
  <c r="F745" i="4"/>
  <c r="G744" i="4"/>
  <c r="H744" i="4" s="1"/>
  <c r="F744" i="4"/>
  <c r="G743" i="4"/>
  <c r="H743" i="4" s="1"/>
  <c r="F743" i="4"/>
  <c r="G742" i="4"/>
  <c r="H742" i="4" s="1"/>
  <c r="F742" i="4"/>
  <c r="G741" i="4"/>
  <c r="H741" i="4" s="1"/>
  <c r="F741" i="4"/>
  <c r="G740" i="4"/>
  <c r="H740" i="4" s="1"/>
  <c r="F740" i="4"/>
  <c r="G739" i="4"/>
  <c r="H739" i="4" s="1"/>
  <c r="F739" i="4"/>
  <c r="G738" i="4"/>
  <c r="H738" i="4" s="1"/>
  <c r="F738" i="4"/>
  <c r="G737" i="4"/>
  <c r="H737" i="4" s="1"/>
  <c r="F737" i="4"/>
  <c r="G736" i="4"/>
  <c r="H736" i="4" s="1"/>
  <c r="F736" i="4"/>
  <c r="G735" i="4"/>
  <c r="H735" i="4" s="1"/>
  <c r="F735" i="4"/>
  <c r="G734" i="4"/>
  <c r="H734" i="4" s="1"/>
  <c r="F734" i="4"/>
  <c r="G733" i="4"/>
  <c r="H733" i="4" s="1"/>
  <c r="F733" i="4"/>
  <c r="G732" i="4"/>
  <c r="H732" i="4" s="1"/>
  <c r="F732" i="4"/>
  <c r="G731" i="4"/>
  <c r="H731" i="4" s="1"/>
  <c r="F731" i="4"/>
  <c r="G730" i="4"/>
  <c r="H730" i="4" s="1"/>
  <c r="F730" i="4"/>
  <c r="G729" i="4"/>
  <c r="H729" i="4" s="1"/>
  <c r="F729" i="4"/>
  <c r="G728" i="4"/>
  <c r="H728" i="4" s="1"/>
  <c r="F728" i="4"/>
  <c r="G727" i="4"/>
  <c r="H727" i="4" s="1"/>
  <c r="F727" i="4"/>
  <c r="G726" i="4"/>
  <c r="H726" i="4" s="1"/>
  <c r="F726" i="4"/>
  <c r="G725" i="4"/>
  <c r="H725" i="4" s="1"/>
  <c r="F725" i="4"/>
  <c r="G724" i="4"/>
  <c r="H724" i="4" s="1"/>
  <c r="F724" i="4"/>
  <c r="G723" i="4"/>
  <c r="H723" i="4" s="1"/>
  <c r="F723" i="4"/>
  <c r="G722" i="4"/>
  <c r="H722" i="4" s="1"/>
  <c r="F722" i="4"/>
  <c r="G721" i="4"/>
  <c r="H721" i="4" s="1"/>
  <c r="F721" i="4"/>
  <c r="G197" i="4"/>
  <c r="H197" i="4" s="1"/>
  <c r="F197" i="4"/>
  <c r="G196" i="4"/>
  <c r="H196" i="4" s="1"/>
  <c r="F196" i="4"/>
  <c r="G195" i="4"/>
  <c r="H195" i="4" s="1"/>
  <c r="F195" i="4"/>
  <c r="G194" i="4"/>
  <c r="H194" i="4" s="1"/>
  <c r="F194" i="4"/>
  <c r="G193" i="4"/>
  <c r="H193" i="4" s="1"/>
  <c r="F193" i="4"/>
  <c r="G192" i="4"/>
  <c r="H192" i="4" s="1"/>
  <c r="F192" i="4"/>
  <c r="G191" i="4"/>
  <c r="H191" i="4" s="1"/>
  <c r="F191" i="4"/>
  <c r="G190" i="4"/>
  <c r="H190" i="4" s="1"/>
  <c r="F190" i="4"/>
  <c r="G189" i="4"/>
  <c r="H189" i="4" s="1"/>
  <c r="F189" i="4"/>
  <c r="G188" i="4"/>
  <c r="H188" i="4" s="1"/>
  <c r="F188" i="4"/>
  <c r="G187" i="4"/>
  <c r="H187" i="4" s="1"/>
  <c r="F187" i="4"/>
  <c r="G186" i="4"/>
  <c r="H186" i="4" s="1"/>
  <c r="F186" i="4"/>
  <c r="G185" i="4"/>
  <c r="H185" i="4" s="1"/>
  <c r="F185" i="4"/>
  <c r="G184" i="4"/>
  <c r="H184" i="4" s="1"/>
  <c r="F184" i="4"/>
  <c r="G183" i="4"/>
  <c r="H183" i="4" s="1"/>
  <c r="F183" i="4"/>
  <c r="G182" i="4"/>
  <c r="H182" i="4" s="1"/>
  <c r="F182" i="4"/>
  <c r="G181" i="4"/>
  <c r="H181" i="4" s="1"/>
  <c r="F181" i="4"/>
  <c r="G180" i="4"/>
  <c r="H180" i="4" s="1"/>
  <c r="F180" i="4"/>
  <c r="G179" i="4"/>
  <c r="H179" i="4" s="1"/>
  <c r="F179" i="4"/>
  <c r="G178" i="4"/>
  <c r="H178" i="4" s="1"/>
  <c r="F178" i="4"/>
  <c r="G177" i="4"/>
  <c r="H177" i="4" s="1"/>
  <c r="F177" i="4"/>
  <c r="G176" i="4"/>
  <c r="H176" i="4" s="1"/>
  <c r="F176" i="4"/>
  <c r="G175" i="4"/>
  <c r="H175" i="4" s="1"/>
  <c r="F175" i="4"/>
  <c r="G174" i="4"/>
  <c r="H174" i="4" s="1"/>
  <c r="F174" i="4"/>
  <c r="G173" i="4"/>
  <c r="H173" i="4" s="1"/>
  <c r="F173" i="4"/>
  <c r="G2346" i="4"/>
  <c r="H2346" i="4" s="1"/>
  <c r="F2346" i="4"/>
  <c r="G2345" i="4"/>
  <c r="H2345" i="4" s="1"/>
  <c r="F2345" i="4"/>
  <c r="G2344" i="4"/>
  <c r="H2344" i="4" s="1"/>
  <c r="F2344" i="4"/>
  <c r="G2343" i="4"/>
  <c r="H2343" i="4" s="1"/>
  <c r="F2343" i="4"/>
  <c r="G2342" i="4"/>
  <c r="H2342" i="4" s="1"/>
  <c r="F2342" i="4"/>
  <c r="G2341" i="4"/>
  <c r="H2341" i="4" s="1"/>
  <c r="F2341" i="4"/>
  <c r="G2340" i="4"/>
  <c r="H2340" i="4" s="1"/>
  <c r="F2340" i="4"/>
  <c r="G2339" i="4"/>
  <c r="H2339" i="4" s="1"/>
  <c r="F2339" i="4"/>
  <c r="G2338" i="4"/>
  <c r="H2338" i="4" s="1"/>
  <c r="F2338" i="4"/>
  <c r="G2337" i="4"/>
  <c r="H2337" i="4" s="1"/>
  <c r="F2337" i="4"/>
  <c r="G2336" i="4"/>
  <c r="H2336" i="4" s="1"/>
  <c r="F2336" i="4"/>
  <c r="G2335" i="4"/>
  <c r="H2335" i="4" s="1"/>
  <c r="F2335" i="4"/>
  <c r="G2334" i="4"/>
  <c r="H2334" i="4" s="1"/>
  <c r="F2334" i="4"/>
  <c r="G2333" i="4"/>
  <c r="H2333" i="4" s="1"/>
  <c r="F2333" i="4"/>
  <c r="G2332" i="4"/>
  <c r="H2332" i="4" s="1"/>
  <c r="F2332" i="4"/>
  <c r="G2331" i="4"/>
  <c r="H2331" i="4" s="1"/>
  <c r="F2331" i="4"/>
  <c r="G2330" i="4"/>
  <c r="H2330" i="4" s="1"/>
  <c r="F2330" i="4"/>
  <c r="G2329" i="4"/>
  <c r="H2329" i="4" s="1"/>
  <c r="F2329" i="4"/>
  <c r="G2328" i="4"/>
  <c r="H2328" i="4" s="1"/>
  <c r="F2328" i="4"/>
  <c r="G2327" i="4"/>
  <c r="H2327" i="4" s="1"/>
  <c r="F2327" i="4"/>
  <c r="G2326" i="4"/>
  <c r="H2326" i="4" s="1"/>
  <c r="F2326" i="4"/>
  <c r="G2325" i="4"/>
  <c r="H2325" i="4" s="1"/>
  <c r="F2325" i="4"/>
  <c r="G2324" i="4"/>
  <c r="H2324" i="4" s="1"/>
  <c r="F2324" i="4"/>
  <c r="G2323" i="4"/>
  <c r="H2323" i="4" s="1"/>
  <c r="F2323" i="4"/>
  <c r="G2322" i="4"/>
  <c r="H2322" i="4" s="1"/>
  <c r="F2322" i="4"/>
  <c r="G2154" i="4"/>
  <c r="H2154" i="4" s="1"/>
  <c r="F2154" i="4"/>
  <c r="G2153" i="4"/>
  <c r="H2153" i="4" s="1"/>
  <c r="F2153" i="4"/>
  <c r="G2152" i="4"/>
  <c r="H2152" i="4" s="1"/>
  <c r="F2152" i="4"/>
  <c r="G2151" i="4"/>
  <c r="H2151" i="4" s="1"/>
  <c r="F2151" i="4"/>
  <c r="G2150" i="4"/>
  <c r="H2150" i="4" s="1"/>
  <c r="F2150" i="4"/>
  <c r="G2149" i="4"/>
  <c r="H2149" i="4" s="1"/>
  <c r="F2149" i="4"/>
  <c r="G2148" i="4"/>
  <c r="H2148" i="4" s="1"/>
  <c r="F2148" i="4"/>
  <c r="G2147" i="4"/>
  <c r="H2147" i="4" s="1"/>
  <c r="F2147" i="4"/>
  <c r="G2146" i="4"/>
  <c r="H2146" i="4" s="1"/>
  <c r="F2146" i="4"/>
  <c r="G2145" i="4"/>
  <c r="H2145" i="4" s="1"/>
  <c r="F2145" i="4"/>
  <c r="G2144" i="4"/>
  <c r="H2144" i="4" s="1"/>
  <c r="F2144" i="4"/>
  <c r="G2143" i="4"/>
  <c r="H2143" i="4" s="1"/>
  <c r="F2143" i="4"/>
  <c r="G2142" i="4"/>
  <c r="H2142" i="4" s="1"/>
  <c r="F2142" i="4"/>
  <c r="G2141" i="4"/>
  <c r="H2141" i="4" s="1"/>
  <c r="F2141" i="4"/>
  <c r="G2140" i="4"/>
  <c r="H2140" i="4" s="1"/>
  <c r="F2140" i="4"/>
  <c r="G2139" i="4"/>
  <c r="H2139" i="4" s="1"/>
  <c r="F2139" i="4"/>
  <c r="G2138" i="4"/>
  <c r="H2138" i="4" s="1"/>
  <c r="F2138" i="4"/>
  <c r="G2137" i="4"/>
  <c r="H2137" i="4" s="1"/>
  <c r="F2137" i="4"/>
  <c r="G2136" i="4"/>
  <c r="H2136" i="4" s="1"/>
  <c r="F2136" i="4"/>
  <c r="G2135" i="4"/>
  <c r="H2135" i="4" s="1"/>
  <c r="F2135" i="4"/>
  <c r="G2134" i="4"/>
  <c r="H2134" i="4" s="1"/>
  <c r="F2134" i="4"/>
  <c r="G2133" i="4"/>
  <c r="H2133" i="4" s="1"/>
  <c r="F2133" i="4"/>
  <c r="G2132" i="4"/>
  <c r="H2132" i="4" s="1"/>
  <c r="F2132" i="4"/>
  <c r="G2131" i="4"/>
  <c r="H2131" i="4" s="1"/>
  <c r="F2131" i="4"/>
  <c r="G2130" i="4"/>
  <c r="H2130" i="4" s="1"/>
  <c r="F2130" i="4"/>
  <c r="G1961" i="4"/>
  <c r="H1961" i="4" s="1"/>
  <c r="F1961" i="4"/>
  <c r="G1960" i="4"/>
  <c r="H1960" i="4" s="1"/>
  <c r="F1960" i="4"/>
  <c r="G1959" i="4"/>
  <c r="H1959" i="4" s="1"/>
  <c r="F1959" i="4"/>
  <c r="G1958" i="4"/>
  <c r="H1958" i="4" s="1"/>
  <c r="F1958" i="4"/>
  <c r="G1957" i="4"/>
  <c r="H1957" i="4" s="1"/>
  <c r="F1957" i="4"/>
  <c r="G1956" i="4"/>
  <c r="H1956" i="4" s="1"/>
  <c r="F1956" i="4"/>
  <c r="G1955" i="4"/>
  <c r="H1955" i="4" s="1"/>
  <c r="F1955" i="4"/>
  <c r="G1954" i="4"/>
  <c r="H1954" i="4" s="1"/>
  <c r="F1954" i="4"/>
  <c r="G1953" i="4"/>
  <c r="H1953" i="4" s="1"/>
  <c r="F1953" i="4"/>
  <c r="G1952" i="4"/>
  <c r="H1952" i="4" s="1"/>
  <c r="F1952" i="4"/>
  <c r="G1951" i="4"/>
  <c r="H1951" i="4" s="1"/>
  <c r="F1951" i="4"/>
  <c r="G1950" i="4"/>
  <c r="H1950" i="4" s="1"/>
  <c r="F1950" i="4"/>
  <c r="G1949" i="4"/>
  <c r="H1949" i="4" s="1"/>
  <c r="F1949" i="4"/>
  <c r="G1948" i="4"/>
  <c r="H1948" i="4" s="1"/>
  <c r="F1948" i="4"/>
  <c r="G1947" i="4"/>
  <c r="H1947" i="4" s="1"/>
  <c r="F1947" i="4"/>
  <c r="G1946" i="4"/>
  <c r="H1946" i="4" s="1"/>
  <c r="F1946" i="4"/>
  <c r="G1945" i="4"/>
  <c r="H1945" i="4" s="1"/>
  <c r="F1945" i="4"/>
  <c r="G1944" i="4"/>
  <c r="H1944" i="4" s="1"/>
  <c r="F1944" i="4"/>
  <c r="G1943" i="4"/>
  <c r="H1943" i="4" s="1"/>
  <c r="F1943" i="4"/>
  <c r="G1942" i="4"/>
  <c r="H1942" i="4" s="1"/>
  <c r="F1942" i="4"/>
  <c r="G1941" i="4"/>
  <c r="H1941" i="4" s="1"/>
  <c r="F1941" i="4"/>
  <c r="G1940" i="4"/>
  <c r="H1940" i="4" s="1"/>
  <c r="F1940" i="4"/>
  <c r="G1939" i="4"/>
  <c r="H1939" i="4" s="1"/>
  <c r="F1939" i="4"/>
  <c r="G1938" i="4"/>
  <c r="H1938" i="4" s="1"/>
  <c r="F1938" i="4"/>
  <c r="G1937" i="4"/>
  <c r="H1937" i="4" s="1"/>
  <c r="F1937" i="4"/>
  <c r="G1760" i="4"/>
  <c r="H1760" i="4" s="1"/>
  <c r="F1760" i="4"/>
  <c r="G1759" i="4"/>
  <c r="H1759" i="4" s="1"/>
  <c r="F1759" i="4"/>
  <c r="G1758" i="4"/>
  <c r="H1758" i="4" s="1"/>
  <c r="F1758" i="4"/>
  <c r="G1757" i="4"/>
  <c r="H1757" i="4" s="1"/>
  <c r="F1757" i="4"/>
  <c r="G1756" i="4"/>
  <c r="H1756" i="4" s="1"/>
  <c r="F1756" i="4"/>
  <c r="G1755" i="4"/>
  <c r="H1755" i="4" s="1"/>
  <c r="F1755" i="4"/>
  <c r="G1754" i="4"/>
  <c r="H1754" i="4" s="1"/>
  <c r="F1754" i="4"/>
  <c r="G1753" i="4"/>
  <c r="H1753" i="4" s="1"/>
  <c r="F1753" i="4"/>
  <c r="G1752" i="4"/>
  <c r="H1752" i="4" s="1"/>
  <c r="F1752" i="4"/>
  <c r="G1751" i="4"/>
  <c r="H1751" i="4" s="1"/>
  <c r="F1751" i="4"/>
  <c r="G1750" i="4"/>
  <c r="H1750" i="4" s="1"/>
  <c r="F1750" i="4"/>
  <c r="G1749" i="4"/>
  <c r="H1749" i="4" s="1"/>
  <c r="F1749" i="4"/>
  <c r="G1748" i="4"/>
  <c r="H1748" i="4" s="1"/>
  <c r="F1748" i="4"/>
  <c r="G1747" i="4"/>
  <c r="H1747" i="4" s="1"/>
  <c r="F1747" i="4"/>
  <c r="G1746" i="4"/>
  <c r="H1746" i="4" s="1"/>
  <c r="F1746" i="4"/>
  <c r="G1745" i="4"/>
  <c r="H1745" i="4" s="1"/>
  <c r="F1745" i="4"/>
  <c r="G1744" i="4"/>
  <c r="H1744" i="4" s="1"/>
  <c r="F1744" i="4"/>
  <c r="G1743" i="4"/>
  <c r="H1743" i="4" s="1"/>
  <c r="F1743" i="4"/>
  <c r="G1742" i="4"/>
  <c r="H1742" i="4" s="1"/>
  <c r="F1742" i="4"/>
  <c r="G1741" i="4"/>
  <c r="H1741" i="4" s="1"/>
  <c r="F1741" i="4"/>
  <c r="G1740" i="4"/>
  <c r="H1740" i="4" s="1"/>
  <c r="F1740" i="4"/>
  <c r="G1739" i="4"/>
  <c r="H1739" i="4" s="1"/>
  <c r="F1739" i="4"/>
  <c r="G1738" i="4"/>
  <c r="H1738" i="4" s="1"/>
  <c r="F1738" i="4"/>
  <c r="G1737" i="4"/>
  <c r="H1737" i="4" s="1"/>
  <c r="F1737" i="4"/>
  <c r="G1736" i="4"/>
  <c r="H1736" i="4" s="1"/>
  <c r="F1736" i="4"/>
  <c r="G1552" i="4"/>
  <c r="H1552" i="4" s="1"/>
  <c r="F1552" i="4"/>
  <c r="G1551" i="4"/>
  <c r="H1551" i="4" s="1"/>
  <c r="F1551" i="4"/>
  <c r="G1550" i="4"/>
  <c r="H1550" i="4" s="1"/>
  <c r="F1550" i="4"/>
  <c r="G1549" i="4"/>
  <c r="H1549" i="4" s="1"/>
  <c r="F1549" i="4"/>
  <c r="G1548" i="4"/>
  <c r="H1548" i="4" s="1"/>
  <c r="F1548" i="4"/>
  <c r="G1547" i="4"/>
  <c r="H1547" i="4" s="1"/>
  <c r="F1547" i="4"/>
  <c r="G1546" i="4"/>
  <c r="H1546" i="4" s="1"/>
  <c r="F1546" i="4"/>
  <c r="G1545" i="4"/>
  <c r="H1545" i="4" s="1"/>
  <c r="F1545" i="4"/>
  <c r="G1544" i="4"/>
  <c r="H1544" i="4" s="1"/>
  <c r="F1544" i="4"/>
  <c r="G1543" i="4"/>
  <c r="H1543" i="4" s="1"/>
  <c r="F1543" i="4"/>
  <c r="G1542" i="4"/>
  <c r="H1542" i="4" s="1"/>
  <c r="F1542" i="4"/>
  <c r="G1541" i="4"/>
  <c r="H1541" i="4" s="1"/>
  <c r="F1541" i="4"/>
  <c r="G1540" i="4"/>
  <c r="H1540" i="4" s="1"/>
  <c r="F1540" i="4"/>
  <c r="G1539" i="4"/>
  <c r="H1539" i="4" s="1"/>
  <c r="F1539" i="4"/>
  <c r="G1538" i="4"/>
  <c r="H1538" i="4" s="1"/>
  <c r="F1538" i="4"/>
  <c r="G1537" i="4"/>
  <c r="H1537" i="4" s="1"/>
  <c r="F1537" i="4"/>
  <c r="G1536" i="4"/>
  <c r="H1536" i="4" s="1"/>
  <c r="F1536" i="4"/>
  <c r="G1535" i="4"/>
  <c r="H1535" i="4" s="1"/>
  <c r="F1535" i="4"/>
  <c r="G1534" i="4"/>
  <c r="H1534" i="4" s="1"/>
  <c r="F1534" i="4"/>
  <c r="G1533" i="4"/>
  <c r="H1533" i="4" s="1"/>
  <c r="F1533" i="4"/>
  <c r="G1532" i="4"/>
  <c r="H1532" i="4" s="1"/>
  <c r="F1532" i="4"/>
  <c r="G1531" i="4"/>
  <c r="H1531" i="4" s="1"/>
  <c r="F1531" i="4"/>
  <c r="G1530" i="4"/>
  <c r="H1530" i="4" s="1"/>
  <c r="F1530" i="4"/>
  <c r="G1351" i="4"/>
  <c r="H1351" i="4" s="1"/>
  <c r="F1351" i="4"/>
  <c r="G1350" i="4"/>
  <c r="H1350" i="4" s="1"/>
  <c r="F1350" i="4"/>
  <c r="G1349" i="4"/>
  <c r="H1349" i="4" s="1"/>
  <c r="F1349" i="4"/>
  <c r="G1348" i="4"/>
  <c r="H1348" i="4" s="1"/>
  <c r="F1348" i="4"/>
  <c r="G1347" i="4"/>
  <c r="H1347" i="4" s="1"/>
  <c r="F1347" i="4"/>
  <c r="G1346" i="4"/>
  <c r="H1346" i="4" s="1"/>
  <c r="F1346" i="4"/>
  <c r="G1345" i="4"/>
  <c r="H1345" i="4" s="1"/>
  <c r="F1345" i="4"/>
  <c r="G1344" i="4"/>
  <c r="H1344" i="4" s="1"/>
  <c r="F1344" i="4"/>
  <c r="G1343" i="4"/>
  <c r="H1343" i="4" s="1"/>
  <c r="F1343" i="4"/>
  <c r="G1342" i="4"/>
  <c r="H1342" i="4" s="1"/>
  <c r="F1342" i="4"/>
  <c r="G1341" i="4"/>
  <c r="H1341" i="4" s="1"/>
  <c r="F1341" i="4"/>
  <c r="G1340" i="4"/>
  <c r="H1340" i="4" s="1"/>
  <c r="F1340" i="4"/>
  <c r="G1339" i="4"/>
  <c r="H1339" i="4" s="1"/>
  <c r="F1339" i="4"/>
  <c r="G1338" i="4"/>
  <c r="H1338" i="4" s="1"/>
  <c r="F1338" i="4"/>
  <c r="G1337" i="4"/>
  <c r="H1337" i="4" s="1"/>
  <c r="F1337" i="4"/>
  <c r="G1336" i="4"/>
  <c r="H1336" i="4" s="1"/>
  <c r="F1336" i="4"/>
  <c r="G1335" i="4"/>
  <c r="H1335" i="4" s="1"/>
  <c r="F1335" i="4"/>
  <c r="G1334" i="4"/>
  <c r="H1334" i="4" s="1"/>
  <c r="F1334" i="4"/>
  <c r="G1333" i="4"/>
  <c r="H1333" i="4" s="1"/>
  <c r="F1333" i="4"/>
  <c r="G1332" i="4"/>
  <c r="H1332" i="4" s="1"/>
  <c r="F1332" i="4"/>
  <c r="G1331" i="4"/>
  <c r="H1331" i="4" s="1"/>
  <c r="F1331" i="4"/>
  <c r="G1330" i="4"/>
  <c r="H1330" i="4" s="1"/>
  <c r="F1330" i="4"/>
  <c r="G1329" i="4"/>
  <c r="H1329" i="4" s="1"/>
  <c r="F1329" i="4"/>
  <c r="G1328" i="4"/>
  <c r="H1328" i="4" s="1"/>
  <c r="F1328" i="4"/>
  <c r="G1327" i="4"/>
  <c r="H1327" i="4" s="1"/>
  <c r="F1327" i="4"/>
  <c r="G1135" i="4"/>
  <c r="H1135" i="4" s="1"/>
  <c r="F1135" i="4"/>
  <c r="G1134" i="4"/>
  <c r="H1134" i="4" s="1"/>
  <c r="F1134" i="4"/>
  <c r="G1133" i="4"/>
  <c r="H1133" i="4" s="1"/>
  <c r="F1133" i="4"/>
  <c r="G1132" i="4"/>
  <c r="H1132" i="4" s="1"/>
  <c r="F1132" i="4"/>
  <c r="G1131" i="4"/>
  <c r="H1131" i="4" s="1"/>
  <c r="F1131" i="4"/>
  <c r="G1130" i="4"/>
  <c r="H1130" i="4" s="1"/>
  <c r="F1130" i="4"/>
  <c r="G1129" i="4"/>
  <c r="H1129" i="4" s="1"/>
  <c r="F1129" i="4"/>
  <c r="G1128" i="4"/>
  <c r="H1128" i="4" s="1"/>
  <c r="F1128" i="4"/>
  <c r="G1127" i="4"/>
  <c r="H1127" i="4" s="1"/>
  <c r="F1127" i="4"/>
  <c r="G1126" i="4"/>
  <c r="H1126" i="4" s="1"/>
  <c r="F1126" i="4"/>
  <c r="G1125" i="4"/>
  <c r="H1125" i="4" s="1"/>
  <c r="F1125" i="4"/>
  <c r="G1124" i="4"/>
  <c r="H1124" i="4" s="1"/>
  <c r="F1124" i="4"/>
  <c r="G1123" i="4"/>
  <c r="H1123" i="4" s="1"/>
  <c r="F1123" i="4"/>
  <c r="G1122" i="4"/>
  <c r="H1122" i="4" s="1"/>
  <c r="F1122" i="4"/>
  <c r="G1121" i="4"/>
  <c r="H1121" i="4" s="1"/>
  <c r="F1121" i="4"/>
  <c r="G1120" i="4"/>
  <c r="H1120" i="4" s="1"/>
  <c r="F1120" i="4"/>
  <c r="G1119" i="4"/>
  <c r="H1119" i="4" s="1"/>
  <c r="F1119" i="4"/>
  <c r="G1118" i="4"/>
  <c r="H1118" i="4" s="1"/>
  <c r="F1118" i="4"/>
  <c r="G1117" i="4"/>
  <c r="H1117" i="4" s="1"/>
  <c r="F1117" i="4"/>
  <c r="G1116" i="4"/>
  <c r="H1116" i="4" s="1"/>
  <c r="F1116" i="4"/>
  <c r="G1115" i="4"/>
  <c r="H1115" i="4" s="1"/>
  <c r="F1115" i="4"/>
  <c r="G1114" i="4"/>
  <c r="H1114" i="4" s="1"/>
  <c r="F1114" i="4"/>
  <c r="G1113" i="4"/>
  <c r="H1113" i="4" s="1"/>
  <c r="F1113" i="4"/>
  <c r="G1112" i="4"/>
  <c r="H1112" i="4" s="1"/>
  <c r="F1112" i="4"/>
  <c r="G1111" i="4"/>
  <c r="H1111" i="4" s="1"/>
  <c r="F1111" i="4"/>
  <c r="G922" i="4"/>
  <c r="H922" i="4" s="1"/>
  <c r="F922" i="4"/>
  <c r="G921" i="4"/>
  <c r="H921" i="4" s="1"/>
  <c r="F921" i="4"/>
  <c r="G920" i="4"/>
  <c r="H920" i="4" s="1"/>
  <c r="F920" i="4"/>
  <c r="G919" i="4"/>
  <c r="H919" i="4" s="1"/>
  <c r="F919" i="4"/>
  <c r="G918" i="4"/>
  <c r="H918" i="4" s="1"/>
  <c r="F918" i="4"/>
  <c r="G917" i="4"/>
  <c r="H917" i="4" s="1"/>
  <c r="F917" i="4"/>
  <c r="G916" i="4"/>
  <c r="H916" i="4" s="1"/>
  <c r="F916" i="4"/>
  <c r="G915" i="4"/>
  <c r="H915" i="4" s="1"/>
  <c r="F915" i="4"/>
  <c r="G914" i="4"/>
  <c r="H914" i="4" s="1"/>
  <c r="F914" i="4"/>
  <c r="G913" i="4"/>
  <c r="H913" i="4" s="1"/>
  <c r="F913" i="4"/>
  <c r="G912" i="4"/>
  <c r="H912" i="4" s="1"/>
  <c r="F912" i="4"/>
  <c r="G911" i="4"/>
  <c r="H911" i="4" s="1"/>
  <c r="F911" i="4"/>
  <c r="G910" i="4"/>
  <c r="H910" i="4" s="1"/>
  <c r="F910" i="4"/>
  <c r="G909" i="4"/>
  <c r="H909" i="4" s="1"/>
  <c r="F909" i="4"/>
  <c r="G908" i="4"/>
  <c r="H908" i="4" s="1"/>
  <c r="F908" i="4"/>
  <c r="G907" i="4"/>
  <c r="H907" i="4" s="1"/>
  <c r="F907" i="4"/>
  <c r="G906" i="4"/>
  <c r="H906" i="4" s="1"/>
  <c r="F906" i="4"/>
  <c r="G905" i="4"/>
  <c r="H905" i="4" s="1"/>
  <c r="F905" i="4"/>
  <c r="G904" i="4"/>
  <c r="H904" i="4" s="1"/>
  <c r="F904" i="4"/>
  <c r="G903" i="4"/>
  <c r="H903" i="4" s="1"/>
  <c r="F903" i="4"/>
  <c r="G902" i="4"/>
  <c r="H902" i="4" s="1"/>
  <c r="F902" i="4"/>
  <c r="G901" i="4"/>
  <c r="H901" i="4" s="1"/>
  <c r="F901" i="4"/>
  <c r="G900" i="4"/>
  <c r="H900" i="4" s="1"/>
  <c r="F900" i="4"/>
  <c r="G899" i="4"/>
  <c r="H899" i="4" s="1"/>
  <c r="F899" i="4"/>
  <c r="G898" i="4"/>
  <c r="H898" i="4" s="1"/>
  <c r="F898" i="4"/>
  <c r="G720" i="4"/>
  <c r="H720" i="4" s="1"/>
  <c r="F720" i="4"/>
  <c r="G719" i="4"/>
  <c r="H719" i="4" s="1"/>
  <c r="F719" i="4"/>
  <c r="G718" i="4"/>
  <c r="H718" i="4" s="1"/>
  <c r="F718" i="4"/>
  <c r="G717" i="4"/>
  <c r="H717" i="4" s="1"/>
  <c r="F717" i="4"/>
  <c r="G716" i="4"/>
  <c r="H716" i="4" s="1"/>
  <c r="F716" i="4"/>
  <c r="G715" i="4"/>
  <c r="H715" i="4" s="1"/>
  <c r="F715" i="4"/>
  <c r="G714" i="4"/>
  <c r="H714" i="4" s="1"/>
  <c r="F714" i="4"/>
  <c r="G713" i="4"/>
  <c r="H713" i="4" s="1"/>
  <c r="F713" i="4"/>
  <c r="G712" i="4"/>
  <c r="H712" i="4" s="1"/>
  <c r="F712" i="4"/>
  <c r="G711" i="4"/>
  <c r="H711" i="4" s="1"/>
  <c r="F711" i="4"/>
  <c r="G710" i="4"/>
  <c r="H710" i="4" s="1"/>
  <c r="F710" i="4"/>
  <c r="G709" i="4"/>
  <c r="H709" i="4" s="1"/>
  <c r="F709" i="4"/>
  <c r="G708" i="4"/>
  <c r="H708" i="4" s="1"/>
  <c r="F708" i="4"/>
  <c r="G707" i="4"/>
  <c r="H707" i="4" s="1"/>
  <c r="F707" i="4"/>
  <c r="G706" i="4"/>
  <c r="H706" i="4" s="1"/>
  <c r="F706" i="4"/>
  <c r="G705" i="4"/>
  <c r="H705" i="4" s="1"/>
  <c r="F705" i="4"/>
  <c r="G704" i="4"/>
  <c r="H704" i="4" s="1"/>
  <c r="F704" i="4"/>
  <c r="G703" i="4"/>
  <c r="H703" i="4" s="1"/>
  <c r="F703" i="4"/>
  <c r="G702" i="4"/>
  <c r="H702" i="4" s="1"/>
  <c r="F702" i="4"/>
  <c r="G701" i="4"/>
  <c r="H701" i="4" s="1"/>
  <c r="F701" i="4"/>
  <c r="G700" i="4"/>
  <c r="H700" i="4" s="1"/>
  <c r="F700" i="4"/>
  <c r="G699" i="4"/>
  <c r="H699" i="4" s="1"/>
  <c r="F699" i="4"/>
  <c r="G698" i="4"/>
  <c r="H698" i="4" s="1"/>
  <c r="F698" i="4"/>
  <c r="G551" i="4"/>
  <c r="H551" i="4" s="1"/>
  <c r="F551" i="4"/>
  <c r="G550" i="4"/>
  <c r="H550" i="4" s="1"/>
  <c r="F550" i="4"/>
  <c r="G549" i="4"/>
  <c r="H549" i="4" s="1"/>
  <c r="F549" i="4"/>
  <c r="G548" i="4"/>
  <c r="H548" i="4" s="1"/>
  <c r="F548" i="4"/>
  <c r="G547" i="4"/>
  <c r="H547" i="4" s="1"/>
  <c r="F547" i="4"/>
  <c r="G546" i="4"/>
  <c r="H546" i="4" s="1"/>
  <c r="F546" i="4"/>
  <c r="G545" i="4"/>
  <c r="H545" i="4" s="1"/>
  <c r="F545" i="4"/>
  <c r="G544" i="4"/>
  <c r="H544" i="4" s="1"/>
  <c r="F544" i="4"/>
  <c r="G543" i="4"/>
  <c r="H543" i="4" s="1"/>
  <c r="F543" i="4"/>
  <c r="G542" i="4"/>
  <c r="H542" i="4" s="1"/>
  <c r="F542" i="4"/>
  <c r="G541" i="4"/>
  <c r="H541" i="4" s="1"/>
  <c r="F541" i="4"/>
  <c r="G540" i="4"/>
  <c r="H540" i="4" s="1"/>
  <c r="F540" i="4"/>
  <c r="G539" i="4"/>
  <c r="H539" i="4" s="1"/>
  <c r="F539" i="4"/>
  <c r="G538" i="4"/>
  <c r="H538" i="4" s="1"/>
  <c r="F538" i="4"/>
  <c r="G537" i="4"/>
  <c r="H537" i="4" s="1"/>
  <c r="F537" i="4"/>
  <c r="G536" i="4"/>
  <c r="H536" i="4" s="1"/>
  <c r="F536" i="4"/>
  <c r="G535" i="4"/>
  <c r="H535" i="4" s="1"/>
  <c r="F535" i="4"/>
  <c r="G534" i="4"/>
  <c r="H534" i="4" s="1"/>
  <c r="F534" i="4"/>
  <c r="G533" i="4"/>
  <c r="H533" i="4" s="1"/>
  <c r="F533" i="4"/>
  <c r="G532" i="4"/>
  <c r="H532" i="4" s="1"/>
  <c r="F532" i="4"/>
  <c r="G531" i="4"/>
  <c r="H531" i="4" s="1"/>
  <c r="F531" i="4"/>
  <c r="G530" i="4"/>
  <c r="H530" i="4" s="1"/>
  <c r="F530" i="4"/>
  <c r="G529" i="4"/>
  <c r="H529" i="4" s="1"/>
  <c r="F529" i="4"/>
  <c r="G528" i="4"/>
  <c r="H528" i="4" s="1"/>
  <c r="F528" i="4"/>
  <c r="G527" i="4"/>
  <c r="H527" i="4" s="1"/>
  <c r="F527" i="4"/>
  <c r="G390" i="4"/>
  <c r="H390" i="4" s="1"/>
  <c r="F390" i="4"/>
  <c r="G389" i="4"/>
  <c r="H389" i="4" s="1"/>
  <c r="F389" i="4"/>
  <c r="G388" i="4"/>
  <c r="H388" i="4" s="1"/>
  <c r="F388" i="4"/>
  <c r="G387" i="4"/>
  <c r="H387" i="4" s="1"/>
  <c r="F387" i="4"/>
  <c r="G386" i="4"/>
  <c r="H386" i="4" s="1"/>
  <c r="F386" i="4"/>
  <c r="G385" i="4"/>
  <c r="H385" i="4" s="1"/>
  <c r="F385" i="4"/>
  <c r="G384" i="4"/>
  <c r="H384" i="4" s="1"/>
  <c r="F384" i="4"/>
  <c r="G383" i="4"/>
  <c r="H383" i="4" s="1"/>
  <c r="F383" i="4"/>
  <c r="G382" i="4"/>
  <c r="H382" i="4" s="1"/>
  <c r="F382" i="4"/>
  <c r="G381" i="4"/>
  <c r="H381" i="4" s="1"/>
  <c r="F381" i="4"/>
  <c r="G380" i="4"/>
  <c r="H380" i="4" s="1"/>
  <c r="F380" i="4"/>
  <c r="G379" i="4"/>
  <c r="H379" i="4" s="1"/>
  <c r="F379" i="4"/>
  <c r="G378" i="4"/>
  <c r="H378" i="4" s="1"/>
  <c r="F378" i="4"/>
  <c r="G377" i="4"/>
  <c r="H377" i="4" s="1"/>
  <c r="F377" i="4"/>
  <c r="G376" i="4"/>
  <c r="H376" i="4" s="1"/>
  <c r="F376" i="4"/>
  <c r="G375" i="4"/>
  <c r="H375" i="4" s="1"/>
  <c r="F375" i="4"/>
  <c r="G374" i="4"/>
  <c r="H374" i="4" s="1"/>
  <c r="F374" i="4"/>
  <c r="G373" i="4"/>
  <c r="H373" i="4" s="1"/>
  <c r="F373" i="4"/>
  <c r="G372" i="4"/>
  <c r="H372" i="4" s="1"/>
  <c r="F372" i="4"/>
  <c r="G371" i="4"/>
  <c r="H371" i="4" s="1"/>
  <c r="F371" i="4"/>
  <c r="G370" i="4"/>
  <c r="H370" i="4" s="1"/>
  <c r="F370" i="4"/>
  <c r="G369" i="4"/>
  <c r="H369" i="4" s="1"/>
  <c r="F369" i="4"/>
  <c r="G368" i="4"/>
  <c r="H368" i="4" s="1"/>
  <c r="F368" i="4"/>
  <c r="G367" i="4"/>
  <c r="H367" i="4" s="1"/>
  <c r="F367" i="4"/>
  <c r="G366" i="4"/>
  <c r="H366" i="4" s="1"/>
  <c r="F366" i="4"/>
  <c r="G172" i="4"/>
  <c r="H172" i="4" s="1"/>
  <c r="F172" i="4"/>
  <c r="G171" i="4"/>
  <c r="H171" i="4" s="1"/>
  <c r="F171" i="4"/>
  <c r="G170" i="4"/>
  <c r="H170" i="4" s="1"/>
  <c r="F170" i="4"/>
  <c r="G169" i="4"/>
  <c r="H169" i="4" s="1"/>
  <c r="F169" i="4"/>
  <c r="G168" i="4"/>
  <c r="H168" i="4" s="1"/>
  <c r="F168" i="4"/>
  <c r="G167" i="4"/>
  <c r="H167" i="4" s="1"/>
  <c r="F167" i="4"/>
  <c r="G166" i="4"/>
  <c r="H166" i="4" s="1"/>
  <c r="F166" i="4"/>
  <c r="G165" i="4"/>
  <c r="H165" i="4" s="1"/>
  <c r="F165" i="4"/>
  <c r="G164" i="4"/>
  <c r="H164" i="4" s="1"/>
  <c r="F164" i="4"/>
  <c r="G163" i="4"/>
  <c r="H163" i="4" s="1"/>
  <c r="F163" i="4"/>
  <c r="G162" i="4"/>
  <c r="H162" i="4" s="1"/>
  <c r="F162" i="4"/>
  <c r="G161" i="4"/>
  <c r="H161" i="4" s="1"/>
  <c r="F161" i="4"/>
  <c r="G160" i="4"/>
  <c r="H160" i="4" s="1"/>
  <c r="F160" i="4"/>
  <c r="G159" i="4"/>
  <c r="H159" i="4" s="1"/>
  <c r="F159" i="4"/>
  <c r="G158" i="4"/>
  <c r="H158" i="4" s="1"/>
  <c r="F158" i="4"/>
  <c r="G157" i="4"/>
  <c r="H157" i="4" s="1"/>
  <c r="F157" i="4"/>
  <c r="G156" i="4"/>
  <c r="H156" i="4" s="1"/>
  <c r="F156" i="4"/>
  <c r="G155" i="4"/>
  <c r="H155" i="4" s="1"/>
  <c r="F155" i="4"/>
  <c r="G154" i="4"/>
  <c r="H154" i="4" s="1"/>
  <c r="F154" i="4"/>
  <c r="G153" i="4"/>
  <c r="H153" i="4" s="1"/>
  <c r="F153" i="4"/>
  <c r="G152" i="4"/>
  <c r="H152" i="4" s="1"/>
  <c r="F152" i="4"/>
  <c r="G151" i="4"/>
  <c r="H151" i="4" s="1"/>
  <c r="F151" i="4"/>
  <c r="G150" i="4"/>
  <c r="H150" i="4" s="1"/>
  <c r="F150" i="4"/>
  <c r="G149" i="4"/>
  <c r="H149" i="4" s="1"/>
  <c r="F149" i="4"/>
  <c r="G148" i="4"/>
  <c r="H148" i="4" s="1"/>
  <c r="F148" i="4"/>
  <c r="G2321" i="4"/>
  <c r="H2321" i="4" s="1"/>
  <c r="F2321" i="4"/>
  <c r="G2320" i="4"/>
  <c r="H2320" i="4" s="1"/>
  <c r="F2320" i="4"/>
  <c r="G2319" i="4"/>
  <c r="H2319" i="4" s="1"/>
  <c r="F2319" i="4"/>
  <c r="G2318" i="4"/>
  <c r="H2318" i="4" s="1"/>
  <c r="F2318" i="4"/>
  <c r="G2317" i="4"/>
  <c r="H2317" i="4" s="1"/>
  <c r="F2317" i="4"/>
  <c r="G2316" i="4"/>
  <c r="H2316" i="4" s="1"/>
  <c r="F2316" i="4"/>
  <c r="G2315" i="4"/>
  <c r="H2315" i="4" s="1"/>
  <c r="F2315" i="4"/>
  <c r="G2314" i="4"/>
  <c r="H2314" i="4" s="1"/>
  <c r="F2314" i="4"/>
  <c r="G2313" i="4"/>
  <c r="H2313" i="4" s="1"/>
  <c r="F2313" i="4"/>
  <c r="G2312" i="4"/>
  <c r="H2312" i="4" s="1"/>
  <c r="F2312" i="4"/>
  <c r="G2311" i="4"/>
  <c r="H2311" i="4" s="1"/>
  <c r="F2311" i="4"/>
  <c r="G2310" i="4"/>
  <c r="H2310" i="4" s="1"/>
  <c r="F2310" i="4"/>
  <c r="G2309" i="4"/>
  <c r="H2309" i="4" s="1"/>
  <c r="F2309" i="4"/>
  <c r="G2308" i="4"/>
  <c r="H2308" i="4" s="1"/>
  <c r="F2308" i="4"/>
  <c r="G2307" i="4"/>
  <c r="H2307" i="4" s="1"/>
  <c r="F2307" i="4"/>
  <c r="G2306" i="4"/>
  <c r="H2306" i="4" s="1"/>
  <c r="F2306" i="4"/>
  <c r="G2305" i="4"/>
  <c r="H2305" i="4" s="1"/>
  <c r="F2305" i="4"/>
  <c r="G2304" i="4"/>
  <c r="H2304" i="4" s="1"/>
  <c r="F2304" i="4"/>
  <c r="G2303" i="4"/>
  <c r="H2303" i="4" s="1"/>
  <c r="F2303" i="4"/>
  <c r="G2302" i="4"/>
  <c r="H2302" i="4" s="1"/>
  <c r="F2302" i="4"/>
  <c r="G2301" i="4"/>
  <c r="H2301" i="4" s="1"/>
  <c r="F2301" i="4"/>
  <c r="G2300" i="4"/>
  <c r="H2300" i="4" s="1"/>
  <c r="F2300" i="4"/>
  <c r="G2299" i="4"/>
  <c r="H2299" i="4" s="1"/>
  <c r="F2299" i="4"/>
  <c r="G2298" i="4"/>
  <c r="H2298" i="4" s="1"/>
  <c r="F2298" i="4"/>
  <c r="G2297" i="4"/>
  <c r="H2297" i="4" s="1"/>
  <c r="F2297" i="4"/>
  <c r="G2129" i="4"/>
  <c r="H2129" i="4" s="1"/>
  <c r="F2129" i="4"/>
  <c r="G2128" i="4"/>
  <c r="H2128" i="4" s="1"/>
  <c r="F2128" i="4"/>
  <c r="G2127" i="4"/>
  <c r="H2127" i="4" s="1"/>
  <c r="F2127" i="4"/>
  <c r="G2126" i="4"/>
  <c r="H2126" i="4" s="1"/>
  <c r="F2126" i="4"/>
  <c r="G2125" i="4"/>
  <c r="H2125" i="4" s="1"/>
  <c r="F2125" i="4"/>
  <c r="G2124" i="4"/>
  <c r="H2124" i="4" s="1"/>
  <c r="F2124" i="4"/>
  <c r="G2123" i="4"/>
  <c r="H2123" i="4" s="1"/>
  <c r="F2123" i="4"/>
  <c r="G2122" i="4"/>
  <c r="H2122" i="4" s="1"/>
  <c r="F2122" i="4"/>
  <c r="G2121" i="4"/>
  <c r="H2121" i="4" s="1"/>
  <c r="F2121" i="4"/>
  <c r="G2120" i="4"/>
  <c r="H2120" i="4" s="1"/>
  <c r="F2120" i="4"/>
  <c r="G2119" i="4"/>
  <c r="H2119" i="4" s="1"/>
  <c r="F2119" i="4"/>
  <c r="G2118" i="4"/>
  <c r="H2118" i="4" s="1"/>
  <c r="F2118" i="4"/>
  <c r="G2117" i="4"/>
  <c r="H2117" i="4" s="1"/>
  <c r="F2117" i="4"/>
  <c r="G2116" i="4"/>
  <c r="H2116" i="4" s="1"/>
  <c r="F2116" i="4"/>
  <c r="G2115" i="4"/>
  <c r="H2115" i="4" s="1"/>
  <c r="F2115" i="4"/>
  <c r="G2114" i="4"/>
  <c r="H2114" i="4" s="1"/>
  <c r="F2114" i="4"/>
  <c r="G2113" i="4"/>
  <c r="H2113" i="4" s="1"/>
  <c r="F2113" i="4"/>
  <c r="G2112" i="4"/>
  <c r="H2112" i="4" s="1"/>
  <c r="F2112" i="4"/>
  <c r="G2111" i="4"/>
  <c r="H2111" i="4" s="1"/>
  <c r="F2111" i="4"/>
  <c r="G2110" i="4"/>
  <c r="H2110" i="4" s="1"/>
  <c r="F2110" i="4"/>
  <c r="G2109" i="4"/>
  <c r="H2109" i="4" s="1"/>
  <c r="F2109" i="4"/>
  <c r="G2108" i="4"/>
  <c r="H2108" i="4" s="1"/>
  <c r="F2108" i="4"/>
  <c r="G2107" i="4"/>
  <c r="H2107" i="4" s="1"/>
  <c r="F2107" i="4"/>
  <c r="G2106" i="4"/>
  <c r="H2106" i="4" s="1"/>
  <c r="F2106" i="4"/>
  <c r="G2105" i="4"/>
  <c r="H2105" i="4" s="1"/>
  <c r="F2105" i="4"/>
  <c r="G1936" i="4"/>
  <c r="H1936" i="4" s="1"/>
  <c r="F1936" i="4"/>
  <c r="G1935" i="4"/>
  <c r="H1935" i="4" s="1"/>
  <c r="F1935" i="4"/>
  <c r="G1934" i="4"/>
  <c r="H1934" i="4" s="1"/>
  <c r="F1934" i="4"/>
  <c r="G1933" i="4"/>
  <c r="H1933" i="4" s="1"/>
  <c r="F1933" i="4"/>
  <c r="G1932" i="4"/>
  <c r="H1932" i="4" s="1"/>
  <c r="F1932" i="4"/>
  <c r="G1931" i="4"/>
  <c r="H1931" i="4" s="1"/>
  <c r="F1931" i="4"/>
  <c r="G1930" i="4"/>
  <c r="H1930" i="4" s="1"/>
  <c r="F1930" i="4"/>
  <c r="G1929" i="4"/>
  <c r="H1929" i="4" s="1"/>
  <c r="F1929" i="4"/>
  <c r="G1928" i="4"/>
  <c r="H1928" i="4" s="1"/>
  <c r="F1928" i="4"/>
  <c r="G1927" i="4"/>
  <c r="H1927" i="4" s="1"/>
  <c r="F1927" i="4"/>
  <c r="G1926" i="4"/>
  <c r="H1926" i="4" s="1"/>
  <c r="F1926" i="4"/>
  <c r="G1735" i="4"/>
  <c r="H1735" i="4" s="1"/>
  <c r="F1735" i="4"/>
  <c r="G1734" i="4"/>
  <c r="H1734" i="4" s="1"/>
  <c r="F1734" i="4"/>
  <c r="G1733" i="4"/>
  <c r="H1733" i="4" s="1"/>
  <c r="F1733" i="4"/>
  <c r="G1732" i="4"/>
  <c r="H1732" i="4" s="1"/>
  <c r="F1732" i="4"/>
  <c r="G1731" i="4"/>
  <c r="H1731" i="4" s="1"/>
  <c r="F1731" i="4"/>
  <c r="G1730" i="4"/>
  <c r="H1730" i="4" s="1"/>
  <c r="F1730" i="4"/>
  <c r="G1729" i="4"/>
  <c r="H1729" i="4" s="1"/>
  <c r="F1729" i="4"/>
  <c r="G1728" i="4"/>
  <c r="H1728" i="4" s="1"/>
  <c r="F1728" i="4"/>
  <c r="G1727" i="4"/>
  <c r="H1727" i="4" s="1"/>
  <c r="F1727" i="4"/>
  <c r="G1726" i="4"/>
  <c r="H1726" i="4" s="1"/>
  <c r="F1726" i="4"/>
  <c r="G1725" i="4"/>
  <c r="H1725" i="4" s="1"/>
  <c r="F1725" i="4"/>
  <c r="G1724" i="4"/>
  <c r="H1724" i="4" s="1"/>
  <c r="F1724" i="4"/>
  <c r="G1723" i="4"/>
  <c r="H1723" i="4" s="1"/>
  <c r="F1723" i="4"/>
  <c r="G1722" i="4"/>
  <c r="H1722" i="4" s="1"/>
  <c r="F1722" i="4"/>
  <c r="G1721" i="4"/>
  <c r="H1721" i="4" s="1"/>
  <c r="F1721" i="4"/>
  <c r="G1720" i="4"/>
  <c r="H1720" i="4" s="1"/>
  <c r="F1720" i="4"/>
  <c r="G1719" i="4"/>
  <c r="H1719" i="4" s="1"/>
  <c r="F1719" i="4"/>
  <c r="G1718" i="4"/>
  <c r="H1718" i="4" s="1"/>
  <c r="F1718" i="4"/>
  <c r="G1717" i="4"/>
  <c r="H1717" i="4" s="1"/>
  <c r="F1717" i="4"/>
  <c r="G1716" i="4"/>
  <c r="H1716" i="4" s="1"/>
  <c r="F1716" i="4"/>
  <c r="G1715" i="4"/>
  <c r="H1715" i="4" s="1"/>
  <c r="F1715" i="4"/>
  <c r="G1714" i="4"/>
  <c r="H1714" i="4" s="1"/>
  <c r="F1714" i="4"/>
  <c r="G1713" i="4"/>
  <c r="H1713" i="4" s="1"/>
  <c r="F1713" i="4"/>
  <c r="G1712" i="4"/>
  <c r="H1712" i="4" s="1"/>
  <c r="F1712" i="4"/>
  <c r="G1711" i="4"/>
  <c r="H1711" i="4" s="1"/>
  <c r="F1711" i="4"/>
  <c r="G1529" i="4"/>
  <c r="H1529" i="4" s="1"/>
  <c r="F1529" i="4"/>
  <c r="G1528" i="4"/>
  <c r="H1528" i="4" s="1"/>
  <c r="F1528" i="4"/>
  <c r="G1527" i="4"/>
  <c r="H1527" i="4" s="1"/>
  <c r="F1527" i="4"/>
  <c r="G1526" i="4"/>
  <c r="H1526" i="4" s="1"/>
  <c r="F1526" i="4"/>
  <c r="G1525" i="4"/>
  <c r="H1525" i="4" s="1"/>
  <c r="F1525" i="4"/>
  <c r="G1524" i="4"/>
  <c r="H1524" i="4" s="1"/>
  <c r="F1524" i="4"/>
  <c r="G1523" i="4"/>
  <c r="H1523" i="4" s="1"/>
  <c r="F1523" i="4"/>
  <c r="G1522" i="4"/>
  <c r="H1522" i="4" s="1"/>
  <c r="F1522" i="4"/>
  <c r="G1521" i="4"/>
  <c r="H1521" i="4" s="1"/>
  <c r="F1521" i="4"/>
  <c r="G1520" i="4"/>
  <c r="H1520" i="4" s="1"/>
  <c r="F1520" i="4"/>
  <c r="G1519" i="4"/>
  <c r="H1519" i="4" s="1"/>
  <c r="F1519" i="4"/>
  <c r="G1518" i="4"/>
  <c r="H1518" i="4" s="1"/>
  <c r="F1518" i="4"/>
  <c r="G1517" i="4"/>
  <c r="H1517" i="4" s="1"/>
  <c r="F1517" i="4"/>
  <c r="G1516" i="4"/>
  <c r="H1516" i="4" s="1"/>
  <c r="F1516" i="4"/>
  <c r="G1515" i="4"/>
  <c r="H1515" i="4" s="1"/>
  <c r="F1515" i="4"/>
  <c r="G1514" i="4"/>
  <c r="H1514" i="4" s="1"/>
  <c r="F1514" i="4"/>
  <c r="G1513" i="4"/>
  <c r="H1513" i="4" s="1"/>
  <c r="F1513" i="4"/>
  <c r="G1512" i="4"/>
  <c r="H1512" i="4" s="1"/>
  <c r="F1512" i="4"/>
  <c r="G1511" i="4"/>
  <c r="H1511" i="4" s="1"/>
  <c r="F1511" i="4"/>
  <c r="G1510" i="4"/>
  <c r="H1510" i="4" s="1"/>
  <c r="F1510" i="4"/>
  <c r="G1509" i="4"/>
  <c r="H1509" i="4" s="1"/>
  <c r="F1509" i="4"/>
  <c r="G1508" i="4"/>
  <c r="H1508" i="4" s="1"/>
  <c r="F1508" i="4"/>
  <c r="G1507" i="4"/>
  <c r="H1507" i="4" s="1"/>
  <c r="F1507" i="4"/>
  <c r="G1506" i="4"/>
  <c r="H1506" i="4" s="1"/>
  <c r="F1506" i="4"/>
  <c r="G1505" i="4"/>
  <c r="H1505" i="4" s="1"/>
  <c r="F1505" i="4"/>
  <c r="G1326" i="4"/>
  <c r="H1326" i="4" s="1"/>
  <c r="F1326" i="4"/>
  <c r="G1325" i="4"/>
  <c r="H1325" i="4" s="1"/>
  <c r="F1325" i="4"/>
  <c r="G1324" i="4"/>
  <c r="H1324" i="4" s="1"/>
  <c r="F1324" i="4"/>
  <c r="G1323" i="4"/>
  <c r="H1323" i="4" s="1"/>
  <c r="F1323" i="4"/>
  <c r="G1322" i="4"/>
  <c r="H1322" i="4" s="1"/>
  <c r="F1322" i="4"/>
  <c r="G1321" i="4"/>
  <c r="H1321" i="4" s="1"/>
  <c r="F1321" i="4"/>
  <c r="G1320" i="4"/>
  <c r="H1320" i="4" s="1"/>
  <c r="F1320" i="4"/>
  <c r="G1319" i="4"/>
  <c r="H1319" i="4" s="1"/>
  <c r="F1319" i="4"/>
  <c r="G1318" i="4"/>
  <c r="H1318" i="4" s="1"/>
  <c r="F1318" i="4"/>
  <c r="G1317" i="4"/>
  <c r="H1317" i="4" s="1"/>
  <c r="F1317" i="4"/>
  <c r="G1316" i="4"/>
  <c r="H1316" i="4" s="1"/>
  <c r="F1316" i="4"/>
  <c r="G1315" i="4"/>
  <c r="H1315" i="4" s="1"/>
  <c r="F1315" i="4"/>
  <c r="G1314" i="4"/>
  <c r="H1314" i="4" s="1"/>
  <c r="F1314" i="4"/>
  <c r="G1313" i="4"/>
  <c r="H1313" i="4" s="1"/>
  <c r="F1313" i="4"/>
  <c r="G1312" i="4"/>
  <c r="H1312" i="4" s="1"/>
  <c r="F1312" i="4"/>
  <c r="G1311" i="4"/>
  <c r="H1311" i="4" s="1"/>
  <c r="F1311" i="4"/>
  <c r="G1310" i="4"/>
  <c r="H1310" i="4" s="1"/>
  <c r="F1310" i="4"/>
  <c r="G1309" i="4"/>
  <c r="H1309" i="4" s="1"/>
  <c r="F1309" i="4"/>
  <c r="G1308" i="4"/>
  <c r="H1308" i="4" s="1"/>
  <c r="F1308" i="4"/>
  <c r="G1307" i="4"/>
  <c r="H1307" i="4" s="1"/>
  <c r="F1307" i="4"/>
  <c r="G1306" i="4"/>
  <c r="H1306" i="4" s="1"/>
  <c r="F1306" i="4"/>
  <c r="G1305" i="4"/>
  <c r="H1305" i="4" s="1"/>
  <c r="F1305" i="4"/>
  <c r="G1304" i="4"/>
  <c r="H1304" i="4" s="1"/>
  <c r="F1304" i="4"/>
  <c r="G1303" i="4"/>
  <c r="H1303" i="4" s="1"/>
  <c r="F1303" i="4"/>
  <c r="G1302" i="4"/>
  <c r="H1302" i="4" s="1"/>
  <c r="F1302" i="4"/>
  <c r="G1110" i="4"/>
  <c r="H1110" i="4" s="1"/>
  <c r="F1110" i="4"/>
  <c r="G1109" i="4"/>
  <c r="H1109" i="4" s="1"/>
  <c r="F1109" i="4"/>
  <c r="G1108" i="4"/>
  <c r="H1108" i="4" s="1"/>
  <c r="F1108" i="4"/>
  <c r="G1107" i="4"/>
  <c r="H1107" i="4" s="1"/>
  <c r="F1107" i="4"/>
  <c r="G1106" i="4"/>
  <c r="H1106" i="4" s="1"/>
  <c r="F1106" i="4"/>
  <c r="G1105" i="4"/>
  <c r="H1105" i="4" s="1"/>
  <c r="F1105" i="4"/>
  <c r="G1104" i="4"/>
  <c r="H1104" i="4" s="1"/>
  <c r="F1104" i="4"/>
  <c r="G1103" i="4"/>
  <c r="H1103" i="4" s="1"/>
  <c r="F1103" i="4"/>
  <c r="G1102" i="4"/>
  <c r="H1102" i="4" s="1"/>
  <c r="F1102" i="4"/>
  <c r="G1101" i="4"/>
  <c r="H1101" i="4" s="1"/>
  <c r="F1101" i="4"/>
  <c r="G1100" i="4"/>
  <c r="H1100" i="4" s="1"/>
  <c r="F1100" i="4"/>
  <c r="G1099" i="4"/>
  <c r="H1099" i="4" s="1"/>
  <c r="F1099" i="4"/>
  <c r="G1098" i="4"/>
  <c r="H1098" i="4" s="1"/>
  <c r="F1098" i="4"/>
  <c r="G1097" i="4"/>
  <c r="H1097" i="4" s="1"/>
  <c r="F1097" i="4"/>
  <c r="G1096" i="4"/>
  <c r="H1096" i="4" s="1"/>
  <c r="F1096" i="4"/>
  <c r="G1095" i="4"/>
  <c r="H1095" i="4" s="1"/>
  <c r="F1095" i="4"/>
  <c r="G1094" i="4"/>
  <c r="H1094" i="4" s="1"/>
  <c r="F1094" i="4"/>
  <c r="G1093" i="4"/>
  <c r="H1093" i="4" s="1"/>
  <c r="F1093" i="4"/>
  <c r="G1092" i="4"/>
  <c r="H1092" i="4" s="1"/>
  <c r="F1092" i="4"/>
  <c r="G1091" i="4"/>
  <c r="H1091" i="4" s="1"/>
  <c r="F1091" i="4"/>
  <c r="G1090" i="4"/>
  <c r="H1090" i="4" s="1"/>
  <c r="F1090" i="4"/>
  <c r="G1089" i="4"/>
  <c r="H1089" i="4" s="1"/>
  <c r="F1089" i="4"/>
  <c r="G1088" i="4"/>
  <c r="H1088" i="4" s="1"/>
  <c r="F1088" i="4"/>
  <c r="G1087" i="4"/>
  <c r="H1087" i="4" s="1"/>
  <c r="F1087" i="4"/>
  <c r="G1086" i="4"/>
  <c r="H1086" i="4" s="1"/>
  <c r="F1086" i="4"/>
  <c r="G897" i="4"/>
  <c r="H897" i="4" s="1"/>
  <c r="F897" i="4"/>
  <c r="G896" i="4"/>
  <c r="H896" i="4" s="1"/>
  <c r="F896" i="4"/>
  <c r="G895" i="4"/>
  <c r="H895" i="4" s="1"/>
  <c r="F895" i="4"/>
  <c r="G894" i="4"/>
  <c r="H894" i="4" s="1"/>
  <c r="F894" i="4"/>
  <c r="G893" i="4"/>
  <c r="H893" i="4" s="1"/>
  <c r="F893" i="4"/>
  <c r="G892" i="4"/>
  <c r="H892" i="4" s="1"/>
  <c r="F892" i="4"/>
  <c r="G891" i="4"/>
  <c r="H891" i="4" s="1"/>
  <c r="F891" i="4"/>
  <c r="G890" i="4"/>
  <c r="H890" i="4" s="1"/>
  <c r="F890" i="4"/>
  <c r="G889" i="4"/>
  <c r="H889" i="4" s="1"/>
  <c r="F889" i="4"/>
  <c r="G888" i="4"/>
  <c r="H888" i="4" s="1"/>
  <c r="F888" i="4"/>
  <c r="G887" i="4"/>
  <c r="H887" i="4" s="1"/>
  <c r="F887" i="4"/>
  <c r="G886" i="4"/>
  <c r="H886" i="4" s="1"/>
  <c r="F886" i="4"/>
  <c r="G885" i="4"/>
  <c r="H885" i="4" s="1"/>
  <c r="F885" i="4"/>
  <c r="G884" i="4"/>
  <c r="H884" i="4" s="1"/>
  <c r="F884" i="4"/>
  <c r="G883" i="4"/>
  <c r="H883" i="4" s="1"/>
  <c r="F883" i="4"/>
  <c r="G882" i="4"/>
  <c r="H882" i="4" s="1"/>
  <c r="F882" i="4"/>
  <c r="G881" i="4"/>
  <c r="H881" i="4" s="1"/>
  <c r="F881" i="4"/>
  <c r="G880" i="4"/>
  <c r="H880" i="4" s="1"/>
  <c r="F880" i="4"/>
  <c r="G879" i="4"/>
  <c r="H879" i="4" s="1"/>
  <c r="F879" i="4"/>
  <c r="G878" i="4"/>
  <c r="H878" i="4" s="1"/>
  <c r="F878" i="4"/>
  <c r="G877" i="4"/>
  <c r="H877" i="4" s="1"/>
  <c r="F877" i="4"/>
  <c r="G876" i="4"/>
  <c r="H876" i="4" s="1"/>
  <c r="F876" i="4"/>
  <c r="G875" i="4"/>
  <c r="H875" i="4" s="1"/>
  <c r="F875" i="4"/>
  <c r="G874" i="4"/>
  <c r="H874" i="4" s="1"/>
  <c r="F874" i="4"/>
  <c r="G873" i="4"/>
  <c r="H873" i="4" s="1"/>
  <c r="F873" i="4"/>
  <c r="G697" i="4"/>
  <c r="H697" i="4" s="1"/>
  <c r="F697" i="4"/>
  <c r="G696" i="4"/>
  <c r="H696" i="4" s="1"/>
  <c r="F696" i="4"/>
  <c r="G695" i="4"/>
  <c r="H695" i="4" s="1"/>
  <c r="F695" i="4"/>
  <c r="G694" i="4"/>
  <c r="H694" i="4" s="1"/>
  <c r="F694" i="4"/>
  <c r="G693" i="4"/>
  <c r="H693" i="4" s="1"/>
  <c r="F693" i="4"/>
  <c r="G692" i="4"/>
  <c r="H692" i="4" s="1"/>
  <c r="F692" i="4"/>
  <c r="G691" i="4"/>
  <c r="H691" i="4" s="1"/>
  <c r="F691" i="4"/>
  <c r="G690" i="4"/>
  <c r="H690" i="4" s="1"/>
  <c r="F690" i="4"/>
  <c r="G689" i="4"/>
  <c r="H689" i="4" s="1"/>
  <c r="F689" i="4"/>
  <c r="G688" i="4"/>
  <c r="H688" i="4" s="1"/>
  <c r="F688" i="4"/>
  <c r="G687" i="4"/>
  <c r="H687" i="4" s="1"/>
  <c r="F687" i="4"/>
  <c r="G686" i="4"/>
  <c r="H686" i="4" s="1"/>
  <c r="F686" i="4"/>
  <c r="G685" i="4"/>
  <c r="H685" i="4" s="1"/>
  <c r="F685" i="4"/>
  <c r="G684" i="4"/>
  <c r="H684" i="4" s="1"/>
  <c r="F684" i="4"/>
  <c r="G683" i="4"/>
  <c r="H683" i="4" s="1"/>
  <c r="F683" i="4"/>
  <c r="G682" i="4"/>
  <c r="H682" i="4" s="1"/>
  <c r="F682" i="4"/>
  <c r="G681" i="4"/>
  <c r="H681" i="4" s="1"/>
  <c r="F681" i="4"/>
  <c r="G680" i="4"/>
  <c r="H680" i="4" s="1"/>
  <c r="F680" i="4"/>
  <c r="G679" i="4"/>
  <c r="H679" i="4" s="1"/>
  <c r="F679" i="4"/>
  <c r="G678" i="4"/>
  <c r="H678" i="4" s="1"/>
  <c r="F678" i="4"/>
  <c r="G677" i="4"/>
  <c r="H677" i="4" s="1"/>
  <c r="F677" i="4"/>
  <c r="G676" i="4"/>
  <c r="H676" i="4" s="1"/>
  <c r="F676" i="4"/>
  <c r="G675" i="4"/>
  <c r="H675" i="4" s="1"/>
  <c r="F675" i="4"/>
  <c r="G674" i="4"/>
  <c r="H674" i="4" s="1"/>
  <c r="F674" i="4"/>
  <c r="G365" i="4"/>
  <c r="H365" i="4" s="1"/>
  <c r="F365" i="4"/>
  <c r="G364" i="4"/>
  <c r="H364" i="4" s="1"/>
  <c r="F364" i="4"/>
  <c r="G363" i="4"/>
  <c r="H363" i="4" s="1"/>
  <c r="F363" i="4"/>
  <c r="G362" i="4"/>
  <c r="H362" i="4" s="1"/>
  <c r="F362" i="4"/>
  <c r="G361" i="4"/>
  <c r="H361" i="4" s="1"/>
  <c r="F361" i="4"/>
  <c r="G360" i="4"/>
  <c r="H360" i="4" s="1"/>
  <c r="F360" i="4"/>
  <c r="G359" i="4"/>
  <c r="H359" i="4" s="1"/>
  <c r="F359" i="4"/>
  <c r="G358" i="4"/>
  <c r="H358" i="4" s="1"/>
  <c r="F358" i="4"/>
  <c r="G357" i="4"/>
  <c r="H357" i="4" s="1"/>
  <c r="F357" i="4"/>
  <c r="G356" i="4"/>
  <c r="H356" i="4" s="1"/>
  <c r="F356" i="4"/>
  <c r="G355" i="4"/>
  <c r="H355" i="4" s="1"/>
  <c r="F355" i="4"/>
  <c r="G354" i="4"/>
  <c r="H354" i="4" s="1"/>
  <c r="F354" i="4"/>
  <c r="G353" i="4"/>
  <c r="H353" i="4" s="1"/>
  <c r="F353" i="4"/>
  <c r="G352" i="4"/>
  <c r="H352" i="4" s="1"/>
  <c r="F352" i="4"/>
  <c r="G351" i="4"/>
  <c r="H351" i="4" s="1"/>
  <c r="F351" i="4"/>
  <c r="G350" i="4"/>
  <c r="H350" i="4" s="1"/>
  <c r="F350" i="4"/>
  <c r="G349" i="4"/>
  <c r="H349" i="4" s="1"/>
  <c r="F349" i="4"/>
  <c r="G348" i="4"/>
  <c r="H348" i="4" s="1"/>
  <c r="F348" i="4"/>
  <c r="G347" i="4"/>
  <c r="H347" i="4" s="1"/>
  <c r="F347" i="4"/>
  <c r="G346" i="4"/>
  <c r="H346" i="4" s="1"/>
  <c r="F346" i="4"/>
  <c r="G345" i="4"/>
  <c r="H345" i="4" s="1"/>
  <c r="F345" i="4"/>
  <c r="G344" i="4"/>
  <c r="H344" i="4" s="1"/>
  <c r="F344" i="4"/>
  <c r="G343" i="4"/>
  <c r="H343" i="4" s="1"/>
  <c r="F343" i="4"/>
  <c r="G342" i="4"/>
  <c r="H342" i="4" s="1"/>
  <c r="F342" i="4"/>
  <c r="G341" i="4"/>
  <c r="H341" i="4" s="1"/>
  <c r="F341" i="4"/>
  <c r="G147" i="4"/>
  <c r="H147" i="4" s="1"/>
  <c r="F147" i="4"/>
  <c r="G146" i="4"/>
  <c r="H146" i="4" s="1"/>
  <c r="F146" i="4"/>
  <c r="G145" i="4"/>
  <c r="H145" i="4" s="1"/>
  <c r="F145" i="4"/>
  <c r="G144" i="4"/>
  <c r="H144" i="4" s="1"/>
  <c r="F144" i="4"/>
  <c r="G143" i="4"/>
  <c r="H143" i="4" s="1"/>
  <c r="F143" i="4"/>
  <c r="G142" i="4"/>
  <c r="H142" i="4" s="1"/>
  <c r="F142" i="4"/>
  <c r="G141" i="4"/>
  <c r="H141" i="4" s="1"/>
  <c r="F141" i="4"/>
  <c r="G140" i="4"/>
  <c r="H140" i="4" s="1"/>
  <c r="F140" i="4"/>
  <c r="G139" i="4"/>
  <c r="H139" i="4" s="1"/>
  <c r="F139" i="4"/>
  <c r="G138" i="4"/>
  <c r="H138" i="4" s="1"/>
  <c r="F138" i="4"/>
  <c r="G137" i="4"/>
  <c r="H137" i="4" s="1"/>
  <c r="F137" i="4"/>
  <c r="G136" i="4"/>
  <c r="H136" i="4" s="1"/>
  <c r="F136" i="4"/>
  <c r="G135" i="4"/>
  <c r="H135" i="4" s="1"/>
  <c r="F135" i="4"/>
  <c r="G134" i="4"/>
  <c r="H134" i="4" s="1"/>
  <c r="F134" i="4"/>
  <c r="G133" i="4"/>
  <c r="H133" i="4" s="1"/>
  <c r="F133" i="4"/>
  <c r="G132" i="4"/>
  <c r="H132" i="4" s="1"/>
  <c r="F132" i="4"/>
  <c r="G131" i="4"/>
  <c r="H131" i="4" s="1"/>
  <c r="F131" i="4"/>
  <c r="G130" i="4"/>
  <c r="H130" i="4" s="1"/>
  <c r="F130" i="4"/>
  <c r="G129" i="4"/>
  <c r="H129" i="4" s="1"/>
  <c r="F129" i="4"/>
  <c r="G128" i="4"/>
  <c r="H128" i="4" s="1"/>
  <c r="F128" i="4"/>
  <c r="G127" i="4"/>
  <c r="H127" i="4" s="1"/>
  <c r="F127" i="4"/>
  <c r="G126" i="4"/>
  <c r="H126" i="4" s="1"/>
  <c r="F126" i="4"/>
  <c r="G2296" i="4"/>
  <c r="H2296" i="4" s="1"/>
  <c r="F2296" i="4"/>
  <c r="G2295" i="4"/>
  <c r="H2295" i="4" s="1"/>
  <c r="F2295" i="4"/>
  <c r="G2294" i="4"/>
  <c r="H2294" i="4" s="1"/>
  <c r="F2294" i="4"/>
  <c r="G2293" i="4"/>
  <c r="H2293" i="4" s="1"/>
  <c r="F2293" i="4"/>
  <c r="G2292" i="4"/>
  <c r="H2292" i="4" s="1"/>
  <c r="F2292" i="4"/>
  <c r="G2291" i="4"/>
  <c r="H2291" i="4" s="1"/>
  <c r="F2291" i="4"/>
  <c r="G2290" i="4"/>
  <c r="H2290" i="4" s="1"/>
  <c r="F2290" i="4"/>
  <c r="G2289" i="4"/>
  <c r="H2289" i="4" s="1"/>
  <c r="F2289" i="4"/>
  <c r="G2288" i="4"/>
  <c r="H2288" i="4" s="1"/>
  <c r="F2288" i="4"/>
  <c r="G2287" i="4"/>
  <c r="H2287" i="4" s="1"/>
  <c r="F2287" i="4"/>
  <c r="G2286" i="4"/>
  <c r="H2286" i="4" s="1"/>
  <c r="F2286" i="4"/>
  <c r="G2285" i="4"/>
  <c r="H2285" i="4" s="1"/>
  <c r="F2285" i="4"/>
  <c r="G2284" i="4"/>
  <c r="H2284" i="4" s="1"/>
  <c r="F2284" i="4"/>
  <c r="G2283" i="4"/>
  <c r="H2283" i="4" s="1"/>
  <c r="F2283" i="4"/>
  <c r="G2282" i="4"/>
  <c r="H2282" i="4" s="1"/>
  <c r="F2282" i="4"/>
  <c r="G2281" i="4"/>
  <c r="H2281" i="4" s="1"/>
  <c r="F2281" i="4"/>
  <c r="G2280" i="4"/>
  <c r="H2280" i="4" s="1"/>
  <c r="F2280" i="4"/>
  <c r="G2279" i="4"/>
  <c r="H2279" i="4" s="1"/>
  <c r="F2279" i="4"/>
  <c r="G2278" i="4"/>
  <c r="H2278" i="4" s="1"/>
  <c r="F2278" i="4"/>
  <c r="G2277" i="4"/>
  <c r="H2277" i="4" s="1"/>
  <c r="F2277" i="4"/>
  <c r="G2276" i="4"/>
  <c r="H2276" i="4" s="1"/>
  <c r="F2276" i="4"/>
  <c r="G2275" i="4"/>
  <c r="H2275" i="4" s="1"/>
  <c r="F2275" i="4"/>
  <c r="G2274" i="4"/>
  <c r="H2274" i="4" s="1"/>
  <c r="F2274" i="4"/>
  <c r="G2273" i="4"/>
  <c r="H2273" i="4" s="1"/>
  <c r="F2273" i="4"/>
  <c r="G2272" i="4"/>
  <c r="H2272" i="4" s="1"/>
  <c r="F2272" i="4"/>
  <c r="G2104" i="4"/>
  <c r="H2104" i="4" s="1"/>
  <c r="F2104" i="4"/>
  <c r="G2103" i="4"/>
  <c r="H2103" i="4" s="1"/>
  <c r="F2103" i="4"/>
  <c r="G2102" i="4"/>
  <c r="H2102" i="4" s="1"/>
  <c r="F2102" i="4"/>
  <c r="G2101" i="4"/>
  <c r="H2101" i="4" s="1"/>
  <c r="F2101" i="4"/>
  <c r="G2100" i="4"/>
  <c r="H2100" i="4" s="1"/>
  <c r="F2100" i="4"/>
  <c r="G2099" i="4"/>
  <c r="H2099" i="4" s="1"/>
  <c r="F2099" i="4"/>
  <c r="G2098" i="4"/>
  <c r="H2098" i="4" s="1"/>
  <c r="F2098" i="4"/>
  <c r="G2097" i="4"/>
  <c r="H2097" i="4" s="1"/>
  <c r="F2097" i="4"/>
  <c r="G2096" i="4"/>
  <c r="H2096" i="4" s="1"/>
  <c r="F2096" i="4"/>
  <c r="G2095" i="4"/>
  <c r="H2095" i="4" s="1"/>
  <c r="F2095" i="4"/>
  <c r="G2094" i="4"/>
  <c r="H2094" i="4" s="1"/>
  <c r="F2094" i="4"/>
  <c r="G2093" i="4"/>
  <c r="H2093" i="4" s="1"/>
  <c r="F2093" i="4"/>
  <c r="G2092" i="4"/>
  <c r="H2092" i="4" s="1"/>
  <c r="F2092" i="4"/>
  <c r="G2091" i="4"/>
  <c r="H2091" i="4" s="1"/>
  <c r="F2091" i="4"/>
  <c r="G2090" i="4"/>
  <c r="H2090" i="4" s="1"/>
  <c r="F2090" i="4"/>
  <c r="G2089" i="4"/>
  <c r="H2089" i="4" s="1"/>
  <c r="F2089" i="4"/>
  <c r="G2088" i="4"/>
  <c r="H2088" i="4" s="1"/>
  <c r="F2088" i="4"/>
  <c r="G2087" i="4"/>
  <c r="H2087" i="4" s="1"/>
  <c r="F2087" i="4"/>
  <c r="G2086" i="4"/>
  <c r="H2086" i="4" s="1"/>
  <c r="F2086" i="4"/>
  <c r="G2085" i="4"/>
  <c r="H2085" i="4" s="1"/>
  <c r="F2085" i="4"/>
  <c r="G2084" i="4"/>
  <c r="H2084" i="4" s="1"/>
  <c r="F2084" i="4"/>
  <c r="G2083" i="4"/>
  <c r="H2083" i="4" s="1"/>
  <c r="F2083" i="4"/>
  <c r="G2082" i="4"/>
  <c r="H2082" i="4" s="1"/>
  <c r="F2082" i="4"/>
  <c r="G2081" i="4"/>
  <c r="H2081" i="4" s="1"/>
  <c r="F2081" i="4"/>
  <c r="G2080" i="4"/>
  <c r="H2080" i="4" s="1"/>
  <c r="F2080" i="4"/>
  <c r="G1925" i="4"/>
  <c r="H1925" i="4" s="1"/>
  <c r="F1925" i="4"/>
  <c r="G1924" i="4"/>
  <c r="H1924" i="4" s="1"/>
  <c r="F1924" i="4"/>
  <c r="G1923" i="4"/>
  <c r="H1923" i="4" s="1"/>
  <c r="F1923" i="4"/>
  <c r="G1922" i="4"/>
  <c r="H1922" i="4" s="1"/>
  <c r="F1922" i="4"/>
  <c r="G1921" i="4"/>
  <c r="H1921" i="4" s="1"/>
  <c r="F1921" i="4"/>
  <c r="G1920" i="4"/>
  <c r="H1920" i="4" s="1"/>
  <c r="F1920" i="4"/>
  <c r="G1919" i="4"/>
  <c r="H1919" i="4" s="1"/>
  <c r="F1919" i="4"/>
  <c r="G1918" i="4"/>
  <c r="H1918" i="4" s="1"/>
  <c r="F1918" i="4"/>
  <c r="G1917" i="4"/>
  <c r="H1917" i="4" s="1"/>
  <c r="F1917" i="4"/>
  <c r="G1916" i="4"/>
  <c r="H1916" i="4" s="1"/>
  <c r="F1916" i="4"/>
  <c r="G1915" i="4"/>
  <c r="H1915" i="4" s="1"/>
  <c r="F1915" i="4"/>
  <c r="G1914" i="4"/>
  <c r="H1914" i="4" s="1"/>
  <c r="F1914" i="4"/>
  <c r="G1913" i="4"/>
  <c r="H1913" i="4" s="1"/>
  <c r="F1913" i="4"/>
  <c r="G1912" i="4"/>
  <c r="H1912" i="4" s="1"/>
  <c r="F1912" i="4"/>
  <c r="G1911" i="4"/>
  <c r="H1911" i="4" s="1"/>
  <c r="F1911" i="4"/>
  <c r="G1910" i="4"/>
  <c r="H1910" i="4" s="1"/>
  <c r="F1910" i="4"/>
  <c r="G1909" i="4"/>
  <c r="H1909" i="4" s="1"/>
  <c r="F1909" i="4"/>
  <c r="G1908" i="4"/>
  <c r="H1908" i="4" s="1"/>
  <c r="F1908" i="4"/>
  <c r="G1907" i="4"/>
  <c r="H1907" i="4" s="1"/>
  <c r="F1907" i="4"/>
  <c r="G1906" i="4"/>
  <c r="H1906" i="4" s="1"/>
  <c r="F1906" i="4"/>
  <c r="G1905" i="4"/>
  <c r="H1905" i="4" s="1"/>
  <c r="F1905" i="4"/>
  <c r="G1904" i="4"/>
  <c r="H1904" i="4" s="1"/>
  <c r="F1904" i="4"/>
  <c r="G1903" i="4"/>
  <c r="H1903" i="4" s="1"/>
  <c r="F1903" i="4"/>
  <c r="G1902" i="4"/>
  <c r="H1902" i="4" s="1"/>
  <c r="F1902" i="4"/>
  <c r="G1901" i="4"/>
  <c r="H1901" i="4" s="1"/>
  <c r="F1901" i="4"/>
  <c r="G1710" i="4"/>
  <c r="H1710" i="4" s="1"/>
  <c r="F1710" i="4"/>
  <c r="G1709" i="4"/>
  <c r="H1709" i="4" s="1"/>
  <c r="F1709" i="4"/>
  <c r="G1708" i="4"/>
  <c r="H1708" i="4" s="1"/>
  <c r="F1708" i="4"/>
  <c r="G1707" i="4"/>
  <c r="H1707" i="4" s="1"/>
  <c r="F1707" i="4"/>
  <c r="G1706" i="4"/>
  <c r="H1706" i="4" s="1"/>
  <c r="F1706" i="4"/>
  <c r="G1705" i="4"/>
  <c r="H1705" i="4" s="1"/>
  <c r="F1705" i="4"/>
  <c r="G1704" i="4"/>
  <c r="H1704" i="4" s="1"/>
  <c r="F1704" i="4"/>
  <c r="G1703" i="4"/>
  <c r="H1703" i="4" s="1"/>
  <c r="F1703" i="4"/>
  <c r="G1702" i="4"/>
  <c r="H1702" i="4" s="1"/>
  <c r="F1702" i="4"/>
  <c r="G1701" i="4"/>
  <c r="H1701" i="4" s="1"/>
  <c r="F1701" i="4"/>
  <c r="G1700" i="4"/>
  <c r="H1700" i="4" s="1"/>
  <c r="F1700" i="4"/>
  <c r="G1699" i="4"/>
  <c r="H1699" i="4" s="1"/>
  <c r="F1699" i="4"/>
  <c r="G1698" i="4"/>
  <c r="H1698" i="4" s="1"/>
  <c r="F1698" i="4"/>
  <c r="G1697" i="4"/>
  <c r="H1697" i="4" s="1"/>
  <c r="F1697" i="4"/>
  <c r="G1696" i="4"/>
  <c r="H1696" i="4" s="1"/>
  <c r="F1696" i="4"/>
  <c r="G1695" i="4"/>
  <c r="H1695" i="4" s="1"/>
  <c r="F1695" i="4"/>
  <c r="G1694" i="4"/>
  <c r="H1694" i="4" s="1"/>
  <c r="F1694" i="4"/>
  <c r="G1693" i="4"/>
  <c r="H1693" i="4" s="1"/>
  <c r="F1693" i="4"/>
  <c r="G1692" i="4"/>
  <c r="H1692" i="4" s="1"/>
  <c r="F1692" i="4"/>
  <c r="G1691" i="4"/>
  <c r="H1691" i="4" s="1"/>
  <c r="F1691" i="4"/>
  <c r="G1690" i="4"/>
  <c r="H1690" i="4" s="1"/>
  <c r="F1690" i="4"/>
  <c r="G1689" i="4"/>
  <c r="H1689" i="4" s="1"/>
  <c r="F1689" i="4"/>
  <c r="G1688" i="4"/>
  <c r="H1688" i="4" s="1"/>
  <c r="F1688" i="4"/>
  <c r="G1504" i="4"/>
  <c r="H1504" i="4" s="1"/>
  <c r="F1504" i="4"/>
  <c r="G1503" i="4"/>
  <c r="H1503" i="4" s="1"/>
  <c r="F1503" i="4"/>
  <c r="G1502" i="4"/>
  <c r="H1502" i="4" s="1"/>
  <c r="F1502" i="4"/>
  <c r="G1501" i="4"/>
  <c r="H1501" i="4" s="1"/>
  <c r="F1501" i="4"/>
  <c r="G1500" i="4"/>
  <c r="H1500" i="4" s="1"/>
  <c r="F1500" i="4"/>
  <c r="G1499" i="4"/>
  <c r="H1499" i="4" s="1"/>
  <c r="F1499" i="4"/>
  <c r="G1498" i="4"/>
  <c r="H1498" i="4" s="1"/>
  <c r="F1498" i="4"/>
  <c r="G1497" i="4"/>
  <c r="H1497" i="4" s="1"/>
  <c r="F1497" i="4"/>
  <c r="G1496" i="4"/>
  <c r="H1496" i="4" s="1"/>
  <c r="F1496" i="4"/>
  <c r="G1495" i="4"/>
  <c r="H1495" i="4" s="1"/>
  <c r="F1495" i="4"/>
  <c r="G1494" i="4"/>
  <c r="H1494" i="4" s="1"/>
  <c r="F1494" i="4"/>
  <c r="G1493" i="4"/>
  <c r="H1493" i="4" s="1"/>
  <c r="F1493" i="4"/>
  <c r="G1492" i="4"/>
  <c r="H1492" i="4" s="1"/>
  <c r="F1492" i="4"/>
  <c r="G1491" i="4"/>
  <c r="H1491" i="4" s="1"/>
  <c r="F1491" i="4"/>
  <c r="G1490" i="4"/>
  <c r="H1490" i="4" s="1"/>
  <c r="F1490" i="4"/>
  <c r="G1489" i="4"/>
  <c r="H1489" i="4" s="1"/>
  <c r="F1489" i="4"/>
  <c r="G1488" i="4"/>
  <c r="H1488" i="4" s="1"/>
  <c r="F1488" i="4"/>
  <c r="G1487" i="4"/>
  <c r="H1487" i="4" s="1"/>
  <c r="F1487" i="4"/>
  <c r="G1486" i="4"/>
  <c r="H1486" i="4" s="1"/>
  <c r="F1486" i="4"/>
  <c r="G1485" i="4"/>
  <c r="H1485" i="4" s="1"/>
  <c r="F1485" i="4"/>
  <c r="G1484" i="4"/>
  <c r="H1484" i="4" s="1"/>
  <c r="F1484" i="4"/>
  <c r="G1483" i="4"/>
  <c r="H1483" i="4" s="1"/>
  <c r="F1483" i="4"/>
  <c r="G1301" i="4"/>
  <c r="H1301" i="4" s="1"/>
  <c r="F1301" i="4"/>
  <c r="G1300" i="4"/>
  <c r="H1300" i="4" s="1"/>
  <c r="F1300" i="4"/>
  <c r="G1299" i="4"/>
  <c r="H1299" i="4" s="1"/>
  <c r="F1299" i="4"/>
  <c r="G1298" i="4"/>
  <c r="H1298" i="4" s="1"/>
  <c r="F1298" i="4"/>
  <c r="G1297" i="4"/>
  <c r="H1297" i="4" s="1"/>
  <c r="F1297" i="4"/>
  <c r="G1296" i="4"/>
  <c r="H1296" i="4" s="1"/>
  <c r="F1296" i="4"/>
  <c r="G1295" i="4"/>
  <c r="H1295" i="4" s="1"/>
  <c r="F1295" i="4"/>
  <c r="G1294" i="4"/>
  <c r="H1294" i="4" s="1"/>
  <c r="F1294" i="4"/>
  <c r="G1293" i="4"/>
  <c r="H1293" i="4" s="1"/>
  <c r="F1293" i="4"/>
  <c r="G1292" i="4"/>
  <c r="H1292" i="4" s="1"/>
  <c r="F1292" i="4"/>
  <c r="G1291" i="4"/>
  <c r="H1291" i="4" s="1"/>
  <c r="F1291" i="4"/>
  <c r="G1290" i="4"/>
  <c r="H1290" i="4" s="1"/>
  <c r="F1290" i="4"/>
  <c r="G1289" i="4"/>
  <c r="H1289" i="4" s="1"/>
  <c r="F1289" i="4"/>
  <c r="G1288" i="4"/>
  <c r="H1288" i="4" s="1"/>
  <c r="F1288" i="4"/>
  <c r="G1287" i="4"/>
  <c r="H1287" i="4" s="1"/>
  <c r="F1287" i="4"/>
  <c r="G1286" i="4"/>
  <c r="H1286" i="4" s="1"/>
  <c r="F1286" i="4"/>
  <c r="G1285" i="4"/>
  <c r="H1285" i="4" s="1"/>
  <c r="F1285" i="4"/>
  <c r="G1284" i="4"/>
  <c r="H1284" i="4" s="1"/>
  <c r="F1284" i="4"/>
  <c r="G1283" i="4"/>
  <c r="H1283" i="4" s="1"/>
  <c r="F1283" i="4"/>
  <c r="G1282" i="4"/>
  <c r="H1282" i="4" s="1"/>
  <c r="F1282" i="4"/>
  <c r="G1281" i="4"/>
  <c r="H1281" i="4" s="1"/>
  <c r="F1281" i="4"/>
  <c r="G1280" i="4"/>
  <c r="H1280" i="4" s="1"/>
  <c r="F1280" i="4"/>
  <c r="G1279" i="4"/>
  <c r="H1279" i="4" s="1"/>
  <c r="F1279" i="4"/>
  <c r="G1278" i="4"/>
  <c r="H1278" i="4" s="1"/>
  <c r="F1278" i="4"/>
  <c r="G1085" i="4"/>
  <c r="H1085" i="4" s="1"/>
  <c r="F1085" i="4"/>
  <c r="G1084" i="4"/>
  <c r="H1084" i="4" s="1"/>
  <c r="F1084" i="4"/>
  <c r="G1083" i="4"/>
  <c r="H1083" i="4" s="1"/>
  <c r="F1083" i="4"/>
  <c r="G1082" i="4"/>
  <c r="H1082" i="4" s="1"/>
  <c r="F1082" i="4"/>
  <c r="G1081" i="4"/>
  <c r="H1081" i="4" s="1"/>
  <c r="F1081" i="4"/>
  <c r="G1080" i="4"/>
  <c r="H1080" i="4" s="1"/>
  <c r="F1080" i="4"/>
  <c r="G1079" i="4"/>
  <c r="H1079" i="4" s="1"/>
  <c r="F1079" i="4"/>
  <c r="G1078" i="4"/>
  <c r="H1078" i="4" s="1"/>
  <c r="F1078" i="4"/>
  <c r="G1077" i="4"/>
  <c r="H1077" i="4" s="1"/>
  <c r="F1077" i="4"/>
  <c r="G1076" i="4"/>
  <c r="H1076" i="4" s="1"/>
  <c r="F1076" i="4"/>
  <c r="G1075" i="4"/>
  <c r="H1075" i="4" s="1"/>
  <c r="F1075" i="4"/>
  <c r="G1074" i="4"/>
  <c r="H1074" i="4" s="1"/>
  <c r="F1074" i="4"/>
  <c r="G1073" i="4"/>
  <c r="H1073" i="4" s="1"/>
  <c r="F1073" i="4"/>
  <c r="G1072" i="4"/>
  <c r="H1072" i="4" s="1"/>
  <c r="F1072" i="4"/>
  <c r="G1071" i="4"/>
  <c r="H1071" i="4" s="1"/>
  <c r="F1071" i="4"/>
  <c r="G1070" i="4"/>
  <c r="H1070" i="4" s="1"/>
  <c r="F1070" i="4"/>
  <c r="G1069" i="4"/>
  <c r="H1069" i="4" s="1"/>
  <c r="F1069" i="4"/>
  <c r="G1068" i="4"/>
  <c r="H1068" i="4" s="1"/>
  <c r="F1068" i="4"/>
  <c r="G1067" i="4"/>
  <c r="H1067" i="4" s="1"/>
  <c r="F1067" i="4"/>
  <c r="G1066" i="4"/>
  <c r="H1066" i="4" s="1"/>
  <c r="F1066" i="4"/>
  <c r="G1065" i="4"/>
  <c r="H1065" i="4" s="1"/>
  <c r="F1065" i="4"/>
  <c r="G1064" i="4"/>
  <c r="H1064" i="4" s="1"/>
  <c r="F1064" i="4"/>
  <c r="G1063" i="4"/>
  <c r="H1063" i="4" s="1"/>
  <c r="F1063" i="4"/>
  <c r="G1062" i="4"/>
  <c r="H1062" i="4" s="1"/>
  <c r="F1062" i="4"/>
  <c r="G872" i="4"/>
  <c r="H872" i="4" s="1"/>
  <c r="F872" i="4"/>
  <c r="G871" i="4"/>
  <c r="H871" i="4" s="1"/>
  <c r="F871" i="4"/>
  <c r="G870" i="4"/>
  <c r="H870" i="4" s="1"/>
  <c r="F870" i="4"/>
  <c r="G869" i="4"/>
  <c r="H869" i="4" s="1"/>
  <c r="F869" i="4"/>
  <c r="G868" i="4"/>
  <c r="H868" i="4" s="1"/>
  <c r="F868" i="4"/>
  <c r="G867" i="4"/>
  <c r="H867" i="4" s="1"/>
  <c r="F867" i="4"/>
  <c r="G866" i="4"/>
  <c r="H866" i="4" s="1"/>
  <c r="F866" i="4"/>
  <c r="G865" i="4"/>
  <c r="H865" i="4" s="1"/>
  <c r="F865" i="4"/>
  <c r="G864" i="4"/>
  <c r="H864" i="4" s="1"/>
  <c r="F864" i="4"/>
  <c r="G863" i="4"/>
  <c r="H863" i="4" s="1"/>
  <c r="F863" i="4"/>
  <c r="G862" i="4"/>
  <c r="H862" i="4" s="1"/>
  <c r="F862" i="4"/>
  <c r="G861" i="4"/>
  <c r="H861" i="4" s="1"/>
  <c r="F861" i="4"/>
  <c r="G860" i="4"/>
  <c r="H860" i="4" s="1"/>
  <c r="F860" i="4"/>
  <c r="G859" i="4"/>
  <c r="H859" i="4" s="1"/>
  <c r="F859" i="4"/>
  <c r="G858" i="4"/>
  <c r="H858" i="4" s="1"/>
  <c r="F858" i="4"/>
  <c r="G857" i="4"/>
  <c r="H857" i="4" s="1"/>
  <c r="F857" i="4"/>
  <c r="G856" i="4"/>
  <c r="H856" i="4" s="1"/>
  <c r="F856" i="4"/>
  <c r="G855" i="4"/>
  <c r="H855" i="4" s="1"/>
  <c r="F855" i="4"/>
  <c r="G854" i="4"/>
  <c r="H854" i="4" s="1"/>
  <c r="F854" i="4"/>
  <c r="G853" i="4"/>
  <c r="H853" i="4" s="1"/>
  <c r="F853" i="4"/>
  <c r="G852" i="4"/>
  <c r="H852" i="4" s="1"/>
  <c r="F852" i="4"/>
  <c r="G851" i="4"/>
  <c r="H851" i="4" s="1"/>
  <c r="F851" i="4"/>
  <c r="G850" i="4"/>
  <c r="H850" i="4" s="1"/>
  <c r="F850" i="4"/>
  <c r="G673" i="4"/>
  <c r="H673" i="4" s="1"/>
  <c r="F673" i="4"/>
  <c r="G672" i="4"/>
  <c r="H672" i="4" s="1"/>
  <c r="F672" i="4"/>
  <c r="G671" i="4"/>
  <c r="H671" i="4" s="1"/>
  <c r="F671" i="4"/>
  <c r="G670" i="4"/>
  <c r="H670" i="4" s="1"/>
  <c r="F670" i="4"/>
  <c r="G669" i="4"/>
  <c r="H669" i="4" s="1"/>
  <c r="F669" i="4"/>
  <c r="G668" i="4"/>
  <c r="H668" i="4" s="1"/>
  <c r="F668" i="4"/>
  <c r="G667" i="4"/>
  <c r="H667" i="4" s="1"/>
  <c r="F667" i="4"/>
  <c r="G666" i="4"/>
  <c r="H666" i="4" s="1"/>
  <c r="F666" i="4"/>
  <c r="G665" i="4"/>
  <c r="H665" i="4" s="1"/>
  <c r="F665" i="4"/>
  <c r="G664" i="4"/>
  <c r="H664" i="4" s="1"/>
  <c r="F664" i="4"/>
  <c r="G663" i="4"/>
  <c r="H663" i="4" s="1"/>
  <c r="F663" i="4"/>
  <c r="G662" i="4"/>
  <c r="H662" i="4" s="1"/>
  <c r="F662" i="4"/>
  <c r="G661" i="4"/>
  <c r="H661" i="4" s="1"/>
  <c r="F661" i="4"/>
  <c r="G660" i="4"/>
  <c r="H660" i="4" s="1"/>
  <c r="F660" i="4"/>
  <c r="G659" i="4"/>
  <c r="H659" i="4" s="1"/>
  <c r="F659" i="4"/>
  <c r="G658" i="4"/>
  <c r="H658" i="4" s="1"/>
  <c r="F658" i="4"/>
  <c r="G657" i="4"/>
  <c r="H657" i="4" s="1"/>
  <c r="F657" i="4"/>
  <c r="G656" i="4"/>
  <c r="H656" i="4" s="1"/>
  <c r="F656" i="4"/>
  <c r="G655" i="4"/>
  <c r="H655" i="4" s="1"/>
  <c r="F655" i="4"/>
  <c r="G654" i="4"/>
  <c r="H654" i="4" s="1"/>
  <c r="F654" i="4"/>
  <c r="G526" i="4"/>
  <c r="H526" i="4" s="1"/>
  <c r="F526" i="4"/>
  <c r="G525" i="4"/>
  <c r="H525" i="4" s="1"/>
  <c r="F525" i="4"/>
  <c r="G524" i="4"/>
  <c r="H524" i="4" s="1"/>
  <c r="F524" i="4"/>
  <c r="G523" i="4"/>
  <c r="H523" i="4" s="1"/>
  <c r="F523" i="4"/>
  <c r="G522" i="4"/>
  <c r="H522" i="4" s="1"/>
  <c r="F522" i="4"/>
  <c r="G521" i="4"/>
  <c r="H521" i="4" s="1"/>
  <c r="F521" i="4"/>
  <c r="G520" i="4"/>
  <c r="H520" i="4" s="1"/>
  <c r="F520" i="4"/>
  <c r="G519" i="4"/>
  <c r="H519" i="4" s="1"/>
  <c r="F519" i="4"/>
  <c r="G518" i="4"/>
  <c r="H518" i="4" s="1"/>
  <c r="F518" i="4"/>
  <c r="G517" i="4"/>
  <c r="H517" i="4" s="1"/>
  <c r="F517" i="4"/>
  <c r="G516" i="4"/>
  <c r="H516" i="4" s="1"/>
  <c r="F516" i="4"/>
  <c r="G515" i="4"/>
  <c r="H515" i="4" s="1"/>
  <c r="F515" i="4"/>
  <c r="G514" i="4"/>
  <c r="H514" i="4" s="1"/>
  <c r="F514" i="4"/>
  <c r="G513" i="4"/>
  <c r="H513" i="4" s="1"/>
  <c r="F513" i="4"/>
  <c r="G512" i="4"/>
  <c r="H512" i="4" s="1"/>
  <c r="F512" i="4"/>
  <c r="G511" i="4"/>
  <c r="H511" i="4" s="1"/>
  <c r="F511" i="4"/>
  <c r="G510" i="4"/>
  <c r="H510" i="4" s="1"/>
  <c r="F510" i="4"/>
  <c r="G509" i="4"/>
  <c r="H509" i="4" s="1"/>
  <c r="F509" i="4"/>
  <c r="G508" i="4"/>
  <c r="H508" i="4" s="1"/>
  <c r="F508" i="4"/>
  <c r="G507" i="4"/>
  <c r="H507" i="4" s="1"/>
  <c r="F507" i="4"/>
  <c r="G506" i="4"/>
  <c r="H506" i="4" s="1"/>
  <c r="F506" i="4"/>
  <c r="G505" i="4"/>
  <c r="H505" i="4" s="1"/>
  <c r="F505" i="4"/>
  <c r="G504" i="4"/>
  <c r="H504" i="4" s="1"/>
  <c r="F504" i="4"/>
  <c r="G503" i="4"/>
  <c r="H503" i="4" s="1"/>
  <c r="F503" i="4"/>
  <c r="G502" i="4"/>
  <c r="H502" i="4" s="1"/>
  <c r="F502" i="4"/>
  <c r="G340" i="4"/>
  <c r="H340" i="4" s="1"/>
  <c r="F340" i="4"/>
  <c r="G339" i="4"/>
  <c r="H339" i="4" s="1"/>
  <c r="F339" i="4"/>
  <c r="G338" i="4"/>
  <c r="H338" i="4" s="1"/>
  <c r="F338" i="4"/>
  <c r="G337" i="4"/>
  <c r="H337" i="4" s="1"/>
  <c r="F337" i="4"/>
  <c r="G336" i="4"/>
  <c r="H336" i="4" s="1"/>
  <c r="F336" i="4"/>
  <c r="G335" i="4"/>
  <c r="H335" i="4" s="1"/>
  <c r="F335" i="4"/>
  <c r="G334" i="4"/>
  <c r="H334" i="4" s="1"/>
  <c r="F334" i="4"/>
  <c r="G333" i="4"/>
  <c r="H333" i="4" s="1"/>
  <c r="F333" i="4"/>
  <c r="G332" i="4"/>
  <c r="H332" i="4" s="1"/>
  <c r="F332" i="4"/>
  <c r="G331" i="4"/>
  <c r="H331" i="4" s="1"/>
  <c r="F331" i="4"/>
  <c r="G330" i="4"/>
  <c r="H330" i="4" s="1"/>
  <c r="F330" i="4"/>
  <c r="G329" i="4"/>
  <c r="H329" i="4" s="1"/>
  <c r="F329" i="4"/>
  <c r="G328" i="4"/>
  <c r="H328" i="4" s="1"/>
  <c r="F328" i="4"/>
  <c r="G327" i="4"/>
  <c r="H327" i="4" s="1"/>
  <c r="F327" i="4"/>
  <c r="G326" i="4"/>
  <c r="H326" i="4" s="1"/>
  <c r="F326" i="4"/>
  <c r="G325" i="4"/>
  <c r="H325" i="4" s="1"/>
  <c r="F325" i="4"/>
  <c r="G324" i="4"/>
  <c r="H324" i="4" s="1"/>
  <c r="F324" i="4"/>
  <c r="G323" i="4"/>
  <c r="H323" i="4" s="1"/>
  <c r="F323" i="4"/>
  <c r="G322" i="4"/>
  <c r="H322" i="4" s="1"/>
  <c r="F322" i="4"/>
  <c r="G321" i="4"/>
  <c r="H321" i="4" s="1"/>
  <c r="F321" i="4"/>
  <c r="G320" i="4"/>
  <c r="H320" i="4" s="1"/>
  <c r="F320" i="4"/>
  <c r="G319" i="4"/>
  <c r="H319" i="4" s="1"/>
  <c r="F319" i="4"/>
  <c r="G318" i="4"/>
  <c r="H318" i="4" s="1"/>
  <c r="F318" i="4"/>
  <c r="G317" i="4"/>
  <c r="H317" i="4" s="1"/>
  <c r="F317" i="4"/>
  <c r="G316" i="4"/>
  <c r="H316" i="4" s="1"/>
  <c r="F316" i="4"/>
  <c r="G125" i="4"/>
  <c r="H125" i="4" s="1"/>
  <c r="F125" i="4"/>
  <c r="G124" i="4"/>
  <c r="H124" i="4" s="1"/>
  <c r="F124" i="4"/>
  <c r="G123" i="4"/>
  <c r="H123" i="4" s="1"/>
  <c r="F123" i="4"/>
  <c r="G122" i="4"/>
  <c r="H122" i="4" s="1"/>
  <c r="F122" i="4"/>
  <c r="G121" i="4"/>
  <c r="H121" i="4" s="1"/>
  <c r="F121" i="4"/>
  <c r="G120" i="4"/>
  <c r="H120" i="4" s="1"/>
  <c r="F120" i="4"/>
  <c r="G119" i="4"/>
  <c r="H119" i="4" s="1"/>
  <c r="F119" i="4"/>
  <c r="G118" i="4"/>
  <c r="H118" i="4" s="1"/>
  <c r="F118" i="4"/>
  <c r="G117" i="4"/>
  <c r="H117" i="4" s="1"/>
  <c r="F117" i="4"/>
  <c r="G116" i="4"/>
  <c r="H116" i="4" s="1"/>
  <c r="F116" i="4"/>
  <c r="G115" i="4"/>
  <c r="H115" i="4" s="1"/>
  <c r="F115" i="4"/>
  <c r="G114" i="4"/>
  <c r="H114" i="4" s="1"/>
  <c r="F114" i="4"/>
  <c r="G113" i="4"/>
  <c r="H113" i="4" s="1"/>
  <c r="F113" i="4"/>
  <c r="G112" i="4"/>
  <c r="H112" i="4" s="1"/>
  <c r="F112" i="4"/>
  <c r="G111" i="4"/>
  <c r="H111" i="4" s="1"/>
  <c r="F111" i="4"/>
  <c r="G110" i="4"/>
  <c r="H110" i="4" s="1"/>
  <c r="F110" i="4"/>
  <c r="G109" i="4"/>
  <c r="H109" i="4" s="1"/>
  <c r="F109" i="4"/>
  <c r="G108" i="4"/>
  <c r="H108" i="4" s="1"/>
  <c r="F108" i="4"/>
  <c r="G107" i="4"/>
  <c r="H107" i="4" s="1"/>
  <c r="F107" i="4"/>
  <c r="G106" i="4"/>
  <c r="H106" i="4" s="1"/>
  <c r="F106" i="4"/>
  <c r="G105" i="4"/>
  <c r="H105" i="4" s="1"/>
  <c r="F105" i="4"/>
  <c r="G2271" i="4"/>
  <c r="H2271" i="4" s="1"/>
  <c r="F2271" i="4"/>
  <c r="G2270" i="4"/>
  <c r="H2270" i="4" s="1"/>
  <c r="F2270" i="4"/>
  <c r="G2269" i="4"/>
  <c r="H2269" i="4" s="1"/>
  <c r="F2269" i="4"/>
  <c r="G2268" i="4"/>
  <c r="H2268" i="4" s="1"/>
  <c r="F2268" i="4"/>
  <c r="G2267" i="4"/>
  <c r="H2267" i="4" s="1"/>
  <c r="F2267" i="4"/>
  <c r="G2266" i="4"/>
  <c r="H2266" i="4" s="1"/>
  <c r="F2266" i="4"/>
  <c r="G2265" i="4"/>
  <c r="H2265" i="4" s="1"/>
  <c r="F2265" i="4"/>
  <c r="G2264" i="4"/>
  <c r="H2264" i="4" s="1"/>
  <c r="F2264" i="4"/>
  <c r="G2263" i="4"/>
  <c r="H2263" i="4" s="1"/>
  <c r="F2263" i="4"/>
  <c r="G2262" i="4"/>
  <c r="H2262" i="4" s="1"/>
  <c r="F2262" i="4"/>
  <c r="G2261" i="4"/>
  <c r="H2261" i="4" s="1"/>
  <c r="F2261" i="4"/>
  <c r="G2260" i="4"/>
  <c r="H2260" i="4" s="1"/>
  <c r="F2260" i="4"/>
  <c r="G2259" i="4"/>
  <c r="H2259" i="4" s="1"/>
  <c r="F2259" i="4"/>
  <c r="G2258" i="4"/>
  <c r="H2258" i="4" s="1"/>
  <c r="F2258" i="4"/>
  <c r="G2257" i="4"/>
  <c r="H2257" i="4" s="1"/>
  <c r="F2257" i="4"/>
  <c r="G2256" i="4"/>
  <c r="H2256" i="4" s="1"/>
  <c r="F2256" i="4"/>
  <c r="G2255" i="4"/>
  <c r="H2255" i="4" s="1"/>
  <c r="F2255" i="4"/>
  <c r="G2254" i="4"/>
  <c r="H2254" i="4" s="1"/>
  <c r="F2254" i="4"/>
  <c r="G2253" i="4"/>
  <c r="H2253" i="4" s="1"/>
  <c r="F2253" i="4"/>
  <c r="G2252" i="4"/>
  <c r="H2252" i="4" s="1"/>
  <c r="F2252" i="4"/>
  <c r="G2251" i="4"/>
  <c r="H2251" i="4" s="1"/>
  <c r="F2251" i="4"/>
  <c r="G2250" i="4"/>
  <c r="H2250" i="4" s="1"/>
  <c r="F2250" i="4"/>
  <c r="G2249" i="4"/>
  <c r="H2249" i="4" s="1"/>
  <c r="F2249" i="4"/>
  <c r="G2248" i="4"/>
  <c r="H2248" i="4" s="1"/>
  <c r="F2248" i="4"/>
  <c r="G2079" i="4"/>
  <c r="H2079" i="4" s="1"/>
  <c r="F2079" i="4"/>
  <c r="G2078" i="4"/>
  <c r="H2078" i="4" s="1"/>
  <c r="F2078" i="4"/>
  <c r="G2077" i="4"/>
  <c r="H2077" i="4" s="1"/>
  <c r="F2077" i="4"/>
  <c r="G2076" i="4"/>
  <c r="H2076" i="4" s="1"/>
  <c r="F2076" i="4"/>
  <c r="G2075" i="4"/>
  <c r="H2075" i="4" s="1"/>
  <c r="F2075" i="4"/>
  <c r="G2074" i="4"/>
  <c r="H2074" i="4" s="1"/>
  <c r="F2074" i="4"/>
  <c r="G2073" i="4"/>
  <c r="H2073" i="4" s="1"/>
  <c r="F2073" i="4"/>
  <c r="G2072" i="4"/>
  <c r="H2072" i="4" s="1"/>
  <c r="F2072" i="4"/>
  <c r="G2071" i="4"/>
  <c r="H2071" i="4" s="1"/>
  <c r="F2071" i="4"/>
  <c r="G2070" i="4"/>
  <c r="H2070" i="4" s="1"/>
  <c r="F2070" i="4"/>
  <c r="G2069" i="4"/>
  <c r="H2069" i="4" s="1"/>
  <c r="F2069" i="4"/>
  <c r="G2068" i="4"/>
  <c r="H2068" i="4" s="1"/>
  <c r="F2068" i="4"/>
  <c r="G2067" i="4"/>
  <c r="H2067" i="4" s="1"/>
  <c r="F2067" i="4"/>
  <c r="G2066" i="4"/>
  <c r="H2066" i="4" s="1"/>
  <c r="F2066" i="4"/>
  <c r="G2065" i="4"/>
  <c r="H2065" i="4" s="1"/>
  <c r="F2065" i="4"/>
  <c r="G2064" i="4"/>
  <c r="H2064" i="4" s="1"/>
  <c r="F2064" i="4"/>
  <c r="G2063" i="4"/>
  <c r="H2063" i="4" s="1"/>
  <c r="F2063" i="4"/>
  <c r="G2062" i="4"/>
  <c r="H2062" i="4" s="1"/>
  <c r="F2062" i="4"/>
  <c r="G2061" i="4"/>
  <c r="H2061" i="4" s="1"/>
  <c r="F2061" i="4"/>
  <c r="G2060" i="4"/>
  <c r="H2060" i="4" s="1"/>
  <c r="F2060" i="4"/>
  <c r="G2059" i="4"/>
  <c r="H2059" i="4" s="1"/>
  <c r="F2059" i="4"/>
  <c r="G2058" i="4"/>
  <c r="H2058" i="4" s="1"/>
  <c r="F2058" i="4"/>
  <c r="G2057" i="4"/>
  <c r="H2057" i="4" s="1"/>
  <c r="F2057" i="4"/>
  <c r="G2056" i="4"/>
  <c r="H2056" i="4" s="1"/>
  <c r="F2056" i="4"/>
  <c r="G1900" i="4"/>
  <c r="H1900" i="4" s="1"/>
  <c r="F1900" i="4"/>
  <c r="G1899" i="4"/>
  <c r="H1899" i="4" s="1"/>
  <c r="F1899" i="4"/>
  <c r="G1898" i="4"/>
  <c r="H1898" i="4" s="1"/>
  <c r="F1898" i="4"/>
  <c r="G1897" i="4"/>
  <c r="H1897" i="4" s="1"/>
  <c r="F1897" i="4"/>
  <c r="G1896" i="4"/>
  <c r="H1896" i="4" s="1"/>
  <c r="F1896" i="4"/>
  <c r="G1895" i="4"/>
  <c r="H1895" i="4" s="1"/>
  <c r="F1895" i="4"/>
  <c r="G1894" i="4"/>
  <c r="H1894" i="4" s="1"/>
  <c r="F1894" i="4"/>
  <c r="G1893" i="4"/>
  <c r="H1893" i="4" s="1"/>
  <c r="F1893" i="4"/>
  <c r="G1892" i="4"/>
  <c r="H1892" i="4" s="1"/>
  <c r="F1892" i="4"/>
  <c r="G1891" i="4"/>
  <c r="H1891" i="4" s="1"/>
  <c r="F1891" i="4"/>
  <c r="G1890" i="4"/>
  <c r="H1890" i="4" s="1"/>
  <c r="F1890" i="4"/>
  <c r="G1889" i="4"/>
  <c r="H1889" i="4" s="1"/>
  <c r="F1889" i="4"/>
  <c r="G1888" i="4"/>
  <c r="H1888" i="4" s="1"/>
  <c r="F1888" i="4"/>
  <c r="G1887" i="4"/>
  <c r="H1887" i="4" s="1"/>
  <c r="F1887" i="4"/>
  <c r="G1886" i="4"/>
  <c r="H1886" i="4" s="1"/>
  <c r="F1886" i="4"/>
  <c r="G1885" i="4"/>
  <c r="H1885" i="4" s="1"/>
  <c r="F1885" i="4"/>
  <c r="G1884" i="4"/>
  <c r="H1884" i="4" s="1"/>
  <c r="F1884" i="4"/>
  <c r="G1883" i="4"/>
  <c r="H1883" i="4" s="1"/>
  <c r="F1883" i="4"/>
  <c r="G1882" i="4"/>
  <c r="H1882" i="4" s="1"/>
  <c r="F1882" i="4"/>
  <c r="G1881" i="4"/>
  <c r="H1881" i="4" s="1"/>
  <c r="F1881" i="4"/>
  <c r="G1880" i="4"/>
  <c r="H1880" i="4" s="1"/>
  <c r="F1880" i="4"/>
  <c r="G1879" i="4"/>
  <c r="H1879" i="4" s="1"/>
  <c r="F1879" i="4"/>
  <c r="G1878" i="4"/>
  <c r="H1878" i="4" s="1"/>
  <c r="F1878" i="4"/>
  <c r="G1877" i="4"/>
  <c r="H1877" i="4" s="1"/>
  <c r="F1877" i="4"/>
  <c r="G1687" i="4"/>
  <c r="H1687" i="4" s="1"/>
  <c r="F1687" i="4"/>
  <c r="G1686" i="4"/>
  <c r="H1686" i="4" s="1"/>
  <c r="F1686" i="4"/>
  <c r="G1685" i="4"/>
  <c r="H1685" i="4" s="1"/>
  <c r="F1685" i="4"/>
  <c r="G1684" i="4"/>
  <c r="H1684" i="4" s="1"/>
  <c r="F1684" i="4"/>
  <c r="G1683" i="4"/>
  <c r="H1683" i="4" s="1"/>
  <c r="F1683" i="4"/>
  <c r="G1682" i="4"/>
  <c r="H1682" i="4" s="1"/>
  <c r="F1682" i="4"/>
  <c r="G1681" i="4"/>
  <c r="H1681" i="4" s="1"/>
  <c r="F1681" i="4"/>
  <c r="G1680" i="4"/>
  <c r="H1680" i="4" s="1"/>
  <c r="F1680" i="4"/>
  <c r="G1679" i="4"/>
  <c r="H1679" i="4" s="1"/>
  <c r="F1679" i="4"/>
  <c r="G1678" i="4"/>
  <c r="H1678" i="4" s="1"/>
  <c r="F1678" i="4"/>
  <c r="G1677" i="4"/>
  <c r="H1677" i="4" s="1"/>
  <c r="F1677" i="4"/>
  <c r="G1676" i="4"/>
  <c r="H1676" i="4" s="1"/>
  <c r="F1676" i="4"/>
  <c r="G1675" i="4"/>
  <c r="H1675" i="4" s="1"/>
  <c r="F1675" i="4"/>
  <c r="G1674" i="4"/>
  <c r="H1674" i="4" s="1"/>
  <c r="F1674" i="4"/>
  <c r="G1673" i="4"/>
  <c r="H1673" i="4" s="1"/>
  <c r="F1673" i="4"/>
  <c r="G1672" i="4"/>
  <c r="H1672" i="4" s="1"/>
  <c r="F1672" i="4"/>
  <c r="G1671" i="4"/>
  <c r="H1671" i="4" s="1"/>
  <c r="F1671" i="4"/>
  <c r="G1670" i="4"/>
  <c r="H1670" i="4" s="1"/>
  <c r="F1670" i="4"/>
  <c r="G1669" i="4"/>
  <c r="H1669" i="4" s="1"/>
  <c r="F1669" i="4"/>
  <c r="G1668" i="4"/>
  <c r="H1668" i="4" s="1"/>
  <c r="F1668" i="4"/>
  <c r="G1667" i="4"/>
  <c r="H1667" i="4" s="1"/>
  <c r="F1667" i="4"/>
  <c r="G1666" i="4"/>
  <c r="H1666" i="4" s="1"/>
  <c r="F1666" i="4"/>
  <c r="G1665" i="4"/>
  <c r="H1665" i="4" s="1"/>
  <c r="F1665" i="4"/>
  <c r="G1482" i="4"/>
  <c r="H1482" i="4" s="1"/>
  <c r="F1482" i="4"/>
  <c r="G1481" i="4"/>
  <c r="H1481" i="4" s="1"/>
  <c r="F1481" i="4"/>
  <c r="G1480" i="4"/>
  <c r="H1480" i="4" s="1"/>
  <c r="F1480" i="4"/>
  <c r="G1479" i="4"/>
  <c r="H1479" i="4" s="1"/>
  <c r="F1479" i="4"/>
  <c r="G1478" i="4"/>
  <c r="H1478" i="4" s="1"/>
  <c r="F1478" i="4"/>
  <c r="G1477" i="4"/>
  <c r="H1477" i="4" s="1"/>
  <c r="F1477" i="4"/>
  <c r="G1476" i="4"/>
  <c r="H1476" i="4" s="1"/>
  <c r="F1476" i="4"/>
  <c r="G1475" i="4"/>
  <c r="H1475" i="4" s="1"/>
  <c r="F1475" i="4"/>
  <c r="G1474" i="4"/>
  <c r="H1474" i="4" s="1"/>
  <c r="F1474" i="4"/>
  <c r="G1473" i="4"/>
  <c r="H1473" i="4" s="1"/>
  <c r="F1473" i="4"/>
  <c r="G1472" i="4"/>
  <c r="H1472" i="4" s="1"/>
  <c r="F1472" i="4"/>
  <c r="G1471" i="4"/>
  <c r="H1471" i="4" s="1"/>
  <c r="F1471" i="4"/>
  <c r="G1470" i="4"/>
  <c r="H1470" i="4" s="1"/>
  <c r="F1470" i="4"/>
  <c r="G1469" i="4"/>
  <c r="H1469" i="4" s="1"/>
  <c r="F1469" i="4"/>
  <c r="G1468" i="4"/>
  <c r="H1468" i="4" s="1"/>
  <c r="F1468" i="4"/>
  <c r="G1467" i="4"/>
  <c r="H1467" i="4" s="1"/>
  <c r="F1467" i="4"/>
  <c r="G1466" i="4"/>
  <c r="H1466" i="4" s="1"/>
  <c r="F1466" i="4"/>
  <c r="G1465" i="4"/>
  <c r="H1465" i="4" s="1"/>
  <c r="F1465" i="4"/>
  <c r="G1464" i="4"/>
  <c r="H1464" i="4" s="1"/>
  <c r="F1464" i="4"/>
  <c r="G1277" i="4"/>
  <c r="H1277" i="4" s="1"/>
  <c r="F1277" i="4"/>
  <c r="G1276" i="4"/>
  <c r="H1276" i="4" s="1"/>
  <c r="F1276" i="4"/>
  <c r="G1275" i="4"/>
  <c r="H1275" i="4" s="1"/>
  <c r="F1275" i="4"/>
  <c r="G1274" i="4"/>
  <c r="H1274" i="4" s="1"/>
  <c r="F1274" i="4"/>
  <c r="G1273" i="4"/>
  <c r="H1273" i="4" s="1"/>
  <c r="F1273" i="4"/>
  <c r="G1272" i="4"/>
  <c r="H1272" i="4" s="1"/>
  <c r="F1272" i="4"/>
  <c r="G1271" i="4"/>
  <c r="H1271" i="4" s="1"/>
  <c r="F1271" i="4"/>
  <c r="G1270" i="4"/>
  <c r="H1270" i="4" s="1"/>
  <c r="F1270" i="4"/>
  <c r="G1269" i="4"/>
  <c r="H1269" i="4" s="1"/>
  <c r="F1269" i="4"/>
  <c r="G1268" i="4"/>
  <c r="H1268" i="4" s="1"/>
  <c r="F1268" i="4"/>
  <c r="G1267" i="4"/>
  <c r="H1267" i="4" s="1"/>
  <c r="F1267" i="4"/>
  <c r="G1266" i="4"/>
  <c r="H1266" i="4" s="1"/>
  <c r="F1266" i="4"/>
  <c r="G1265" i="4"/>
  <c r="H1265" i="4" s="1"/>
  <c r="F1265" i="4"/>
  <c r="G1264" i="4"/>
  <c r="H1264" i="4" s="1"/>
  <c r="F1264" i="4"/>
  <c r="G1263" i="4"/>
  <c r="H1263" i="4" s="1"/>
  <c r="F1263" i="4"/>
  <c r="G1262" i="4"/>
  <c r="H1262" i="4" s="1"/>
  <c r="F1262" i="4"/>
  <c r="G1261" i="4"/>
  <c r="H1261" i="4" s="1"/>
  <c r="F1261" i="4"/>
  <c r="G1260" i="4"/>
  <c r="H1260" i="4" s="1"/>
  <c r="F1260" i="4"/>
  <c r="G1259" i="4"/>
  <c r="H1259" i="4" s="1"/>
  <c r="F1259" i="4"/>
  <c r="G1258" i="4"/>
  <c r="H1258" i="4" s="1"/>
  <c r="F1258" i="4"/>
  <c r="G1257" i="4"/>
  <c r="H1257" i="4" s="1"/>
  <c r="F1257" i="4"/>
  <c r="G1256" i="4"/>
  <c r="H1256" i="4" s="1"/>
  <c r="F1256" i="4"/>
  <c r="G1255" i="4"/>
  <c r="H1255" i="4" s="1"/>
  <c r="F1255" i="4"/>
  <c r="G1061" i="4"/>
  <c r="H1061" i="4" s="1"/>
  <c r="F1061" i="4"/>
  <c r="G1060" i="4"/>
  <c r="H1060" i="4" s="1"/>
  <c r="F1060" i="4"/>
  <c r="G1059" i="4"/>
  <c r="H1059" i="4" s="1"/>
  <c r="F1059" i="4"/>
  <c r="G1058" i="4"/>
  <c r="H1058" i="4" s="1"/>
  <c r="F1058" i="4"/>
  <c r="G1057" i="4"/>
  <c r="H1057" i="4" s="1"/>
  <c r="F1057" i="4"/>
  <c r="G1056" i="4"/>
  <c r="H1056" i="4" s="1"/>
  <c r="F1056" i="4"/>
  <c r="G1055" i="4"/>
  <c r="H1055" i="4" s="1"/>
  <c r="F1055" i="4"/>
  <c r="G1054" i="4"/>
  <c r="H1054" i="4" s="1"/>
  <c r="F1054" i="4"/>
  <c r="G1053" i="4"/>
  <c r="H1053" i="4" s="1"/>
  <c r="F1053" i="4"/>
  <c r="G1052" i="4"/>
  <c r="H1052" i="4" s="1"/>
  <c r="F1052" i="4"/>
  <c r="G1051" i="4"/>
  <c r="H1051" i="4" s="1"/>
  <c r="F1051" i="4"/>
  <c r="G1050" i="4"/>
  <c r="H1050" i="4" s="1"/>
  <c r="F1050" i="4"/>
  <c r="G1049" i="4"/>
  <c r="H1049" i="4" s="1"/>
  <c r="F1049" i="4"/>
  <c r="G1048" i="4"/>
  <c r="H1048" i="4" s="1"/>
  <c r="F1048" i="4"/>
  <c r="G1047" i="4"/>
  <c r="H1047" i="4" s="1"/>
  <c r="F1047" i="4"/>
  <c r="G1046" i="4"/>
  <c r="H1046" i="4" s="1"/>
  <c r="F1046" i="4"/>
  <c r="G1045" i="4"/>
  <c r="H1045" i="4" s="1"/>
  <c r="F1045" i="4"/>
  <c r="G1044" i="4"/>
  <c r="H1044" i="4" s="1"/>
  <c r="F1044" i="4"/>
  <c r="G1043" i="4"/>
  <c r="H1043" i="4" s="1"/>
  <c r="F1043" i="4"/>
  <c r="G1042" i="4"/>
  <c r="H1042" i="4" s="1"/>
  <c r="F1042" i="4"/>
  <c r="G1041" i="4"/>
  <c r="H1041" i="4" s="1"/>
  <c r="F1041" i="4"/>
  <c r="G1040" i="4"/>
  <c r="H1040" i="4" s="1"/>
  <c r="F1040" i="4"/>
  <c r="G1039" i="4"/>
  <c r="H1039" i="4" s="1"/>
  <c r="F1039" i="4"/>
  <c r="G849" i="4"/>
  <c r="H849" i="4" s="1"/>
  <c r="F849" i="4"/>
  <c r="G848" i="4"/>
  <c r="H848" i="4" s="1"/>
  <c r="F848" i="4"/>
  <c r="G847" i="4"/>
  <c r="H847" i="4" s="1"/>
  <c r="F847" i="4"/>
  <c r="G846" i="4"/>
  <c r="H846" i="4" s="1"/>
  <c r="F846" i="4"/>
  <c r="G845" i="4"/>
  <c r="H845" i="4" s="1"/>
  <c r="F845" i="4"/>
  <c r="G844" i="4"/>
  <c r="H844" i="4" s="1"/>
  <c r="F844" i="4"/>
  <c r="G843" i="4"/>
  <c r="H843" i="4" s="1"/>
  <c r="F843" i="4"/>
  <c r="G842" i="4"/>
  <c r="H842" i="4" s="1"/>
  <c r="F842" i="4"/>
  <c r="G841" i="4"/>
  <c r="H841" i="4" s="1"/>
  <c r="F841" i="4"/>
  <c r="G840" i="4"/>
  <c r="H840" i="4" s="1"/>
  <c r="F840" i="4"/>
  <c r="G839" i="4"/>
  <c r="H839" i="4" s="1"/>
  <c r="F839" i="4"/>
  <c r="G838" i="4"/>
  <c r="H838" i="4" s="1"/>
  <c r="F838" i="4"/>
  <c r="G837" i="4"/>
  <c r="H837" i="4" s="1"/>
  <c r="F837" i="4"/>
  <c r="G836" i="4"/>
  <c r="H836" i="4" s="1"/>
  <c r="F836" i="4"/>
  <c r="G835" i="4"/>
  <c r="H835" i="4" s="1"/>
  <c r="F835" i="4"/>
  <c r="G834" i="4"/>
  <c r="H834" i="4" s="1"/>
  <c r="F834" i="4"/>
  <c r="G833" i="4"/>
  <c r="H833" i="4" s="1"/>
  <c r="F833" i="4"/>
  <c r="G653" i="4"/>
  <c r="H653" i="4" s="1"/>
  <c r="F653" i="4"/>
  <c r="G652" i="4"/>
  <c r="H652" i="4" s="1"/>
  <c r="F652" i="4"/>
  <c r="G651" i="4"/>
  <c r="H651" i="4" s="1"/>
  <c r="F651" i="4"/>
  <c r="G650" i="4"/>
  <c r="H650" i="4" s="1"/>
  <c r="F650" i="4"/>
  <c r="G649" i="4"/>
  <c r="H649" i="4" s="1"/>
  <c r="F649" i="4"/>
  <c r="G648" i="4"/>
  <c r="H648" i="4" s="1"/>
  <c r="F648" i="4"/>
  <c r="G647" i="4"/>
  <c r="H647" i="4" s="1"/>
  <c r="F647" i="4"/>
  <c r="G646" i="4"/>
  <c r="H646" i="4" s="1"/>
  <c r="F646" i="4"/>
  <c r="G645" i="4"/>
  <c r="H645" i="4" s="1"/>
  <c r="F645" i="4"/>
  <c r="G644" i="4"/>
  <c r="H644" i="4" s="1"/>
  <c r="F644" i="4"/>
  <c r="G643" i="4"/>
  <c r="H643" i="4" s="1"/>
  <c r="F643" i="4"/>
  <c r="G642" i="4"/>
  <c r="H642" i="4" s="1"/>
  <c r="F642" i="4"/>
  <c r="G641" i="4"/>
  <c r="H641" i="4" s="1"/>
  <c r="F641" i="4"/>
  <c r="G640" i="4"/>
  <c r="H640" i="4" s="1"/>
  <c r="F640" i="4"/>
  <c r="G639" i="4"/>
  <c r="H639" i="4" s="1"/>
  <c r="F639" i="4"/>
  <c r="G638" i="4"/>
  <c r="H638" i="4" s="1"/>
  <c r="F638" i="4"/>
  <c r="G637" i="4"/>
  <c r="H637" i="4" s="1"/>
  <c r="F637" i="4"/>
  <c r="G636" i="4"/>
  <c r="H636" i="4" s="1"/>
  <c r="F636" i="4"/>
  <c r="G501" i="4"/>
  <c r="H501" i="4" s="1"/>
  <c r="F501" i="4"/>
  <c r="G500" i="4"/>
  <c r="H500" i="4" s="1"/>
  <c r="F500" i="4"/>
  <c r="G499" i="4"/>
  <c r="H499" i="4" s="1"/>
  <c r="F499" i="4"/>
  <c r="G498" i="4"/>
  <c r="H498" i="4" s="1"/>
  <c r="F498" i="4"/>
  <c r="G497" i="4"/>
  <c r="H497" i="4" s="1"/>
  <c r="F497" i="4"/>
  <c r="G496" i="4"/>
  <c r="H496" i="4" s="1"/>
  <c r="F496" i="4"/>
  <c r="G495" i="4"/>
  <c r="H495" i="4" s="1"/>
  <c r="F495" i="4"/>
  <c r="G494" i="4"/>
  <c r="H494" i="4" s="1"/>
  <c r="F494" i="4"/>
  <c r="G493" i="4"/>
  <c r="H493" i="4" s="1"/>
  <c r="F493" i="4"/>
  <c r="G492" i="4"/>
  <c r="H492" i="4" s="1"/>
  <c r="F492" i="4"/>
  <c r="G491" i="4"/>
  <c r="H491" i="4" s="1"/>
  <c r="F491" i="4"/>
  <c r="G490" i="4"/>
  <c r="H490" i="4" s="1"/>
  <c r="F490" i="4"/>
  <c r="G489" i="4"/>
  <c r="H489" i="4" s="1"/>
  <c r="F489" i="4"/>
  <c r="G488" i="4"/>
  <c r="H488" i="4" s="1"/>
  <c r="F488" i="4"/>
  <c r="G487" i="4"/>
  <c r="H487" i="4" s="1"/>
  <c r="F487" i="4"/>
  <c r="G486" i="4"/>
  <c r="H486" i="4" s="1"/>
  <c r="F486" i="4"/>
  <c r="G485" i="4"/>
  <c r="H485" i="4" s="1"/>
  <c r="F485" i="4"/>
  <c r="G484" i="4"/>
  <c r="H484" i="4" s="1"/>
  <c r="F484" i="4"/>
  <c r="G483" i="4"/>
  <c r="H483" i="4" s="1"/>
  <c r="F483" i="4"/>
  <c r="G482" i="4"/>
  <c r="H482" i="4" s="1"/>
  <c r="F482" i="4"/>
  <c r="G481" i="4"/>
  <c r="H481" i="4" s="1"/>
  <c r="F481" i="4"/>
  <c r="G315" i="4"/>
  <c r="H315" i="4" s="1"/>
  <c r="F315" i="4"/>
  <c r="G314" i="4"/>
  <c r="H314" i="4" s="1"/>
  <c r="F314" i="4"/>
  <c r="G313" i="4"/>
  <c r="H313" i="4" s="1"/>
  <c r="F313" i="4"/>
  <c r="G312" i="4"/>
  <c r="H312" i="4" s="1"/>
  <c r="F312" i="4"/>
  <c r="G311" i="4"/>
  <c r="H311" i="4" s="1"/>
  <c r="F311" i="4"/>
  <c r="G310" i="4"/>
  <c r="H310" i="4" s="1"/>
  <c r="F310" i="4"/>
  <c r="G309" i="4"/>
  <c r="H309" i="4" s="1"/>
  <c r="F309" i="4"/>
  <c r="G308" i="4"/>
  <c r="H308" i="4" s="1"/>
  <c r="F308" i="4"/>
  <c r="G307" i="4"/>
  <c r="H307" i="4" s="1"/>
  <c r="F307" i="4"/>
  <c r="G306" i="4"/>
  <c r="H306" i="4" s="1"/>
  <c r="F306" i="4"/>
  <c r="G305" i="4"/>
  <c r="H305" i="4" s="1"/>
  <c r="F305" i="4"/>
  <c r="G304" i="4"/>
  <c r="H304" i="4" s="1"/>
  <c r="F304" i="4"/>
  <c r="G303" i="4"/>
  <c r="H303" i="4" s="1"/>
  <c r="F303" i="4"/>
  <c r="G302" i="4"/>
  <c r="H302" i="4" s="1"/>
  <c r="F302" i="4"/>
  <c r="G301" i="4"/>
  <c r="H301" i="4" s="1"/>
  <c r="F301" i="4"/>
  <c r="G300" i="4"/>
  <c r="H300" i="4" s="1"/>
  <c r="F300" i="4"/>
  <c r="G299" i="4"/>
  <c r="H299" i="4" s="1"/>
  <c r="F299" i="4"/>
  <c r="G298" i="4"/>
  <c r="H298" i="4" s="1"/>
  <c r="F298" i="4"/>
  <c r="G297" i="4"/>
  <c r="H297" i="4" s="1"/>
  <c r="F297" i="4"/>
  <c r="G296" i="4"/>
  <c r="H296" i="4" s="1"/>
  <c r="F296" i="4"/>
  <c r="G295" i="4"/>
  <c r="H295" i="4" s="1"/>
  <c r="F295" i="4"/>
  <c r="G294" i="4"/>
  <c r="H294" i="4" s="1"/>
  <c r="F294" i="4"/>
  <c r="G293" i="4"/>
  <c r="H293" i="4" s="1"/>
  <c r="F293" i="4"/>
  <c r="G292" i="4"/>
  <c r="H292" i="4" s="1"/>
  <c r="F292" i="4"/>
  <c r="G104" i="4"/>
  <c r="H104" i="4" s="1"/>
  <c r="F104" i="4"/>
  <c r="G103" i="4"/>
  <c r="H103" i="4" s="1"/>
  <c r="F103" i="4"/>
  <c r="G102" i="4"/>
  <c r="H102" i="4" s="1"/>
  <c r="F102" i="4"/>
  <c r="G101" i="4"/>
  <c r="H101" i="4" s="1"/>
  <c r="F101" i="4"/>
  <c r="G100" i="4"/>
  <c r="H100" i="4" s="1"/>
  <c r="F100" i="4"/>
  <c r="G99" i="4"/>
  <c r="H99" i="4" s="1"/>
  <c r="F99" i="4"/>
  <c r="G98" i="4"/>
  <c r="H98" i="4" s="1"/>
  <c r="F98" i="4"/>
  <c r="G97" i="4"/>
  <c r="H97" i="4" s="1"/>
  <c r="F97" i="4"/>
  <c r="G96" i="4"/>
  <c r="H96" i="4" s="1"/>
  <c r="F96" i="4"/>
  <c r="G95" i="4"/>
  <c r="H95" i="4" s="1"/>
  <c r="F95" i="4"/>
  <c r="G94" i="4"/>
  <c r="H94" i="4" s="1"/>
  <c r="F94" i="4"/>
  <c r="G93" i="4"/>
  <c r="H93" i="4" s="1"/>
  <c r="F93" i="4"/>
  <c r="G92" i="4"/>
  <c r="H92" i="4" s="1"/>
  <c r="F92" i="4"/>
  <c r="G91" i="4"/>
  <c r="H91" i="4" s="1"/>
  <c r="F91" i="4"/>
  <c r="G90" i="4"/>
  <c r="H90" i="4" s="1"/>
  <c r="F90" i="4"/>
  <c r="G89" i="4"/>
  <c r="H89" i="4" s="1"/>
  <c r="F89" i="4"/>
  <c r="G88" i="4"/>
  <c r="H88" i="4" s="1"/>
  <c r="F88" i="4"/>
  <c r="G87" i="4"/>
  <c r="H87" i="4" s="1"/>
  <c r="F87" i="4"/>
  <c r="G2247" i="4"/>
  <c r="H2247" i="4" s="1"/>
  <c r="F2247" i="4"/>
  <c r="G2246" i="4"/>
  <c r="H2246" i="4" s="1"/>
  <c r="F2246" i="4"/>
  <c r="G2245" i="4"/>
  <c r="H2245" i="4" s="1"/>
  <c r="F2245" i="4"/>
  <c r="G2244" i="4"/>
  <c r="H2244" i="4" s="1"/>
  <c r="F2244" i="4"/>
  <c r="G2243" i="4"/>
  <c r="H2243" i="4" s="1"/>
  <c r="F2243" i="4"/>
  <c r="G2242" i="4"/>
  <c r="H2242" i="4" s="1"/>
  <c r="F2242" i="4"/>
  <c r="G2241" i="4"/>
  <c r="H2241" i="4" s="1"/>
  <c r="F2241" i="4"/>
  <c r="G2240" i="4"/>
  <c r="H2240" i="4" s="1"/>
  <c r="F2240" i="4"/>
  <c r="G2239" i="4"/>
  <c r="H2239" i="4" s="1"/>
  <c r="F2239" i="4"/>
  <c r="G2238" i="4"/>
  <c r="H2238" i="4" s="1"/>
  <c r="F2238" i="4"/>
  <c r="G2237" i="4"/>
  <c r="H2237" i="4" s="1"/>
  <c r="F2237" i="4"/>
  <c r="G2236" i="4"/>
  <c r="H2236" i="4" s="1"/>
  <c r="F2236" i="4"/>
  <c r="G2235" i="4"/>
  <c r="H2235" i="4" s="1"/>
  <c r="F2235" i="4"/>
  <c r="G2234" i="4"/>
  <c r="H2234" i="4" s="1"/>
  <c r="F2234" i="4"/>
  <c r="G2233" i="4"/>
  <c r="H2233" i="4" s="1"/>
  <c r="F2233" i="4"/>
  <c r="G2232" i="4"/>
  <c r="H2232" i="4" s="1"/>
  <c r="F2232" i="4"/>
  <c r="G2231" i="4"/>
  <c r="H2231" i="4" s="1"/>
  <c r="F2231" i="4"/>
  <c r="G2230" i="4"/>
  <c r="H2230" i="4" s="1"/>
  <c r="F2230" i="4"/>
  <c r="G2229" i="4"/>
  <c r="H2229" i="4" s="1"/>
  <c r="F2229" i="4"/>
  <c r="G2055" i="4"/>
  <c r="H2055" i="4" s="1"/>
  <c r="F2055" i="4"/>
  <c r="G2054" i="4"/>
  <c r="H2054" i="4" s="1"/>
  <c r="F2054" i="4"/>
  <c r="G2053" i="4"/>
  <c r="H2053" i="4" s="1"/>
  <c r="F2053" i="4"/>
  <c r="G2052" i="4"/>
  <c r="H2052" i="4" s="1"/>
  <c r="F2052" i="4"/>
  <c r="G2051" i="4"/>
  <c r="H2051" i="4" s="1"/>
  <c r="F2051" i="4"/>
  <c r="G2050" i="4"/>
  <c r="H2050" i="4" s="1"/>
  <c r="F2050" i="4"/>
  <c r="G2049" i="4"/>
  <c r="H2049" i="4" s="1"/>
  <c r="F2049" i="4"/>
  <c r="G2048" i="4"/>
  <c r="H2048" i="4" s="1"/>
  <c r="F2048" i="4"/>
  <c r="G2047" i="4"/>
  <c r="H2047" i="4" s="1"/>
  <c r="F2047" i="4"/>
  <c r="G2046" i="4"/>
  <c r="H2046" i="4" s="1"/>
  <c r="F2046" i="4"/>
  <c r="G2045" i="4"/>
  <c r="H2045" i="4" s="1"/>
  <c r="F2045" i="4"/>
  <c r="G2044" i="4"/>
  <c r="H2044" i="4" s="1"/>
  <c r="F2044" i="4"/>
  <c r="G2043" i="4"/>
  <c r="H2043" i="4" s="1"/>
  <c r="F2043" i="4"/>
  <c r="G2042" i="4"/>
  <c r="H2042" i="4" s="1"/>
  <c r="F2042" i="4"/>
  <c r="G2041" i="4"/>
  <c r="H2041" i="4" s="1"/>
  <c r="F2041" i="4"/>
  <c r="G2040" i="4"/>
  <c r="H2040" i="4" s="1"/>
  <c r="F2040" i="4"/>
  <c r="G2039" i="4"/>
  <c r="H2039" i="4" s="1"/>
  <c r="F2039" i="4"/>
  <c r="G2038" i="4"/>
  <c r="H2038" i="4" s="1"/>
  <c r="F2038" i="4"/>
  <c r="G2037" i="4"/>
  <c r="H2037" i="4" s="1"/>
  <c r="F2037" i="4"/>
  <c r="G2036" i="4"/>
  <c r="H2036" i="4" s="1"/>
  <c r="F2036" i="4"/>
  <c r="G1876" i="4"/>
  <c r="H1876" i="4" s="1"/>
  <c r="F1876" i="4"/>
  <c r="G1875" i="4"/>
  <c r="H1875" i="4" s="1"/>
  <c r="F1875" i="4"/>
  <c r="G1874" i="4"/>
  <c r="H1874" i="4" s="1"/>
  <c r="F1874" i="4"/>
  <c r="G1873" i="4"/>
  <c r="H1873" i="4" s="1"/>
  <c r="F1873" i="4"/>
  <c r="G1872" i="4"/>
  <c r="H1872" i="4" s="1"/>
  <c r="F1872" i="4"/>
  <c r="G1871" i="4"/>
  <c r="H1871" i="4" s="1"/>
  <c r="F1871" i="4"/>
  <c r="G1870" i="4"/>
  <c r="H1870" i="4" s="1"/>
  <c r="F1870" i="4"/>
  <c r="G1869" i="4"/>
  <c r="H1869" i="4" s="1"/>
  <c r="F1869" i="4"/>
  <c r="G1868" i="4"/>
  <c r="H1868" i="4" s="1"/>
  <c r="F1868" i="4"/>
  <c r="G1867" i="4"/>
  <c r="H1867" i="4" s="1"/>
  <c r="F1867" i="4"/>
  <c r="G1866" i="4"/>
  <c r="H1866" i="4" s="1"/>
  <c r="F1866" i="4"/>
  <c r="G1865" i="4"/>
  <c r="H1865" i="4" s="1"/>
  <c r="F1865" i="4"/>
  <c r="G1864" i="4"/>
  <c r="H1864" i="4" s="1"/>
  <c r="F1864" i="4"/>
  <c r="G1863" i="4"/>
  <c r="H1863" i="4" s="1"/>
  <c r="F1863" i="4"/>
  <c r="G1862" i="4"/>
  <c r="H1862" i="4" s="1"/>
  <c r="F1862" i="4"/>
  <c r="G1861" i="4"/>
  <c r="H1861" i="4" s="1"/>
  <c r="F1861" i="4"/>
  <c r="G1860" i="4"/>
  <c r="H1860" i="4" s="1"/>
  <c r="F1860" i="4"/>
  <c r="G1859" i="4"/>
  <c r="H1859" i="4" s="1"/>
  <c r="F1859" i="4"/>
  <c r="G1664" i="4"/>
  <c r="H1664" i="4" s="1"/>
  <c r="F1664" i="4"/>
  <c r="G1663" i="4"/>
  <c r="H1663" i="4" s="1"/>
  <c r="F1663" i="4"/>
  <c r="G1662" i="4"/>
  <c r="H1662" i="4" s="1"/>
  <c r="F1662" i="4"/>
  <c r="G1661" i="4"/>
  <c r="H1661" i="4" s="1"/>
  <c r="F1661" i="4"/>
  <c r="G1660" i="4"/>
  <c r="H1660" i="4" s="1"/>
  <c r="F1660" i="4"/>
  <c r="G1659" i="4"/>
  <c r="H1659" i="4" s="1"/>
  <c r="F1659" i="4"/>
  <c r="G1658" i="4"/>
  <c r="H1658" i="4" s="1"/>
  <c r="F1658" i="4"/>
  <c r="G1657" i="4"/>
  <c r="H1657" i="4" s="1"/>
  <c r="F1657" i="4"/>
  <c r="G1656" i="4"/>
  <c r="H1656" i="4" s="1"/>
  <c r="F1656" i="4"/>
  <c r="G1655" i="4"/>
  <c r="H1655" i="4" s="1"/>
  <c r="F1655" i="4"/>
  <c r="G1654" i="4"/>
  <c r="H1654" i="4" s="1"/>
  <c r="F1654" i="4"/>
  <c r="G1653" i="4"/>
  <c r="H1653" i="4" s="1"/>
  <c r="F1653" i="4"/>
  <c r="G1652" i="4"/>
  <c r="H1652" i="4" s="1"/>
  <c r="F1652" i="4"/>
  <c r="G1651" i="4"/>
  <c r="H1651" i="4" s="1"/>
  <c r="F1651" i="4"/>
  <c r="G1650" i="4"/>
  <c r="H1650" i="4" s="1"/>
  <c r="F1650" i="4"/>
  <c r="G1649" i="4"/>
  <c r="H1649" i="4" s="1"/>
  <c r="F1649" i="4"/>
  <c r="G1463" i="4"/>
  <c r="H1463" i="4" s="1"/>
  <c r="F1463" i="4"/>
  <c r="G1462" i="4"/>
  <c r="H1462" i="4" s="1"/>
  <c r="F1462" i="4"/>
  <c r="G1461" i="4"/>
  <c r="H1461" i="4" s="1"/>
  <c r="F1461" i="4"/>
  <c r="G1460" i="4"/>
  <c r="H1460" i="4" s="1"/>
  <c r="F1460" i="4"/>
  <c r="G1459" i="4"/>
  <c r="H1459" i="4" s="1"/>
  <c r="F1459" i="4"/>
  <c r="G1458" i="4"/>
  <c r="H1458" i="4" s="1"/>
  <c r="F1458" i="4"/>
  <c r="G1457" i="4"/>
  <c r="H1457" i="4" s="1"/>
  <c r="F1457" i="4"/>
  <c r="G1456" i="4"/>
  <c r="H1456" i="4" s="1"/>
  <c r="F1456" i="4"/>
  <c r="G1455" i="4"/>
  <c r="H1455" i="4" s="1"/>
  <c r="F1455" i="4"/>
  <c r="G1454" i="4"/>
  <c r="H1454" i="4" s="1"/>
  <c r="F1454" i="4"/>
  <c r="G1453" i="4"/>
  <c r="H1453" i="4" s="1"/>
  <c r="F1453" i="4"/>
  <c r="G1452" i="4"/>
  <c r="H1452" i="4" s="1"/>
  <c r="F1452" i="4"/>
  <c r="G1451" i="4"/>
  <c r="H1451" i="4" s="1"/>
  <c r="F1451" i="4"/>
  <c r="G1450" i="4"/>
  <c r="H1450" i="4" s="1"/>
  <c r="F1450" i="4"/>
  <c r="G1449" i="4"/>
  <c r="H1449" i="4" s="1"/>
  <c r="F1449" i="4"/>
  <c r="G1448" i="4"/>
  <c r="H1448" i="4" s="1"/>
  <c r="F1448" i="4"/>
  <c r="G1254" i="4"/>
  <c r="H1254" i="4" s="1"/>
  <c r="F1254" i="4"/>
  <c r="G1253" i="4"/>
  <c r="H1253" i="4" s="1"/>
  <c r="F1253" i="4"/>
  <c r="G1252" i="4"/>
  <c r="H1252" i="4" s="1"/>
  <c r="F1252" i="4"/>
  <c r="G1251" i="4"/>
  <c r="H1251" i="4" s="1"/>
  <c r="F1251" i="4"/>
  <c r="G1250" i="4"/>
  <c r="H1250" i="4" s="1"/>
  <c r="F1250" i="4"/>
  <c r="G1249" i="4"/>
  <c r="H1249" i="4" s="1"/>
  <c r="F1249" i="4"/>
  <c r="G1248" i="4"/>
  <c r="H1248" i="4" s="1"/>
  <c r="F1248" i="4"/>
  <c r="G1247" i="4"/>
  <c r="H1247" i="4" s="1"/>
  <c r="F1247" i="4"/>
  <c r="G1246" i="4"/>
  <c r="H1246" i="4" s="1"/>
  <c r="F1246" i="4"/>
  <c r="G1245" i="4"/>
  <c r="H1245" i="4" s="1"/>
  <c r="F1245" i="4"/>
  <c r="G1244" i="4"/>
  <c r="H1244" i="4" s="1"/>
  <c r="F1244" i="4"/>
  <c r="G1243" i="4"/>
  <c r="H1243" i="4" s="1"/>
  <c r="F1243" i="4"/>
  <c r="G1242" i="4"/>
  <c r="H1242" i="4" s="1"/>
  <c r="F1242" i="4"/>
  <c r="G1241" i="4"/>
  <c r="H1241" i="4" s="1"/>
  <c r="F1241" i="4"/>
  <c r="G1240" i="4"/>
  <c r="H1240" i="4" s="1"/>
  <c r="F1240" i="4"/>
  <c r="G1239" i="4"/>
  <c r="H1239" i="4" s="1"/>
  <c r="F1239" i="4"/>
  <c r="G1238" i="4"/>
  <c r="H1238" i="4" s="1"/>
  <c r="F1238" i="4"/>
  <c r="G1237" i="4"/>
  <c r="H1237" i="4" s="1"/>
  <c r="F1237" i="4"/>
  <c r="G1236" i="4"/>
  <c r="H1236" i="4" s="1"/>
  <c r="F1236" i="4"/>
  <c r="G1235" i="4"/>
  <c r="H1235" i="4" s="1"/>
  <c r="F1235" i="4"/>
  <c r="G1038" i="4"/>
  <c r="H1038" i="4" s="1"/>
  <c r="F1038" i="4"/>
  <c r="G1037" i="4"/>
  <c r="H1037" i="4" s="1"/>
  <c r="F1037" i="4"/>
  <c r="G1036" i="4"/>
  <c r="H1036" i="4" s="1"/>
  <c r="F1036" i="4"/>
  <c r="G1035" i="4"/>
  <c r="H1035" i="4" s="1"/>
  <c r="F1035" i="4"/>
  <c r="G1034" i="4"/>
  <c r="H1034" i="4" s="1"/>
  <c r="F1034" i="4"/>
  <c r="G1033" i="4"/>
  <c r="H1033" i="4" s="1"/>
  <c r="F1033" i="4"/>
  <c r="G1032" i="4"/>
  <c r="H1032" i="4" s="1"/>
  <c r="F1032" i="4"/>
  <c r="G1031" i="4"/>
  <c r="H1031" i="4" s="1"/>
  <c r="F1031" i="4"/>
  <c r="G1030" i="4"/>
  <c r="H1030" i="4" s="1"/>
  <c r="F1030" i="4"/>
  <c r="G1029" i="4"/>
  <c r="H1029" i="4" s="1"/>
  <c r="F1029" i="4"/>
  <c r="G1028" i="4"/>
  <c r="H1028" i="4" s="1"/>
  <c r="F1028" i="4"/>
  <c r="G1027" i="4"/>
  <c r="H1027" i="4" s="1"/>
  <c r="F1027" i="4"/>
  <c r="G1026" i="4"/>
  <c r="H1026" i="4" s="1"/>
  <c r="F1026" i="4"/>
  <c r="G1025" i="4"/>
  <c r="H1025" i="4" s="1"/>
  <c r="F1025" i="4"/>
  <c r="G1024" i="4"/>
  <c r="H1024" i="4" s="1"/>
  <c r="F1024" i="4"/>
  <c r="G1023" i="4"/>
  <c r="H1023" i="4" s="1"/>
  <c r="F1023" i="4"/>
  <c r="G1022" i="4"/>
  <c r="H1022" i="4" s="1"/>
  <c r="F1022" i="4"/>
  <c r="G832" i="4"/>
  <c r="H832" i="4" s="1"/>
  <c r="F832" i="4"/>
  <c r="G831" i="4"/>
  <c r="H831" i="4" s="1"/>
  <c r="F831" i="4"/>
  <c r="G830" i="4"/>
  <c r="H830" i="4" s="1"/>
  <c r="F830" i="4"/>
  <c r="G829" i="4"/>
  <c r="H829" i="4" s="1"/>
  <c r="F829" i="4"/>
  <c r="G828" i="4"/>
  <c r="H828" i="4" s="1"/>
  <c r="F828" i="4"/>
  <c r="G827" i="4"/>
  <c r="H827" i="4" s="1"/>
  <c r="F827" i="4"/>
  <c r="G826" i="4"/>
  <c r="H826" i="4" s="1"/>
  <c r="F826" i="4"/>
  <c r="G825" i="4"/>
  <c r="H825" i="4" s="1"/>
  <c r="F825" i="4"/>
  <c r="G824" i="4"/>
  <c r="H824" i="4" s="1"/>
  <c r="F824" i="4"/>
  <c r="G823" i="4"/>
  <c r="H823" i="4" s="1"/>
  <c r="F823" i="4"/>
  <c r="G822" i="4"/>
  <c r="H822" i="4" s="1"/>
  <c r="F822" i="4"/>
  <c r="G821" i="4"/>
  <c r="H821" i="4" s="1"/>
  <c r="F821" i="4"/>
  <c r="G820" i="4"/>
  <c r="H820" i="4" s="1"/>
  <c r="F820" i="4"/>
  <c r="G819" i="4"/>
  <c r="H819" i="4" s="1"/>
  <c r="F819" i="4"/>
  <c r="G818" i="4"/>
  <c r="H818" i="4" s="1"/>
  <c r="F818" i="4"/>
  <c r="G817" i="4"/>
  <c r="H817" i="4" s="1"/>
  <c r="F817" i="4"/>
  <c r="G816" i="4"/>
  <c r="H816" i="4" s="1"/>
  <c r="F816" i="4"/>
  <c r="G815" i="4"/>
  <c r="H815" i="4" s="1"/>
  <c r="F815" i="4"/>
  <c r="G635" i="4"/>
  <c r="H635" i="4" s="1"/>
  <c r="F635" i="4"/>
  <c r="G634" i="4"/>
  <c r="H634" i="4" s="1"/>
  <c r="F634" i="4"/>
  <c r="G633" i="4"/>
  <c r="H633" i="4" s="1"/>
  <c r="F633" i="4"/>
  <c r="G632" i="4"/>
  <c r="H632" i="4" s="1"/>
  <c r="F632" i="4"/>
  <c r="G631" i="4"/>
  <c r="H631" i="4" s="1"/>
  <c r="F631" i="4"/>
  <c r="G630" i="4"/>
  <c r="H630" i="4" s="1"/>
  <c r="F630" i="4"/>
  <c r="G629" i="4"/>
  <c r="H629" i="4" s="1"/>
  <c r="F629" i="4"/>
  <c r="G628" i="4"/>
  <c r="H628" i="4" s="1"/>
  <c r="F628" i="4"/>
  <c r="G627" i="4"/>
  <c r="H627" i="4" s="1"/>
  <c r="F627" i="4"/>
  <c r="G626" i="4"/>
  <c r="H626" i="4" s="1"/>
  <c r="F626" i="4"/>
  <c r="G625" i="4"/>
  <c r="H625" i="4" s="1"/>
  <c r="F625" i="4"/>
  <c r="G624" i="4"/>
  <c r="H624" i="4" s="1"/>
  <c r="F624" i="4"/>
  <c r="G623" i="4"/>
  <c r="H623" i="4" s="1"/>
  <c r="F623" i="4"/>
  <c r="G622" i="4"/>
  <c r="H622" i="4" s="1"/>
  <c r="F622" i="4"/>
  <c r="G621" i="4"/>
  <c r="H621" i="4" s="1"/>
  <c r="F621" i="4"/>
  <c r="G620" i="4"/>
  <c r="H620" i="4" s="1"/>
  <c r="F620" i="4"/>
  <c r="G480" i="4"/>
  <c r="H480" i="4" s="1"/>
  <c r="F480" i="4"/>
  <c r="G479" i="4"/>
  <c r="H479" i="4" s="1"/>
  <c r="F479" i="4"/>
  <c r="G478" i="4"/>
  <c r="H478" i="4" s="1"/>
  <c r="F478" i="4"/>
  <c r="G477" i="4"/>
  <c r="H477" i="4" s="1"/>
  <c r="F477" i="4"/>
  <c r="G476" i="4"/>
  <c r="H476" i="4" s="1"/>
  <c r="F476" i="4"/>
  <c r="G475" i="4"/>
  <c r="H475" i="4" s="1"/>
  <c r="F475" i="4"/>
  <c r="G474" i="4"/>
  <c r="H474" i="4" s="1"/>
  <c r="F474" i="4"/>
  <c r="G473" i="4"/>
  <c r="H473" i="4" s="1"/>
  <c r="F473" i="4"/>
  <c r="G472" i="4"/>
  <c r="H472" i="4" s="1"/>
  <c r="F472" i="4"/>
  <c r="G471" i="4"/>
  <c r="H471" i="4" s="1"/>
  <c r="F471" i="4"/>
  <c r="G470" i="4"/>
  <c r="H470" i="4" s="1"/>
  <c r="F470" i="4"/>
  <c r="G469" i="4"/>
  <c r="H469" i="4" s="1"/>
  <c r="F469" i="4"/>
  <c r="G468" i="4"/>
  <c r="H468" i="4" s="1"/>
  <c r="F468" i="4"/>
  <c r="G467" i="4"/>
  <c r="H467" i="4" s="1"/>
  <c r="F467" i="4"/>
  <c r="G466" i="4"/>
  <c r="H466" i="4" s="1"/>
  <c r="F466" i="4"/>
  <c r="G465" i="4"/>
  <c r="H465" i="4" s="1"/>
  <c r="F465" i="4"/>
  <c r="G464" i="4"/>
  <c r="H464" i="4" s="1"/>
  <c r="F464" i="4"/>
  <c r="G463" i="4"/>
  <c r="H463" i="4" s="1"/>
  <c r="F463" i="4"/>
  <c r="G462" i="4"/>
  <c r="H462" i="4" s="1"/>
  <c r="F462" i="4"/>
  <c r="G461" i="4"/>
  <c r="H461" i="4" s="1"/>
  <c r="F461" i="4"/>
  <c r="G291" i="4"/>
  <c r="H291" i="4" s="1"/>
  <c r="F291" i="4"/>
  <c r="G290" i="4"/>
  <c r="H290" i="4" s="1"/>
  <c r="F290" i="4"/>
  <c r="G289" i="4"/>
  <c r="H289" i="4" s="1"/>
  <c r="F289" i="4"/>
  <c r="G288" i="4"/>
  <c r="H288" i="4" s="1"/>
  <c r="F288" i="4"/>
  <c r="G287" i="4"/>
  <c r="H287" i="4" s="1"/>
  <c r="F287" i="4"/>
  <c r="G286" i="4"/>
  <c r="H286" i="4" s="1"/>
  <c r="F286" i="4"/>
  <c r="G285" i="4"/>
  <c r="H285" i="4" s="1"/>
  <c r="F285" i="4"/>
  <c r="G284" i="4"/>
  <c r="H284" i="4" s="1"/>
  <c r="F284" i="4"/>
  <c r="G283" i="4"/>
  <c r="H283" i="4" s="1"/>
  <c r="F283" i="4"/>
  <c r="G282" i="4"/>
  <c r="H282" i="4" s="1"/>
  <c r="F282" i="4"/>
  <c r="G281" i="4"/>
  <c r="H281" i="4" s="1"/>
  <c r="F281" i="4"/>
  <c r="G280" i="4"/>
  <c r="H280" i="4" s="1"/>
  <c r="F280" i="4"/>
  <c r="G279" i="4"/>
  <c r="H279" i="4" s="1"/>
  <c r="F279" i="4"/>
  <c r="G278" i="4"/>
  <c r="H278" i="4" s="1"/>
  <c r="F278" i="4"/>
  <c r="G277" i="4"/>
  <c r="H277" i="4" s="1"/>
  <c r="F277" i="4"/>
  <c r="G276" i="4"/>
  <c r="H276" i="4" s="1"/>
  <c r="F276" i="4"/>
  <c r="G275" i="4"/>
  <c r="H275" i="4" s="1"/>
  <c r="F275" i="4"/>
  <c r="G274" i="4"/>
  <c r="H274" i="4" s="1"/>
  <c r="F274" i="4"/>
  <c r="G273" i="4"/>
  <c r="H273" i="4" s="1"/>
  <c r="F273" i="4"/>
  <c r="G86" i="4"/>
  <c r="H86" i="4" s="1"/>
  <c r="F86" i="4"/>
  <c r="G85" i="4"/>
  <c r="H85" i="4" s="1"/>
  <c r="F85" i="4"/>
  <c r="G84" i="4"/>
  <c r="H84" i="4" s="1"/>
  <c r="F84" i="4"/>
  <c r="G83" i="4"/>
  <c r="H83" i="4" s="1"/>
  <c r="F83" i="4"/>
  <c r="G82" i="4"/>
  <c r="H82" i="4" s="1"/>
  <c r="F82" i="4"/>
  <c r="G81" i="4"/>
  <c r="H81" i="4" s="1"/>
  <c r="F81" i="4"/>
  <c r="G80" i="4"/>
  <c r="H80" i="4" s="1"/>
  <c r="F80" i="4"/>
  <c r="G79" i="4"/>
  <c r="H79" i="4" s="1"/>
  <c r="F79" i="4"/>
  <c r="G78" i="4"/>
  <c r="H78" i="4" s="1"/>
  <c r="F78" i="4"/>
  <c r="G77" i="4"/>
  <c r="H77" i="4" s="1"/>
  <c r="F77" i="4"/>
  <c r="G76" i="4"/>
  <c r="H76" i="4" s="1"/>
  <c r="F76" i="4"/>
  <c r="G75" i="4"/>
  <c r="H75" i="4" s="1"/>
  <c r="F75" i="4"/>
  <c r="G74" i="4"/>
  <c r="H74" i="4" s="1"/>
  <c r="F74" i="4"/>
  <c r="G73" i="4"/>
  <c r="H73" i="4" s="1"/>
  <c r="F73" i="4"/>
  <c r="G72" i="4"/>
  <c r="H72" i="4" s="1"/>
  <c r="F72" i="4"/>
  <c r="G2228" i="4"/>
  <c r="H2228" i="4" s="1"/>
  <c r="F2228" i="4"/>
  <c r="G2227" i="4"/>
  <c r="H2227" i="4" s="1"/>
  <c r="F2227" i="4"/>
  <c r="G2226" i="4"/>
  <c r="H2226" i="4" s="1"/>
  <c r="F2226" i="4"/>
  <c r="G2225" i="4"/>
  <c r="H2225" i="4" s="1"/>
  <c r="F2225" i="4"/>
  <c r="G2224" i="4"/>
  <c r="H2224" i="4" s="1"/>
  <c r="F2224" i="4"/>
  <c r="G2223" i="4"/>
  <c r="H2223" i="4" s="1"/>
  <c r="F2223" i="4"/>
  <c r="G2222" i="4"/>
  <c r="H2222" i="4" s="1"/>
  <c r="F2222" i="4"/>
  <c r="G2221" i="4"/>
  <c r="H2221" i="4" s="1"/>
  <c r="F2221" i="4"/>
  <c r="G2220" i="4"/>
  <c r="H2220" i="4" s="1"/>
  <c r="F2220" i="4"/>
  <c r="G2219" i="4"/>
  <c r="H2219" i="4" s="1"/>
  <c r="F2219" i="4"/>
  <c r="G2218" i="4"/>
  <c r="H2218" i="4" s="1"/>
  <c r="F2218" i="4"/>
  <c r="G2217" i="4"/>
  <c r="H2217" i="4" s="1"/>
  <c r="F2217" i="4"/>
  <c r="G2216" i="4"/>
  <c r="H2216" i="4" s="1"/>
  <c r="F2216" i="4"/>
  <c r="G2215" i="4"/>
  <c r="H2215" i="4" s="1"/>
  <c r="F2215" i="4"/>
  <c r="G2214" i="4"/>
  <c r="H2214" i="4" s="1"/>
  <c r="F2214" i="4"/>
  <c r="G2213" i="4"/>
  <c r="H2213" i="4" s="1"/>
  <c r="F2213" i="4"/>
  <c r="G2212" i="4"/>
  <c r="H2212" i="4" s="1"/>
  <c r="F2212" i="4"/>
  <c r="G2211" i="4"/>
  <c r="H2211" i="4" s="1"/>
  <c r="F2211" i="4"/>
  <c r="G2210" i="4"/>
  <c r="H2210" i="4" s="1"/>
  <c r="F2210" i="4"/>
  <c r="G2209" i="4"/>
  <c r="H2209" i="4" s="1"/>
  <c r="F2209" i="4"/>
  <c r="G2208" i="4"/>
  <c r="H2208" i="4" s="1"/>
  <c r="F2208" i="4"/>
  <c r="G2207" i="4"/>
  <c r="H2207" i="4" s="1"/>
  <c r="F2207" i="4"/>
  <c r="G2206" i="4"/>
  <c r="H2206" i="4" s="1"/>
  <c r="F2206" i="4"/>
  <c r="G2205" i="4"/>
  <c r="H2205" i="4" s="1"/>
  <c r="F2205" i="4"/>
  <c r="G2035" i="4"/>
  <c r="H2035" i="4" s="1"/>
  <c r="F2035" i="4"/>
  <c r="G2034" i="4"/>
  <c r="H2034" i="4" s="1"/>
  <c r="F2034" i="4"/>
  <c r="G2033" i="4"/>
  <c r="H2033" i="4" s="1"/>
  <c r="F2033" i="4"/>
  <c r="G2032" i="4"/>
  <c r="H2032" i="4" s="1"/>
  <c r="F2032" i="4"/>
  <c r="G2031" i="4"/>
  <c r="H2031" i="4" s="1"/>
  <c r="F2031" i="4"/>
  <c r="G2030" i="4"/>
  <c r="H2030" i="4" s="1"/>
  <c r="F2030" i="4"/>
  <c r="G2029" i="4"/>
  <c r="H2029" i="4" s="1"/>
  <c r="F2029" i="4"/>
  <c r="G2028" i="4"/>
  <c r="H2028" i="4" s="1"/>
  <c r="F2028" i="4"/>
  <c r="G2027" i="4"/>
  <c r="H2027" i="4" s="1"/>
  <c r="F2027" i="4"/>
  <c r="G2026" i="4"/>
  <c r="H2026" i="4" s="1"/>
  <c r="F2026" i="4"/>
  <c r="G2025" i="4"/>
  <c r="H2025" i="4" s="1"/>
  <c r="F2025" i="4"/>
  <c r="G2024" i="4"/>
  <c r="H2024" i="4" s="1"/>
  <c r="F2024" i="4"/>
  <c r="G2023" i="4"/>
  <c r="H2023" i="4" s="1"/>
  <c r="F2023" i="4"/>
  <c r="G2022" i="4"/>
  <c r="H2022" i="4" s="1"/>
  <c r="F2022" i="4"/>
  <c r="G2021" i="4"/>
  <c r="H2021" i="4" s="1"/>
  <c r="F2021" i="4"/>
  <c r="G2020" i="4"/>
  <c r="H2020" i="4" s="1"/>
  <c r="F2020" i="4"/>
  <c r="G2019" i="4"/>
  <c r="H2019" i="4" s="1"/>
  <c r="F2019" i="4"/>
  <c r="G2018" i="4"/>
  <c r="H2018" i="4" s="1"/>
  <c r="F2018" i="4"/>
  <c r="G2017" i="4"/>
  <c r="H2017" i="4" s="1"/>
  <c r="F2017" i="4"/>
  <c r="G2016" i="4"/>
  <c r="H2016" i="4" s="1"/>
  <c r="F2016" i="4"/>
  <c r="G2015" i="4"/>
  <c r="H2015" i="4" s="1"/>
  <c r="F2015" i="4"/>
  <c r="G2014" i="4"/>
  <c r="H2014" i="4" s="1"/>
  <c r="F2014" i="4"/>
  <c r="G2013" i="4"/>
  <c r="H2013" i="4" s="1"/>
  <c r="F2013" i="4"/>
  <c r="G2012" i="4"/>
  <c r="H2012" i="4" s="1"/>
  <c r="F2012" i="4"/>
  <c r="G1858" i="4"/>
  <c r="H1858" i="4" s="1"/>
  <c r="F1858" i="4"/>
  <c r="G1857" i="4"/>
  <c r="H1857" i="4" s="1"/>
  <c r="F1857" i="4"/>
  <c r="G1856" i="4"/>
  <c r="H1856" i="4" s="1"/>
  <c r="F1856" i="4"/>
  <c r="G1855" i="4"/>
  <c r="H1855" i="4" s="1"/>
  <c r="F1855" i="4"/>
  <c r="G1854" i="4"/>
  <c r="H1854" i="4" s="1"/>
  <c r="F1854" i="4"/>
  <c r="G1853" i="4"/>
  <c r="H1853" i="4" s="1"/>
  <c r="F1853" i="4"/>
  <c r="G1852" i="4"/>
  <c r="H1852" i="4" s="1"/>
  <c r="F1852" i="4"/>
  <c r="G1851" i="4"/>
  <c r="H1851" i="4" s="1"/>
  <c r="F1851" i="4"/>
  <c r="G1850" i="4"/>
  <c r="H1850" i="4" s="1"/>
  <c r="F1850" i="4"/>
  <c r="G1849" i="4"/>
  <c r="H1849" i="4" s="1"/>
  <c r="F1849" i="4"/>
  <c r="G1848" i="4"/>
  <c r="H1848" i="4" s="1"/>
  <c r="F1848" i="4"/>
  <c r="G1847" i="4"/>
  <c r="H1847" i="4" s="1"/>
  <c r="F1847" i="4"/>
  <c r="G1846" i="4"/>
  <c r="H1846" i="4" s="1"/>
  <c r="F1846" i="4"/>
  <c r="G1845" i="4"/>
  <c r="H1845" i="4" s="1"/>
  <c r="F1845" i="4"/>
  <c r="G1844" i="4"/>
  <c r="H1844" i="4" s="1"/>
  <c r="F1844" i="4"/>
  <c r="G1843" i="4"/>
  <c r="H1843" i="4" s="1"/>
  <c r="F1843" i="4"/>
  <c r="G1842" i="4"/>
  <c r="H1842" i="4" s="1"/>
  <c r="F1842" i="4"/>
  <c r="G1841" i="4"/>
  <c r="H1841" i="4" s="1"/>
  <c r="F1841" i="4"/>
  <c r="G1840" i="4"/>
  <c r="H1840" i="4" s="1"/>
  <c r="F1840" i="4"/>
  <c r="G1839" i="4"/>
  <c r="H1839" i="4" s="1"/>
  <c r="F1839" i="4"/>
  <c r="G1838" i="4"/>
  <c r="H1838" i="4" s="1"/>
  <c r="F1838" i="4"/>
  <c r="G1837" i="4"/>
  <c r="H1837" i="4" s="1"/>
  <c r="F1837" i="4"/>
  <c r="G1836" i="4"/>
  <c r="H1836" i="4" s="1"/>
  <c r="F1836" i="4"/>
  <c r="G1835" i="4"/>
  <c r="H1835" i="4" s="1"/>
  <c r="F1835" i="4"/>
  <c r="G1648" i="4"/>
  <c r="H1648" i="4" s="1"/>
  <c r="F1648" i="4"/>
  <c r="G1647" i="4"/>
  <c r="H1647" i="4" s="1"/>
  <c r="F1647" i="4"/>
  <c r="G1646" i="4"/>
  <c r="H1646" i="4" s="1"/>
  <c r="F1646" i="4"/>
  <c r="G1645" i="4"/>
  <c r="H1645" i="4" s="1"/>
  <c r="F1645" i="4"/>
  <c r="G1644" i="4"/>
  <c r="H1644" i="4" s="1"/>
  <c r="F1644" i="4"/>
  <c r="G1643" i="4"/>
  <c r="H1643" i="4" s="1"/>
  <c r="F1643" i="4"/>
  <c r="G1642" i="4"/>
  <c r="H1642" i="4" s="1"/>
  <c r="F1642" i="4"/>
  <c r="G1641" i="4"/>
  <c r="H1641" i="4" s="1"/>
  <c r="F1641" i="4"/>
  <c r="G1640" i="4"/>
  <c r="H1640" i="4" s="1"/>
  <c r="F1640" i="4"/>
  <c r="G1639" i="4"/>
  <c r="H1639" i="4" s="1"/>
  <c r="F1639" i="4"/>
  <c r="G1638" i="4"/>
  <c r="H1638" i="4" s="1"/>
  <c r="F1638" i="4"/>
  <c r="G1637" i="4"/>
  <c r="H1637" i="4" s="1"/>
  <c r="F1637" i="4"/>
  <c r="G1636" i="4"/>
  <c r="H1636" i="4" s="1"/>
  <c r="F1636" i="4"/>
  <c r="G1635" i="4"/>
  <c r="H1635" i="4" s="1"/>
  <c r="F1635" i="4"/>
  <c r="G1634" i="4"/>
  <c r="H1634" i="4" s="1"/>
  <c r="F1634" i="4"/>
  <c r="G1633" i="4"/>
  <c r="H1633" i="4" s="1"/>
  <c r="F1633" i="4"/>
  <c r="G1632" i="4"/>
  <c r="H1632" i="4" s="1"/>
  <c r="F1632" i="4"/>
  <c r="G1631" i="4"/>
  <c r="H1631" i="4" s="1"/>
  <c r="F1631" i="4"/>
  <c r="G1630" i="4"/>
  <c r="H1630" i="4" s="1"/>
  <c r="F1630" i="4"/>
  <c r="G1629" i="4"/>
  <c r="H1629" i="4" s="1"/>
  <c r="F1629" i="4"/>
  <c r="G1628" i="4"/>
  <c r="H1628" i="4" s="1"/>
  <c r="F1628" i="4"/>
  <c r="G1627" i="4"/>
  <c r="H1627" i="4" s="1"/>
  <c r="F1627" i="4"/>
  <c r="G1447" i="4"/>
  <c r="H1447" i="4" s="1"/>
  <c r="F1447" i="4"/>
  <c r="G1446" i="4"/>
  <c r="H1446" i="4" s="1"/>
  <c r="F1446" i="4"/>
  <c r="G1445" i="4"/>
  <c r="H1445" i="4" s="1"/>
  <c r="F1445" i="4"/>
  <c r="G1444" i="4"/>
  <c r="H1444" i="4" s="1"/>
  <c r="F1444" i="4"/>
  <c r="G1443" i="4"/>
  <c r="H1443" i="4" s="1"/>
  <c r="F1443" i="4"/>
  <c r="G1442" i="4"/>
  <c r="H1442" i="4" s="1"/>
  <c r="F1442" i="4"/>
  <c r="G1441" i="4"/>
  <c r="H1441" i="4" s="1"/>
  <c r="F1441" i="4"/>
  <c r="G1440" i="4"/>
  <c r="H1440" i="4" s="1"/>
  <c r="F1440" i="4"/>
  <c r="G1439" i="4"/>
  <c r="H1439" i="4" s="1"/>
  <c r="F1439" i="4"/>
  <c r="G1438" i="4"/>
  <c r="H1438" i="4" s="1"/>
  <c r="F1438" i="4"/>
  <c r="G1437" i="4"/>
  <c r="H1437" i="4" s="1"/>
  <c r="F1437" i="4"/>
  <c r="G1436" i="4"/>
  <c r="H1436" i="4" s="1"/>
  <c r="F1436" i="4"/>
  <c r="G1435" i="4"/>
  <c r="H1435" i="4" s="1"/>
  <c r="F1435" i="4"/>
  <c r="G1434" i="4"/>
  <c r="H1434" i="4" s="1"/>
  <c r="F1434" i="4"/>
  <c r="G1433" i="4"/>
  <c r="H1433" i="4" s="1"/>
  <c r="F1433" i="4"/>
  <c r="G1432" i="4"/>
  <c r="H1432" i="4" s="1"/>
  <c r="F1432" i="4"/>
  <c r="G1431" i="4"/>
  <c r="H1431" i="4" s="1"/>
  <c r="F1431" i="4"/>
  <c r="G1430" i="4"/>
  <c r="H1430" i="4" s="1"/>
  <c r="F1430" i="4"/>
  <c r="G1429" i="4"/>
  <c r="H1429" i="4" s="1"/>
  <c r="F1429" i="4"/>
  <c r="G1428" i="4"/>
  <c r="H1428" i="4" s="1"/>
  <c r="F1428" i="4"/>
  <c r="G1427" i="4"/>
  <c r="H1427" i="4" s="1"/>
  <c r="F1427" i="4"/>
  <c r="G1426" i="4"/>
  <c r="H1426" i="4" s="1"/>
  <c r="F1426" i="4"/>
  <c r="G1425" i="4"/>
  <c r="H1425" i="4" s="1"/>
  <c r="F1425" i="4"/>
  <c r="G1424" i="4"/>
  <c r="H1424" i="4" s="1"/>
  <c r="F1424" i="4"/>
  <c r="G1234" i="4"/>
  <c r="H1234" i="4" s="1"/>
  <c r="F1234" i="4"/>
  <c r="G1233" i="4"/>
  <c r="H1233" i="4" s="1"/>
  <c r="F1233" i="4"/>
  <c r="G1232" i="4"/>
  <c r="H1232" i="4" s="1"/>
  <c r="F1232" i="4"/>
  <c r="G1231" i="4"/>
  <c r="H1231" i="4" s="1"/>
  <c r="F1231" i="4"/>
  <c r="G1230" i="4"/>
  <c r="H1230" i="4" s="1"/>
  <c r="F1230" i="4"/>
  <c r="G1229" i="4"/>
  <c r="H1229" i="4" s="1"/>
  <c r="F1229" i="4"/>
  <c r="G1228" i="4"/>
  <c r="H1228" i="4" s="1"/>
  <c r="F1228" i="4"/>
  <c r="G1227" i="4"/>
  <c r="H1227" i="4" s="1"/>
  <c r="F1227" i="4"/>
  <c r="G1226" i="4"/>
  <c r="H1226" i="4" s="1"/>
  <c r="F1226" i="4"/>
  <c r="G1225" i="4"/>
  <c r="H1225" i="4" s="1"/>
  <c r="F1225" i="4"/>
  <c r="G1224" i="4"/>
  <c r="H1224" i="4" s="1"/>
  <c r="F1224" i="4"/>
  <c r="G1223" i="4"/>
  <c r="H1223" i="4" s="1"/>
  <c r="F1223" i="4"/>
  <c r="G1222" i="4"/>
  <c r="H1222" i="4" s="1"/>
  <c r="F1222" i="4"/>
  <c r="G1221" i="4"/>
  <c r="H1221" i="4" s="1"/>
  <c r="F1221" i="4"/>
  <c r="G1220" i="4"/>
  <c r="H1220" i="4" s="1"/>
  <c r="F1220" i="4"/>
  <c r="G1219" i="4"/>
  <c r="H1219" i="4" s="1"/>
  <c r="F1219" i="4"/>
  <c r="G1218" i="4"/>
  <c r="H1218" i="4" s="1"/>
  <c r="F1218" i="4"/>
  <c r="G1217" i="4"/>
  <c r="H1217" i="4" s="1"/>
  <c r="F1217" i="4"/>
  <c r="G1216" i="4"/>
  <c r="H1216" i="4" s="1"/>
  <c r="F1216" i="4"/>
  <c r="G1215" i="4"/>
  <c r="H1215" i="4" s="1"/>
  <c r="F1215" i="4"/>
  <c r="G1214" i="4"/>
  <c r="H1214" i="4" s="1"/>
  <c r="F1214" i="4"/>
  <c r="G1213" i="4"/>
  <c r="H1213" i="4" s="1"/>
  <c r="F1213" i="4"/>
  <c r="G1212" i="4"/>
  <c r="H1212" i="4" s="1"/>
  <c r="F1212" i="4"/>
  <c r="G1211" i="4"/>
  <c r="H1211" i="4" s="1"/>
  <c r="F1211" i="4"/>
  <c r="G1021" i="4"/>
  <c r="H1021" i="4" s="1"/>
  <c r="F1021" i="4"/>
  <c r="G1020" i="4"/>
  <c r="H1020" i="4" s="1"/>
  <c r="F1020" i="4"/>
  <c r="G1019" i="4"/>
  <c r="H1019" i="4" s="1"/>
  <c r="F1019" i="4"/>
  <c r="G1018" i="4"/>
  <c r="H1018" i="4" s="1"/>
  <c r="F1018" i="4"/>
  <c r="G1017" i="4"/>
  <c r="H1017" i="4" s="1"/>
  <c r="F1017" i="4"/>
  <c r="G1016" i="4"/>
  <c r="H1016" i="4" s="1"/>
  <c r="F1016" i="4"/>
  <c r="G1015" i="4"/>
  <c r="H1015" i="4" s="1"/>
  <c r="F1015" i="4"/>
  <c r="G1014" i="4"/>
  <c r="H1014" i="4" s="1"/>
  <c r="F1014" i="4"/>
  <c r="G1013" i="4"/>
  <c r="H1013" i="4" s="1"/>
  <c r="F1013" i="4"/>
  <c r="G1012" i="4"/>
  <c r="H1012" i="4" s="1"/>
  <c r="F1012" i="4"/>
  <c r="G1011" i="4"/>
  <c r="H1011" i="4" s="1"/>
  <c r="F1011" i="4"/>
  <c r="G1010" i="4"/>
  <c r="H1010" i="4" s="1"/>
  <c r="F1010" i="4"/>
  <c r="G1009" i="4"/>
  <c r="H1009" i="4" s="1"/>
  <c r="F1009" i="4"/>
  <c r="G1008" i="4"/>
  <c r="H1008" i="4" s="1"/>
  <c r="F1008" i="4"/>
  <c r="G1007" i="4"/>
  <c r="H1007" i="4" s="1"/>
  <c r="F1007" i="4"/>
  <c r="G1006" i="4"/>
  <c r="H1006" i="4" s="1"/>
  <c r="F1006" i="4"/>
  <c r="G1005" i="4"/>
  <c r="H1005" i="4" s="1"/>
  <c r="F1005" i="4"/>
  <c r="G1004" i="4"/>
  <c r="H1004" i="4" s="1"/>
  <c r="F1004" i="4"/>
  <c r="G1003" i="4"/>
  <c r="H1003" i="4" s="1"/>
  <c r="F1003" i="4"/>
  <c r="G1002" i="4"/>
  <c r="H1002" i="4" s="1"/>
  <c r="F1002" i="4"/>
  <c r="G1001" i="4"/>
  <c r="H1001" i="4" s="1"/>
  <c r="F1001" i="4"/>
  <c r="G1000" i="4"/>
  <c r="H1000" i="4" s="1"/>
  <c r="F1000" i="4"/>
  <c r="G999" i="4"/>
  <c r="H999" i="4" s="1"/>
  <c r="F999" i="4"/>
  <c r="G998" i="4"/>
  <c r="H998" i="4" s="1"/>
  <c r="F998" i="4"/>
  <c r="G997" i="4"/>
  <c r="H997" i="4" s="1"/>
  <c r="F997" i="4"/>
  <c r="G814" i="4"/>
  <c r="H814" i="4" s="1"/>
  <c r="F814" i="4"/>
  <c r="G813" i="4"/>
  <c r="H813" i="4" s="1"/>
  <c r="F813" i="4"/>
  <c r="G812" i="4"/>
  <c r="H812" i="4" s="1"/>
  <c r="F812" i="4"/>
  <c r="G811" i="4"/>
  <c r="H811" i="4" s="1"/>
  <c r="F811" i="4"/>
  <c r="G810" i="4"/>
  <c r="H810" i="4" s="1"/>
  <c r="F810" i="4"/>
  <c r="G809" i="4"/>
  <c r="H809" i="4" s="1"/>
  <c r="F809" i="4"/>
  <c r="G808" i="4"/>
  <c r="H808" i="4" s="1"/>
  <c r="F808" i="4"/>
  <c r="G807" i="4"/>
  <c r="H807" i="4" s="1"/>
  <c r="F807" i="4"/>
  <c r="G806" i="4"/>
  <c r="H806" i="4" s="1"/>
  <c r="F806" i="4"/>
  <c r="G805" i="4"/>
  <c r="H805" i="4" s="1"/>
  <c r="F805" i="4"/>
  <c r="G804" i="4"/>
  <c r="H804" i="4" s="1"/>
  <c r="F804" i="4"/>
  <c r="G803" i="4"/>
  <c r="H803" i="4" s="1"/>
  <c r="F803" i="4"/>
  <c r="G802" i="4"/>
  <c r="H802" i="4" s="1"/>
  <c r="F802" i="4"/>
  <c r="G801" i="4"/>
  <c r="H801" i="4" s="1"/>
  <c r="F801" i="4"/>
  <c r="G800" i="4"/>
  <c r="H800" i="4" s="1"/>
  <c r="F800" i="4"/>
  <c r="G799" i="4"/>
  <c r="H799" i="4" s="1"/>
  <c r="F799" i="4"/>
  <c r="G798" i="4"/>
  <c r="H798" i="4" s="1"/>
  <c r="F798" i="4"/>
  <c r="G797" i="4"/>
  <c r="H797" i="4" s="1"/>
  <c r="F797" i="4"/>
  <c r="G796" i="4"/>
  <c r="H796" i="4" s="1"/>
  <c r="F796" i="4"/>
  <c r="G795" i="4"/>
  <c r="H795" i="4" s="1"/>
  <c r="F795" i="4"/>
  <c r="G794" i="4"/>
  <c r="H794" i="4" s="1"/>
  <c r="F794" i="4"/>
  <c r="G793" i="4"/>
  <c r="H793" i="4" s="1"/>
  <c r="F793" i="4"/>
  <c r="G792" i="4"/>
  <c r="H792" i="4" s="1"/>
  <c r="F792" i="4"/>
  <c r="G791" i="4"/>
  <c r="H791" i="4" s="1"/>
  <c r="F791" i="4"/>
  <c r="G619" i="4"/>
  <c r="H619" i="4" s="1"/>
  <c r="F619" i="4"/>
  <c r="G618" i="4"/>
  <c r="H618" i="4" s="1"/>
  <c r="F618" i="4"/>
  <c r="G617" i="4"/>
  <c r="H617" i="4" s="1"/>
  <c r="F617" i="4"/>
  <c r="G616" i="4"/>
  <c r="H616" i="4" s="1"/>
  <c r="F616" i="4"/>
  <c r="G615" i="4"/>
  <c r="H615" i="4" s="1"/>
  <c r="F615" i="4"/>
  <c r="G614" i="4"/>
  <c r="H614" i="4" s="1"/>
  <c r="F614" i="4"/>
  <c r="G613" i="4"/>
  <c r="H613" i="4" s="1"/>
  <c r="F613" i="4"/>
  <c r="G612" i="4"/>
  <c r="H612" i="4" s="1"/>
  <c r="F612" i="4"/>
  <c r="G611" i="4"/>
  <c r="H611" i="4" s="1"/>
  <c r="F611" i="4"/>
  <c r="G610" i="4"/>
  <c r="H610" i="4" s="1"/>
  <c r="F610" i="4"/>
  <c r="G609" i="4"/>
  <c r="H609" i="4" s="1"/>
  <c r="F609" i="4"/>
  <c r="G608" i="4"/>
  <c r="H608" i="4" s="1"/>
  <c r="F608" i="4"/>
  <c r="G607" i="4"/>
  <c r="H607" i="4" s="1"/>
  <c r="F607" i="4"/>
  <c r="G606" i="4"/>
  <c r="H606" i="4" s="1"/>
  <c r="F606" i="4"/>
  <c r="G605" i="4"/>
  <c r="H605" i="4" s="1"/>
  <c r="F605" i="4"/>
  <c r="G604" i="4"/>
  <c r="H604" i="4" s="1"/>
  <c r="F604" i="4"/>
  <c r="G603" i="4"/>
  <c r="H603" i="4" s="1"/>
  <c r="F603" i="4"/>
  <c r="G602" i="4"/>
  <c r="H602" i="4" s="1"/>
  <c r="F602" i="4"/>
  <c r="G601" i="4"/>
  <c r="H601" i="4" s="1"/>
  <c r="F601" i="4"/>
  <c r="G600" i="4"/>
  <c r="H600" i="4" s="1"/>
  <c r="F600" i="4"/>
  <c r="G599" i="4"/>
  <c r="H599" i="4" s="1"/>
  <c r="F599" i="4"/>
  <c r="G598" i="4"/>
  <c r="H598" i="4" s="1"/>
  <c r="F598" i="4"/>
  <c r="G597" i="4"/>
  <c r="H597" i="4" s="1"/>
  <c r="F597" i="4"/>
  <c r="G460" i="4"/>
  <c r="H460" i="4" s="1"/>
  <c r="F460" i="4"/>
  <c r="G459" i="4"/>
  <c r="H459" i="4" s="1"/>
  <c r="F459" i="4"/>
  <c r="G458" i="4"/>
  <c r="H458" i="4" s="1"/>
  <c r="F458" i="4"/>
  <c r="G457" i="4"/>
  <c r="H457" i="4" s="1"/>
  <c r="F457" i="4"/>
  <c r="G456" i="4"/>
  <c r="H456" i="4" s="1"/>
  <c r="F456" i="4"/>
  <c r="G455" i="4"/>
  <c r="H455" i="4" s="1"/>
  <c r="F455" i="4"/>
  <c r="G454" i="4"/>
  <c r="H454" i="4" s="1"/>
  <c r="F454" i="4"/>
  <c r="G453" i="4"/>
  <c r="H453" i="4" s="1"/>
  <c r="F453" i="4"/>
  <c r="G452" i="4"/>
  <c r="H452" i="4" s="1"/>
  <c r="F452" i="4"/>
  <c r="G451" i="4"/>
  <c r="H451" i="4" s="1"/>
  <c r="F451" i="4"/>
  <c r="G450" i="4"/>
  <c r="H450" i="4" s="1"/>
  <c r="F450" i="4"/>
  <c r="G449" i="4"/>
  <c r="H449" i="4" s="1"/>
  <c r="F449" i="4"/>
  <c r="G448" i="4"/>
  <c r="H448" i="4" s="1"/>
  <c r="F448" i="4"/>
  <c r="G447" i="4"/>
  <c r="H447" i="4" s="1"/>
  <c r="F447" i="4"/>
  <c r="G446" i="4"/>
  <c r="H446" i="4" s="1"/>
  <c r="F446" i="4"/>
  <c r="G445" i="4"/>
  <c r="H445" i="4" s="1"/>
  <c r="F445" i="4"/>
  <c r="G444" i="4"/>
  <c r="H444" i="4" s="1"/>
  <c r="F444" i="4"/>
  <c r="G443" i="4"/>
  <c r="H443" i="4" s="1"/>
  <c r="F443" i="4"/>
  <c r="G442" i="4"/>
  <c r="H442" i="4" s="1"/>
  <c r="F442" i="4"/>
  <c r="G441" i="4"/>
  <c r="H441" i="4" s="1"/>
  <c r="F441" i="4"/>
  <c r="G440" i="4"/>
  <c r="H440" i="4" s="1"/>
  <c r="F440" i="4"/>
  <c r="G439" i="4"/>
  <c r="H439" i="4" s="1"/>
  <c r="F439" i="4"/>
  <c r="G438" i="4"/>
  <c r="H438" i="4" s="1"/>
  <c r="F438" i="4"/>
  <c r="G272" i="4"/>
  <c r="H272" i="4" s="1"/>
  <c r="F272" i="4"/>
  <c r="G271" i="4"/>
  <c r="H271" i="4" s="1"/>
  <c r="F271" i="4"/>
  <c r="G270" i="4"/>
  <c r="H270" i="4" s="1"/>
  <c r="F270" i="4"/>
  <c r="G269" i="4"/>
  <c r="H269" i="4" s="1"/>
  <c r="F269" i="4"/>
  <c r="G268" i="4"/>
  <c r="H268" i="4" s="1"/>
  <c r="F268" i="4"/>
  <c r="G267" i="4"/>
  <c r="H267" i="4" s="1"/>
  <c r="F267" i="4"/>
  <c r="G266" i="4"/>
  <c r="H266" i="4" s="1"/>
  <c r="F266" i="4"/>
  <c r="G265" i="4"/>
  <c r="H265" i="4" s="1"/>
  <c r="F265" i="4"/>
  <c r="G264" i="4"/>
  <c r="H264" i="4" s="1"/>
  <c r="F264" i="4"/>
  <c r="G263" i="4"/>
  <c r="H263" i="4" s="1"/>
  <c r="F263" i="4"/>
  <c r="G262" i="4"/>
  <c r="H262" i="4" s="1"/>
  <c r="F262" i="4"/>
  <c r="G261" i="4"/>
  <c r="H261" i="4" s="1"/>
  <c r="F261" i="4"/>
  <c r="G260" i="4"/>
  <c r="H260" i="4" s="1"/>
  <c r="F260" i="4"/>
  <c r="G259" i="4"/>
  <c r="H259" i="4" s="1"/>
  <c r="F259" i="4"/>
  <c r="G258" i="4"/>
  <c r="H258" i="4" s="1"/>
  <c r="F258" i="4"/>
  <c r="G257" i="4"/>
  <c r="H257" i="4" s="1"/>
  <c r="F257" i="4"/>
  <c r="G256" i="4"/>
  <c r="H256" i="4" s="1"/>
  <c r="F256" i="4"/>
  <c r="G255" i="4"/>
  <c r="H255" i="4" s="1"/>
  <c r="F255" i="4"/>
  <c r="G254" i="4"/>
  <c r="H254" i="4" s="1"/>
  <c r="F254" i="4"/>
  <c r="G253" i="4"/>
  <c r="H253" i="4" s="1"/>
  <c r="F253" i="4"/>
  <c r="G252" i="4"/>
  <c r="H252" i="4" s="1"/>
  <c r="F252" i="4"/>
  <c r="G251" i="4"/>
  <c r="H251" i="4" s="1"/>
  <c r="F251" i="4"/>
  <c r="G250" i="4"/>
  <c r="H250" i="4" s="1"/>
  <c r="F250" i="4"/>
  <c r="G249" i="4"/>
  <c r="H249" i="4" s="1"/>
  <c r="F249" i="4"/>
  <c r="G248" i="4"/>
  <c r="H248" i="4" s="1"/>
  <c r="F248" i="4"/>
  <c r="G71" i="4"/>
  <c r="H71" i="4" s="1"/>
  <c r="F71" i="4"/>
  <c r="G70" i="4"/>
  <c r="H70" i="4" s="1"/>
  <c r="F70" i="4"/>
  <c r="G69" i="4"/>
  <c r="H69" i="4" s="1"/>
  <c r="F69" i="4"/>
  <c r="G68" i="4"/>
  <c r="H68" i="4" s="1"/>
  <c r="F68" i="4"/>
  <c r="G67" i="4"/>
  <c r="H67" i="4" s="1"/>
  <c r="F67" i="4"/>
  <c r="G66" i="4"/>
  <c r="H66" i="4" s="1"/>
  <c r="F66" i="4"/>
  <c r="G65" i="4"/>
  <c r="H65" i="4" s="1"/>
  <c r="F65" i="4"/>
  <c r="G64" i="4"/>
  <c r="H64" i="4" s="1"/>
  <c r="F64" i="4"/>
  <c r="G63" i="4"/>
  <c r="H63" i="4" s="1"/>
  <c r="F63" i="4"/>
  <c r="G62" i="4"/>
  <c r="H62" i="4" s="1"/>
  <c r="F62" i="4"/>
  <c r="G61" i="4"/>
  <c r="H61" i="4" s="1"/>
  <c r="F61" i="4"/>
  <c r="G60" i="4"/>
  <c r="H60" i="4" s="1"/>
  <c r="F60" i="4"/>
  <c r="G59" i="4"/>
  <c r="H59" i="4" s="1"/>
  <c r="F59" i="4"/>
  <c r="G58" i="4"/>
  <c r="H58" i="4" s="1"/>
  <c r="F58" i="4"/>
  <c r="G57" i="4"/>
  <c r="H57" i="4" s="1"/>
  <c r="F57" i="4"/>
  <c r="G56" i="4"/>
  <c r="H56" i="4" s="1"/>
  <c r="F56" i="4"/>
  <c r="G55" i="4"/>
  <c r="H55" i="4" s="1"/>
  <c r="F55" i="4"/>
  <c r="G54" i="4"/>
  <c r="H54" i="4" s="1"/>
  <c r="F54" i="4"/>
  <c r="G53" i="4"/>
  <c r="H53" i="4" s="1"/>
  <c r="F53" i="4"/>
  <c r="G52" i="4"/>
  <c r="H52" i="4" s="1"/>
  <c r="F52" i="4"/>
  <c r="G51" i="4"/>
  <c r="H51" i="4" s="1"/>
  <c r="F51" i="4"/>
  <c r="G2204" i="4"/>
  <c r="H2204" i="4" s="1"/>
  <c r="F2204" i="4"/>
  <c r="G2203" i="4"/>
  <c r="H2203" i="4" s="1"/>
  <c r="F2203" i="4"/>
  <c r="G2202" i="4"/>
  <c r="H2202" i="4" s="1"/>
  <c r="F2202" i="4"/>
  <c r="G2201" i="4"/>
  <c r="H2201" i="4" s="1"/>
  <c r="F2201" i="4"/>
  <c r="G2200" i="4"/>
  <c r="H2200" i="4" s="1"/>
  <c r="F2200" i="4"/>
  <c r="G2199" i="4"/>
  <c r="H2199" i="4" s="1"/>
  <c r="F2199" i="4"/>
  <c r="G2198" i="4"/>
  <c r="H2198" i="4" s="1"/>
  <c r="F2198" i="4"/>
  <c r="G2197" i="4"/>
  <c r="H2197" i="4" s="1"/>
  <c r="F2197" i="4"/>
  <c r="G2196" i="4"/>
  <c r="H2196" i="4" s="1"/>
  <c r="F2196" i="4"/>
  <c r="G2195" i="4"/>
  <c r="H2195" i="4" s="1"/>
  <c r="F2195" i="4"/>
  <c r="G2194" i="4"/>
  <c r="H2194" i="4" s="1"/>
  <c r="F2194" i="4"/>
  <c r="G2193" i="4"/>
  <c r="H2193" i="4" s="1"/>
  <c r="F2193" i="4"/>
  <c r="G2192" i="4"/>
  <c r="H2192" i="4" s="1"/>
  <c r="F2192" i="4"/>
  <c r="G2191" i="4"/>
  <c r="H2191" i="4" s="1"/>
  <c r="F2191" i="4"/>
  <c r="G2190" i="4"/>
  <c r="H2190" i="4" s="1"/>
  <c r="F2190" i="4"/>
  <c r="G2189" i="4"/>
  <c r="H2189" i="4" s="1"/>
  <c r="F2189" i="4"/>
  <c r="G2188" i="4"/>
  <c r="H2188" i="4" s="1"/>
  <c r="F2188" i="4"/>
  <c r="G2187" i="4"/>
  <c r="H2187" i="4" s="1"/>
  <c r="F2187" i="4"/>
  <c r="G2186" i="4"/>
  <c r="H2186" i="4" s="1"/>
  <c r="F2186" i="4"/>
  <c r="G2185" i="4"/>
  <c r="H2185" i="4" s="1"/>
  <c r="F2185" i="4"/>
  <c r="G2184" i="4"/>
  <c r="H2184" i="4" s="1"/>
  <c r="F2184" i="4"/>
  <c r="G2183" i="4"/>
  <c r="H2183" i="4" s="1"/>
  <c r="F2183" i="4"/>
  <c r="G2182" i="4"/>
  <c r="H2182" i="4" s="1"/>
  <c r="F2182" i="4"/>
  <c r="G2181" i="4"/>
  <c r="H2181" i="4" s="1"/>
  <c r="F2181" i="4"/>
  <c r="G2180" i="4"/>
  <c r="H2180" i="4" s="1"/>
  <c r="F2180" i="4"/>
  <c r="G2011" i="4"/>
  <c r="H2011" i="4" s="1"/>
  <c r="F2011" i="4"/>
  <c r="G2010" i="4"/>
  <c r="H2010" i="4" s="1"/>
  <c r="F2010" i="4"/>
  <c r="G2009" i="4"/>
  <c r="H2009" i="4" s="1"/>
  <c r="F2009" i="4"/>
  <c r="G2008" i="4"/>
  <c r="H2008" i="4" s="1"/>
  <c r="F2008" i="4"/>
  <c r="G2007" i="4"/>
  <c r="H2007" i="4" s="1"/>
  <c r="F2007" i="4"/>
  <c r="G2006" i="4"/>
  <c r="H2006" i="4" s="1"/>
  <c r="F2006" i="4"/>
  <c r="G2005" i="4"/>
  <c r="H2005" i="4" s="1"/>
  <c r="F2005" i="4"/>
  <c r="G2004" i="4"/>
  <c r="H2004" i="4" s="1"/>
  <c r="F2004" i="4"/>
  <c r="G2003" i="4"/>
  <c r="H2003" i="4" s="1"/>
  <c r="F2003" i="4"/>
  <c r="G2002" i="4"/>
  <c r="H2002" i="4" s="1"/>
  <c r="F2002" i="4"/>
  <c r="G2001" i="4"/>
  <c r="H2001" i="4" s="1"/>
  <c r="F2001" i="4"/>
  <c r="G2000" i="4"/>
  <c r="H2000" i="4" s="1"/>
  <c r="F2000" i="4"/>
  <c r="G1999" i="4"/>
  <c r="H1999" i="4" s="1"/>
  <c r="F1999" i="4"/>
  <c r="G1998" i="4"/>
  <c r="H1998" i="4" s="1"/>
  <c r="F1998" i="4"/>
  <c r="G1997" i="4"/>
  <c r="H1997" i="4" s="1"/>
  <c r="F1997" i="4"/>
  <c r="G1996" i="4"/>
  <c r="H1996" i="4" s="1"/>
  <c r="F1996" i="4"/>
  <c r="G1995" i="4"/>
  <c r="H1995" i="4" s="1"/>
  <c r="F1995" i="4"/>
  <c r="G1994" i="4"/>
  <c r="H1994" i="4" s="1"/>
  <c r="F1994" i="4"/>
  <c r="G1993" i="4"/>
  <c r="H1993" i="4" s="1"/>
  <c r="F1993" i="4"/>
  <c r="G1992" i="4"/>
  <c r="H1992" i="4" s="1"/>
  <c r="F1992" i="4"/>
  <c r="G1991" i="4"/>
  <c r="H1991" i="4" s="1"/>
  <c r="F1991" i="4"/>
  <c r="G1990" i="4"/>
  <c r="H1990" i="4" s="1"/>
  <c r="F1990" i="4"/>
  <c r="G1989" i="4"/>
  <c r="H1989" i="4" s="1"/>
  <c r="F1989" i="4"/>
  <c r="G1988" i="4"/>
  <c r="H1988" i="4" s="1"/>
  <c r="F1988" i="4"/>
  <c r="G1987" i="4"/>
  <c r="H1987" i="4" s="1"/>
  <c r="F1987" i="4"/>
  <c r="G1834" i="4"/>
  <c r="H1834" i="4" s="1"/>
  <c r="F1834" i="4"/>
  <c r="G1833" i="4"/>
  <c r="H1833" i="4" s="1"/>
  <c r="F1833" i="4"/>
  <c r="G1832" i="4"/>
  <c r="H1832" i="4" s="1"/>
  <c r="F1832" i="4"/>
  <c r="G1831" i="4"/>
  <c r="H1831" i="4" s="1"/>
  <c r="F1831" i="4"/>
  <c r="G1830" i="4"/>
  <c r="H1830" i="4" s="1"/>
  <c r="F1830" i="4"/>
  <c r="G1829" i="4"/>
  <c r="H1829" i="4" s="1"/>
  <c r="F1829" i="4"/>
  <c r="G1828" i="4"/>
  <c r="H1828" i="4" s="1"/>
  <c r="F1828" i="4"/>
  <c r="G1827" i="4"/>
  <c r="H1827" i="4" s="1"/>
  <c r="F1827" i="4"/>
  <c r="G1826" i="4"/>
  <c r="H1826" i="4" s="1"/>
  <c r="F1826" i="4"/>
  <c r="G1825" i="4"/>
  <c r="H1825" i="4" s="1"/>
  <c r="F1825" i="4"/>
  <c r="G1824" i="4"/>
  <c r="H1824" i="4" s="1"/>
  <c r="F1824" i="4"/>
  <c r="G1823" i="4"/>
  <c r="H1823" i="4" s="1"/>
  <c r="F1823" i="4"/>
  <c r="G1822" i="4"/>
  <c r="H1822" i="4" s="1"/>
  <c r="F1822" i="4"/>
  <c r="G1821" i="4"/>
  <c r="H1821" i="4" s="1"/>
  <c r="F1821" i="4"/>
  <c r="G1820" i="4"/>
  <c r="H1820" i="4" s="1"/>
  <c r="F1820" i="4"/>
  <c r="G1819" i="4"/>
  <c r="H1819" i="4" s="1"/>
  <c r="F1819" i="4"/>
  <c r="G1818" i="4"/>
  <c r="H1818" i="4" s="1"/>
  <c r="F1818" i="4"/>
  <c r="G1817" i="4"/>
  <c r="H1817" i="4" s="1"/>
  <c r="F1817" i="4"/>
  <c r="G1816" i="4"/>
  <c r="H1816" i="4" s="1"/>
  <c r="F1816" i="4"/>
  <c r="G1815" i="4"/>
  <c r="H1815" i="4" s="1"/>
  <c r="F1815" i="4"/>
  <c r="G1814" i="4"/>
  <c r="H1814" i="4" s="1"/>
  <c r="F1814" i="4"/>
  <c r="G1813" i="4"/>
  <c r="H1813" i="4" s="1"/>
  <c r="F1813" i="4"/>
  <c r="G1812" i="4"/>
  <c r="H1812" i="4" s="1"/>
  <c r="F1812" i="4"/>
  <c r="G1811" i="4"/>
  <c r="H1811" i="4" s="1"/>
  <c r="F1811" i="4"/>
  <c r="G1810" i="4"/>
  <c r="H1810" i="4" s="1"/>
  <c r="F1810" i="4"/>
  <c r="G1626" i="4"/>
  <c r="H1626" i="4" s="1"/>
  <c r="F1626" i="4"/>
  <c r="G1625" i="4"/>
  <c r="H1625" i="4" s="1"/>
  <c r="F1625" i="4"/>
  <c r="G1624" i="4"/>
  <c r="H1624" i="4" s="1"/>
  <c r="F1624" i="4"/>
  <c r="G1623" i="4"/>
  <c r="H1623" i="4" s="1"/>
  <c r="F1623" i="4"/>
  <c r="G1622" i="4"/>
  <c r="H1622" i="4" s="1"/>
  <c r="F1622" i="4"/>
  <c r="G1621" i="4"/>
  <c r="H1621" i="4" s="1"/>
  <c r="F1621" i="4"/>
  <c r="G1620" i="4"/>
  <c r="H1620" i="4" s="1"/>
  <c r="F1620" i="4"/>
  <c r="G1619" i="4"/>
  <c r="H1619" i="4" s="1"/>
  <c r="F1619" i="4"/>
  <c r="G1618" i="4"/>
  <c r="H1618" i="4" s="1"/>
  <c r="F1618" i="4"/>
  <c r="G1617" i="4"/>
  <c r="H1617" i="4" s="1"/>
  <c r="F1617" i="4"/>
  <c r="G1616" i="4"/>
  <c r="H1616" i="4" s="1"/>
  <c r="F1616" i="4"/>
  <c r="G1615" i="4"/>
  <c r="H1615" i="4" s="1"/>
  <c r="F1615" i="4"/>
  <c r="G1614" i="4"/>
  <c r="H1614" i="4" s="1"/>
  <c r="F1614" i="4"/>
  <c r="G1613" i="4"/>
  <c r="H1613" i="4" s="1"/>
  <c r="F1613" i="4"/>
  <c r="G1612" i="4"/>
  <c r="H1612" i="4" s="1"/>
  <c r="F1612" i="4"/>
  <c r="G1611" i="4"/>
  <c r="H1611" i="4" s="1"/>
  <c r="F1611" i="4"/>
  <c r="G1610" i="4"/>
  <c r="H1610" i="4" s="1"/>
  <c r="F1610" i="4"/>
  <c r="G1609" i="4"/>
  <c r="H1609" i="4" s="1"/>
  <c r="F1609" i="4"/>
  <c r="G1608" i="4"/>
  <c r="H1608" i="4" s="1"/>
  <c r="F1608" i="4"/>
  <c r="G1607" i="4"/>
  <c r="H1607" i="4" s="1"/>
  <c r="F1607" i="4"/>
  <c r="G1606" i="4"/>
  <c r="H1606" i="4" s="1"/>
  <c r="F1606" i="4"/>
  <c r="G1605" i="4"/>
  <c r="H1605" i="4" s="1"/>
  <c r="F1605" i="4"/>
  <c r="G1604" i="4"/>
  <c r="H1604" i="4" s="1"/>
  <c r="F1604" i="4"/>
  <c r="G1603" i="4"/>
  <c r="H1603" i="4" s="1"/>
  <c r="F1603" i="4"/>
  <c r="G1602" i="4"/>
  <c r="H1602" i="4" s="1"/>
  <c r="F1602" i="4"/>
  <c r="G1423" i="4"/>
  <c r="H1423" i="4" s="1"/>
  <c r="F1423" i="4"/>
  <c r="G1422" i="4"/>
  <c r="H1422" i="4" s="1"/>
  <c r="F1422" i="4"/>
  <c r="G1421" i="4"/>
  <c r="H1421" i="4" s="1"/>
  <c r="F1421" i="4"/>
  <c r="G1420" i="4"/>
  <c r="H1420" i="4" s="1"/>
  <c r="F1420" i="4"/>
  <c r="G1419" i="4"/>
  <c r="H1419" i="4" s="1"/>
  <c r="F1419" i="4"/>
  <c r="G1418" i="4"/>
  <c r="H1418" i="4" s="1"/>
  <c r="F1418" i="4"/>
  <c r="G1417" i="4"/>
  <c r="H1417" i="4" s="1"/>
  <c r="F1417" i="4"/>
  <c r="G1416" i="4"/>
  <c r="H1416" i="4" s="1"/>
  <c r="F1416" i="4"/>
  <c r="G1415" i="4"/>
  <c r="H1415" i="4" s="1"/>
  <c r="F1415" i="4"/>
  <c r="G1414" i="4"/>
  <c r="H1414" i="4" s="1"/>
  <c r="F1414" i="4"/>
  <c r="G1413" i="4"/>
  <c r="H1413" i="4" s="1"/>
  <c r="F1413" i="4"/>
  <c r="G1412" i="4"/>
  <c r="H1412" i="4" s="1"/>
  <c r="F1412" i="4"/>
  <c r="G1411" i="4"/>
  <c r="H1411" i="4" s="1"/>
  <c r="F1411" i="4"/>
  <c r="G1410" i="4"/>
  <c r="H1410" i="4" s="1"/>
  <c r="F1410" i="4"/>
  <c r="G1409" i="4"/>
  <c r="H1409" i="4" s="1"/>
  <c r="F1409" i="4"/>
  <c r="G1408" i="4"/>
  <c r="H1408" i="4" s="1"/>
  <c r="F1408" i="4"/>
  <c r="G1407" i="4"/>
  <c r="H1407" i="4" s="1"/>
  <c r="F1407" i="4"/>
  <c r="G1406" i="4"/>
  <c r="H1406" i="4" s="1"/>
  <c r="F1406" i="4"/>
  <c r="G1405" i="4"/>
  <c r="H1405" i="4" s="1"/>
  <c r="F1405" i="4"/>
  <c r="G1404" i="4"/>
  <c r="H1404" i="4" s="1"/>
  <c r="F1404" i="4"/>
  <c r="G1403" i="4"/>
  <c r="H1403" i="4" s="1"/>
  <c r="F1403" i="4"/>
  <c r="G1402" i="4"/>
  <c r="H1402" i="4" s="1"/>
  <c r="F1402" i="4"/>
  <c r="G1401" i="4"/>
  <c r="H1401" i="4" s="1"/>
  <c r="F1401" i="4"/>
  <c r="G1400" i="4"/>
  <c r="H1400" i="4" s="1"/>
  <c r="F1400" i="4"/>
  <c r="G1399" i="4"/>
  <c r="H1399" i="4" s="1"/>
  <c r="F1399" i="4"/>
  <c r="G1210" i="4"/>
  <c r="H1210" i="4" s="1"/>
  <c r="F1210" i="4"/>
  <c r="G1209" i="4"/>
  <c r="H1209" i="4" s="1"/>
  <c r="F1209" i="4"/>
  <c r="G1208" i="4"/>
  <c r="H1208" i="4" s="1"/>
  <c r="F1208" i="4"/>
  <c r="G1207" i="4"/>
  <c r="H1207" i="4" s="1"/>
  <c r="F1207" i="4"/>
  <c r="G1206" i="4"/>
  <c r="H1206" i="4" s="1"/>
  <c r="F1206" i="4"/>
  <c r="G1205" i="4"/>
  <c r="H1205" i="4" s="1"/>
  <c r="F1205" i="4"/>
  <c r="G1204" i="4"/>
  <c r="H1204" i="4" s="1"/>
  <c r="F1204" i="4"/>
  <c r="G1203" i="4"/>
  <c r="H1203" i="4" s="1"/>
  <c r="F1203" i="4"/>
  <c r="G1202" i="4"/>
  <c r="H1202" i="4" s="1"/>
  <c r="F1202" i="4"/>
  <c r="G1201" i="4"/>
  <c r="H1201" i="4" s="1"/>
  <c r="F1201" i="4"/>
  <c r="G1200" i="4"/>
  <c r="H1200" i="4" s="1"/>
  <c r="F1200" i="4"/>
  <c r="G1199" i="4"/>
  <c r="H1199" i="4" s="1"/>
  <c r="F1199" i="4"/>
  <c r="G1198" i="4"/>
  <c r="H1198" i="4" s="1"/>
  <c r="F1198" i="4"/>
  <c r="G1197" i="4"/>
  <c r="H1197" i="4" s="1"/>
  <c r="F1197" i="4"/>
  <c r="G1196" i="4"/>
  <c r="H1196" i="4" s="1"/>
  <c r="F1196" i="4"/>
  <c r="G1195" i="4"/>
  <c r="H1195" i="4" s="1"/>
  <c r="F1195" i="4"/>
  <c r="G1194" i="4"/>
  <c r="H1194" i="4" s="1"/>
  <c r="F1194" i="4"/>
  <c r="G1193" i="4"/>
  <c r="H1193" i="4" s="1"/>
  <c r="F1193" i="4"/>
  <c r="G1192" i="4"/>
  <c r="H1192" i="4" s="1"/>
  <c r="F1192" i="4"/>
  <c r="G1191" i="4"/>
  <c r="H1191" i="4" s="1"/>
  <c r="F1191" i="4"/>
  <c r="G1190" i="4"/>
  <c r="H1190" i="4" s="1"/>
  <c r="F1190" i="4"/>
  <c r="G1189" i="4"/>
  <c r="H1189" i="4" s="1"/>
  <c r="F1189" i="4"/>
  <c r="G1188" i="4"/>
  <c r="H1188" i="4" s="1"/>
  <c r="F1188" i="4"/>
  <c r="G1187" i="4"/>
  <c r="H1187" i="4" s="1"/>
  <c r="F1187" i="4"/>
  <c r="G1186" i="4"/>
  <c r="H1186" i="4" s="1"/>
  <c r="F1186" i="4"/>
  <c r="G996" i="4"/>
  <c r="H996" i="4" s="1"/>
  <c r="F996" i="4"/>
  <c r="G995" i="4"/>
  <c r="H995" i="4" s="1"/>
  <c r="F995" i="4"/>
  <c r="G994" i="4"/>
  <c r="H994" i="4" s="1"/>
  <c r="F994" i="4"/>
  <c r="G993" i="4"/>
  <c r="H993" i="4" s="1"/>
  <c r="F993" i="4"/>
  <c r="G992" i="4"/>
  <c r="H992" i="4" s="1"/>
  <c r="F992" i="4"/>
  <c r="G991" i="4"/>
  <c r="H991" i="4" s="1"/>
  <c r="F991" i="4"/>
  <c r="G990" i="4"/>
  <c r="H990" i="4" s="1"/>
  <c r="F990" i="4"/>
  <c r="G989" i="4"/>
  <c r="H989" i="4" s="1"/>
  <c r="F989" i="4"/>
  <c r="G988" i="4"/>
  <c r="H988" i="4" s="1"/>
  <c r="F988" i="4"/>
  <c r="G987" i="4"/>
  <c r="H987" i="4" s="1"/>
  <c r="F987" i="4"/>
  <c r="G986" i="4"/>
  <c r="H986" i="4" s="1"/>
  <c r="F986" i="4"/>
  <c r="G985" i="4"/>
  <c r="H985" i="4" s="1"/>
  <c r="F985" i="4"/>
  <c r="G984" i="4"/>
  <c r="H984" i="4" s="1"/>
  <c r="F984" i="4"/>
  <c r="G983" i="4"/>
  <c r="H983" i="4" s="1"/>
  <c r="F983" i="4"/>
  <c r="G982" i="4"/>
  <c r="H982" i="4" s="1"/>
  <c r="F982" i="4"/>
  <c r="G981" i="4"/>
  <c r="H981" i="4" s="1"/>
  <c r="F981" i="4"/>
  <c r="G980" i="4"/>
  <c r="H980" i="4" s="1"/>
  <c r="F980" i="4"/>
  <c r="G979" i="4"/>
  <c r="H979" i="4" s="1"/>
  <c r="F979" i="4"/>
  <c r="G978" i="4"/>
  <c r="H978" i="4" s="1"/>
  <c r="F978" i="4"/>
  <c r="G977" i="4"/>
  <c r="H977" i="4" s="1"/>
  <c r="F977" i="4"/>
  <c r="G976" i="4"/>
  <c r="H976" i="4" s="1"/>
  <c r="F976" i="4"/>
  <c r="G975" i="4"/>
  <c r="H975" i="4" s="1"/>
  <c r="F975" i="4"/>
  <c r="G974" i="4"/>
  <c r="H974" i="4" s="1"/>
  <c r="F974" i="4"/>
  <c r="G973" i="4"/>
  <c r="H973" i="4" s="1"/>
  <c r="F973" i="4"/>
  <c r="G972" i="4"/>
  <c r="H972" i="4" s="1"/>
  <c r="F972" i="4"/>
  <c r="G790" i="4"/>
  <c r="H790" i="4" s="1"/>
  <c r="F790" i="4"/>
  <c r="G789" i="4"/>
  <c r="H789" i="4" s="1"/>
  <c r="F789" i="4"/>
  <c r="G788" i="4"/>
  <c r="H788" i="4" s="1"/>
  <c r="F788" i="4"/>
  <c r="G787" i="4"/>
  <c r="H787" i="4" s="1"/>
  <c r="F787" i="4"/>
  <c r="G786" i="4"/>
  <c r="H786" i="4" s="1"/>
  <c r="F786" i="4"/>
  <c r="G785" i="4"/>
  <c r="H785" i="4" s="1"/>
  <c r="F785" i="4"/>
  <c r="G784" i="4"/>
  <c r="H784" i="4" s="1"/>
  <c r="F784" i="4"/>
  <c r="G783" i="4"/>
  <c r="H783" i="4" s="1"/>
  <c r="F783" i="4"/>
  <c r="G782" i="4"/>
  <c r="H782" i="4" s="1"/>
  <c r="F782" i="4"/>
  <c r="G781" i="4"/>
  <c r="H781" i="4" s="1"/>
  <c r="F781" i="4"/>
  <c r="G780" i="4"/>
  <c r="H780" i="4" s="1"/>
  <c r="F780" i="4"/>
  <c r="G779" i="4"/>
  <c r="H779" i="4" s="1"/>
  <c r="F779" i="4"/>
  <c r="G778" i="4"/>
  <c r="H778" i="4" s="1"/>
  <c r="F778" i="4"/>
  <c r="G777" i="4"/>
  <c r="H777" i="4" s="1"/>
  <c r="F777" i="4"/>
  <c r="G776" i="4"/>
  <c r="H776" i="4" s="1"/>
  <c r="F776" i="4"/>
  <c r="G775" i="4"/>
  <c r="H775" i="4" s="1"/>
  <c r="F775" i="4"/>
  <c r="G774" i="4"/>
  <c r="H774" i="4" s="1"/>
  <c r="F774" i="4"/>
  <c r="G773" i="4"/>
  <c r="H773" i="4" s="1"/>
  <c r="F773" i="4"/>
  <c r="G772" i="4"/>
  <c r="H772" i="4" s="1"/>
  <c r="F772" i="4"/>
  <c r="G771" i="4"/>
  <c r="H771" i="4" s="1"/>
  <c r="F771" i="4"/>
  <c r="G770" i="4"/>
  <c r="H770" i="4" s="1"/>
  <c r="F770" i="4"/>
  <c r="G769" i="4"/>
  <c r="H769" i="4" s="1"/>
  <c r="F769" i="4"/>
  <c r="G768" i="4"/>
  <c r="H768" i="4" s="1"/>
  <c r="F768" i="4"/>
  <c r="G767" i="4"/>
  <c r="H767" i="4" s="1"/>
  <c r="F767" i="4"/>
  <c r="G766" i="4"/>
  <c r="H766" i="4" s="1"/>
  <c r="F766" i="4"/>
  <c r="G596" i="4"/>
  <c r="H596" i="4" s="1"/>
  <c r="F596" i="4"/>
  <c r="G595" i="4"/>
  <c r="H595" i="4" s="1"/>
  <c r="F595" i="4"/>
  <c r="G594" i="4"/>
  <c r="H594" i="4" s="1"/>
  <c r="F594" i="4"/>
  <c r="G593" i="4"/>
  <c r="H593" i="4" s="1"/>
  <c r="F593" i="4"/>
  <c r="G592" i="4"/>
  <c r="H592" i="4" s="1"/>
  <c r="F592" i="4"/>
  <c r="G591" i="4"/>
  <c r="H591" i="4" s="1"/>
  <c r="F591" i="4"/>
  <c r="G590" i="4"/>
  <c r="H590" i="4" s="1"/>
  <c r="F590" i="4"/>
  <c r="G589" i="4"/>
  <c r="H589" i="4" s="1"/>
  <c r="F589" i="4"/>
  <c r="G588" i="4"/>
  <c r="H588" i="4" s="1"/>
  <c r="F588" i="4"/>
  <c r="G587" i="4"/>
  <c r="H587" i="4" s="1"/>
  <c r="F587" i="4"/>
  <c r="G586" i="4"/>
  <c r="H586" i="4" s="1"/>
  <c r="F586" i="4"/>
  <c r="G585" i="4"/>
  <c r="H585" i="4" s="1"/>
  <c r="F585" i="4"/>
  <c r="G584" i="4"/>
  <c r="H584" i="4" s="1"/>
  <c r="F584" i="4"/>
  <c r="G583" i="4"/>
  <c r="H583" i="4" s="1"/>
  <c r="F583" i="4"/>
  <c r="G582" i="4"/>
  <c r="H582" i="4" s="1"/>
  <c r="F582" i="4"/>
  <c r="G581" i="4"/>
  <c r="H581" i="4" s="1"/>
  <c r="F581" i="4"/>
  <c r="G580" i="4"/>
  <c r="H580" i="4" s="1"/>
  <c r="F580" i="4"/>
  <c r="G579" i="4"/>
  <c r="H579" i="4" s="1"/>
  <c r="F579" i="4"/>
  <c r="G578" i="4"/>
  <c r="H578" i="4" s="1"/>
  <c r="F578" i="4"/>
  <c r="G577" i="4"/>
  <c r="H577" i="4" s="1"/>
  <c r="F577" i="4"/>
  <c r="G576" i="4"/>
  <c r="H576" i="4" s="1"/>
  <c r="F576" i="4"/>
  <c r="G575" i="4"/>
  <c r="H575" i="4" s="1"/>
  <c r="F575" i="4"/>
  <c r="G574" i="4"/>
  <c r="H574" i="4" s="1"/>
  <c r="F574" i="4"/>
  <c r="G573" i="4"/>
  <c r="H573" i="4" s="1"/>
  <c r="F573" i="4"/>
  <c r="G572" i="4"/>
  <c r="H572" i="4" s="1"/>
  <c r="F572" i="4"/>
  <c r="G437" i="4"/>
  <c r="H437" i="4" s="1"/>
  <c r="F437" i="4"/>
  <c r="G436" i="4"/>
  <c r="H436" i="4" s="1"/>
  <c r="F436" i="4"/>
  <c r="G435" i="4"/>
  <c r="H435" i="4" s="1"/>
  <c r="F435" i="4"/>
  <c r="G434" i="4"/>
  <c r="H434" i="4" s="1"/>
  <c r="F434" i="4"/>
  <c r="G433" i="4"/>
  <c r="H433" i="4" s="1"/>
  <c r="F433" i="4"/>
  <c r="G432" i="4"/>
  <c r="H432" i="4" s="1"/>
  <c r="F432" i="4"/>
  <c r="G431" i="4"/>
  <c r="H431" i="4" s="1"/>
  <c r="F431" i="4"/>
  <c r="G430" i="4"/>
  <c r="H430" i="4" s="1"/>
  <c r="F430" i="4"/>
  <c r="G429" i="4"/>
  <c r="H429" i="4" s="1"/>
  <c r="F429" i="4"/>
  <c r="G428" i="4"/>
  <c r="H428" i="4" s="1"/>
  <c r="F428" i="4"/>
  <c r="G427" i="4"/>
  <c r="H427" i="4" s="1"/>
  <c r="F427" i="4"/>
  <c r="G426" i="4"/>
  <c r="H426" i="4" s="1"/>
  <c r="F426" i="4"/>
  <c r="G425" i="4"/>
  <c r="H425" i="4" s="1"/>
  <c r="F425" i="4"/>
  <c r="G424" i="4"/>
  <c r="H424" i="4" s="1"/>
  <c r="F424" i="4"/>
  <c r="G423" i="4"/>
  <c r="H423" i="4" s="1"/>
  <c r="F423" i="4"/>
  <c r="G422" i="4"/>
  <c r="H422" i="4" s="1"/>
  <c r="F422" i="4"/>
  <c r="G421" i="4"/>
  <c r="H421" i="4" s="1"/>
  <c r="F421" i="4"/>
  <c r="G420" i="4"/>
  <c r="H420" i="4" s="1"/>
  <c r="F420" i="4"/>
  <c r="G419" i="4"/>
  <c r="H419" i="4" s="1"/>
  <c r="F419" i="4"/>
  <c r="G418" i="4"/>
  <c r="H418" i="4" s="1"/>
  <c r="F418" i="4"/>
  <c r="G417" i="4"/>
  <c r="H417" i="4" s="1"/>
  <c r="F417" i="4"/>
  <c r="G416" i="4"/>
  <c r="H416" i="4" s="1"/>
  <c r="F416" i="4"/>
  <c r="G247" i="4"/>
  <c r="H247" i="4" s="1"/>
  <c r="F247" i="4"/>
  <c r="G246" i="4"/>
  <c r="H246" i="4" s="1"/>
  <c r="F246" i="4"/>
  <c r="G245" i="4"/>
  <c r="H245" i="4" s="1"/>
  <c r="F245" i="4"/>
  <c r="G244" i="4"/>
  <c r="H244" i="4" s="1"/>
  <c r="F244" i="4"/>
  <c r="G243" i="4"/>
  <c r="H243" i="4" s="1"/>
  <c r="F243" i="4"/>
  <c r="G242" i="4"/>
  <c r="H242" i="4" s="1"/>
  <c r="F242" i="4"/>
  <c r="G241" i="4"/>
  <c r="H241" i="4" s="1"/>
  <c r="F241" i="4"/>
  <c r="G240" i="4"/>
  <c r="H240" i="4" s="1"/>
  <c r="F240" i="4"/>
  <c r="G239" i="4"/>
  <c r="H239" i="4" s="1"/>
  <c r="F239" i="4"/>
  <c r="G238" i="4"/>
  <c r="H238" i="4" s="1"/>
  <c r="F238" i="4"/>
  <c r="G237" i="4"/>
  <c r="H237" i="4" s="1"/>
  <c r="F237" i="4"/>
  <c r="G236" i="4"/>
  <c r="H236" i="4" s="1"/>
  <c r="F236" i="4"/>
  <c r="G235" i="4"/>
  <c r="H235" i="4" s="1"/>
  <c r="F235" i="4"/>
  <c r="G234" i="4"/>
  <c r="H234" i="4" s="1"/>
  <c r="F234" i="4"/>
  <c r="G233" i="4"/>
  <c r="H233" i="4" s="1"/>
  <c r="F233" i="4"/>
  <c r="G232" i="4"/>
  <c r="H232" i="4" s="1"/>
  <c r="F232" i="4"/>
  <c r="G231" i="4"/>
  <c r="H231" i="4" s="1"/>
  <c r="F231" i="4"/>
  <c r="G230" i="4"/>
  <c r="H230" i="4" s="1"/>
  <c r="F230" i="4"/>
  <c r="G229" i="4"/>
  <c r="H229" i="4" s="1"/>
  <c r="F229" i="4"/>
  <c r="G228" i="4"/>
  <c r="H228" i="4" s="1"/>
  <c r="F228" i="4"/>
  <c r="G227" i="4"/>
  <c r="H227" i="4" s="1"/>
  <c r="F227" i="4"/>
  <c r="G226" i="4"/>
  <c r="H226" i="4" s="1"/>
  <c r="F226" i="4"/>
  <c r="G225" i="4"/>
  <c r="H225" i="4" s="1"/>
  <c r="F225" i="4"/>
  <c r="G224" i="4"/>
  <c r="H224" i="4" s="1"/>
  <c r="F224" i="4"/>
  <c r="G223" i="4"/>
  <c r="H223" i="4" s="1"/>
  <c r="F223" i="4"/>
  <c r="G50" i="4"/>
  <c r="H50" i="4" s="1"/>
  <c r="F50" i="4"/>
  <c r="G49" i="4"/>
  <c r="H49" i="4" s="1"/>
  <c r="F49" i="4"/>
  <c r="G48" i="4"/>
  <c r="H48" i="4" s="1"/>
  <c r="F48" i="4"/>
  <c r="G47" i="4"/>
  <c r="H47" i="4" s="1"/>
  <c r="F47" i="4"/>
  <c r="G46" i="4"/>
  <c r="H46" i="4" s="1"/>
  <c r="F46" i="4"/>
  <c r="G45" i="4"/>
  <c r="H45" i="4" s="1"/>
  <c r="F45" i="4"/>
  <c r="G44" i="4"/>
  <c r="H44" i="4" s="1"/>
  <c r="F44" i="4"/>
  <c r="G43" i="4"/>
  <c r="H43" i="4" s="1"/>
  <c r="F43" i="4"/>
  <c r="G42" i="4"/>
  <c r="H42" i="4" s="1"/>
  <c r="F42" i="4"/>
  <c r="G41" i="4"/>
  <c r="H41" i="4" s="1"/>
  <c r="F41" i="4"/>
  <c r="G40" i="4"/>
  <c r="H40" i="4" s="1"/>
  <c r="F40" i="4"/>
  <c r="G39" i="4"/>
  <c r="H39" i="4" s="1"/>
  <c r="F39" i="4"/>
  <c r="G38" i="4"/>
  <c r="H38" i="4" s="1"/>
  <c r="F38" i="4"/>
  <c r="G37" i="4"/>
  <c r="H37" i="4" s="1"/>
  <c r="F37" i="4"/>
  <c r="G36" i="4"/>
  <c r="H36" i="4" s="1"/>
  <c r="F36" i="4"/>
  <c r="G35" i="4"/>
  <c r="H35" i="4" s="1"/>
  <c r="F35" i="4"/>
  <c r="G34" i="4"/>
  <c r="H34" i="4" s="1"/>
  <c r="F34" i="4"/>
  <c r="G33" i="4"/>
  <c r="H33" i="4" s="1"/>
  <c r="F33" i="4"/>
  <c r="G32" i="4"/>
  <c r="H32" i="4" s="1"/>
  <c r="F32" i="4"/>
  <c r="G31" i="4"/>
  <c r="H31" i="4" s="1"/>
  <c r="F31" i="4"/>
  <c r="G30" i="4"/>
  <c r="H30" i="4" s="1"/>
  <c r="F30" i="4"/>
  <c r="G29" i="4"/>
  <c r="H29" i="4" s="1"/>
  <c r="F29" i="4"/>
  <c r="G28" i="4"/>
  <c r="H28" i="4" s="1"/>
  <c r="F28" i="4"/>
  <c r="G27" i="4"/>
  <c r="H27" i="4" s="1"/>
  <c r="F27" i="4"/>
  <c r="G26" i="4"/>
  <c r="H26" i="4" s="1"/>
  <c r="F26" i="4"/>
  <c r="G2179" i="4"/>
  <c r="H2179" i="4" s="1"/>
  <c r="F2179" i="4"/>
  <c r="G2178" i="4"/>
  <c r="H2178" i="4" s="1"/>
  <c r="F2178" i="4"/>
  <c r="G2177" i="4"/>
  <c r="H2177" i="4" s="1"/>
  <c r="F2177" i="4"/>
  <c r="G2176" i="4"/>
  <c r="H2176" i="4" s="1"/>
  <c r="F2176" i="4"/>
  <c r="G2175" i="4"/>
  <c r="H2175" i="4" s="1"/>
  <c r="F2175" i="4"/>
  <c r="G2174" i="4"/>
  <c r="H2174" i="4" s="1"/>
  <c r="F2174" i="4"/>
  <c r="G2173" i="4"/>
  <c r="H2173" i="4" s="1"/>
  <c r="F2173" i="4"/>
  <c r="G2172" i="4"/>
  <c r="H2172" i="4" s="1"/>
  <c r="F2172" i="4"/>
  <c r="G2171" i="4"/>
  <c r="H2171" i="4" s="1"/>
  <c r="F2171" i="4"/>
  <c r="G2170" i="4"/>
  <c r="H2170" i="4" s="1"/>
  <c r="F2170" i="4"/>
  <c r="G2169" i="4"/>
  <c r="H2169" i="4" s="1"/>
  <c r="F2169" i="4"/>
  <c r="G2168" i="4"/>
  <c r="H2168" i="4" s="1"/>
  <c r="F2168" i="4"/>
  <c r="G2167" i="4"/>
  <c r="H2167" i="4" s="1"/>
  <c r="F2167" i="4"/>
  <c r="G2166" i="4"/>
  <c r="H2166" i="4" s="1"/>
  <c r="F2166" i="4"/>
  <c r="G2165" i="4"/>
  <c r="H2165" i="4" s="1"/>
  <c r="F2165" i="4"/>
  <c r="G2164" i="4"/>
  <c r="H2164" i="4" s="1"/>
  <c r="F2164" i="4"/>
  <c r="G2163" i="4"/>
  <c r="H2163" i="4" s="1"/>
  <c r="F2163" i="4"/>
  <c r="G2162" i="4"/>
  <c r="H2162" i="4" s="1"/>
  <c r="F2162" i="4"/>
  <c r="G2161" i="4"/>
  <c r="H2161" i="4" s="1"/>
  <c r="F2161" i="4"/>
  <c r="G2160" i="4"/>
  <c r="H2160" i="4" s="1"/>
  <c r="F2160" i="4"/>
  <c r="G2159" i="4"/>
  <c r="H2159" i="4" s="1"/>
  <c r="F2159" i="4"/>
  <c r="G2158" i="4"/>
  <c r="H2158" i="4" s="1"/>
  <c r="F2158" i="4"/>
  <c r="G2157" i="4"/>
  <c r="H2157" i="4" s="1"/>
  <c r="F2157" i="4"/>
  <c r="G2156" i="4"/>
  <c r="H2156" i="4" s="1"/>
  <c r="F2156" i="4"/>
  <c r="G2155" i="4"/>
  <c r="H2155" i="4" s="1"/>
  <c r="F2155" i="4"/>
  <c r="G1986" i="4"/>
  <c r="H1986" i="4" s="1"/>
  <c r="F1986" i="4"/>
  <c r="G1985" i="4"/>
  <c r="H1985" i="4" s="1"/>
  <c r="F1985" i="4"/>
  <c r="G1984" i="4"/>
  <c r="H1984" i="4" s="1"/>
  <c r="F1984" i="4"/>
  <c r="G1983" i="4"/>
  <c r="H1983" i="4" s="1"/>
  <c r="F1983" i="4"/>
  <c r="G1982" i="4"/>
  <c r="H1982" i="4" s="1"/>
  <c r="F1982" i="4"/>
  <c r="G1981" i="4"/>
  <c r="H1981" i="4" s="1"/>
  <c r="F1981" i="4"/>
  <c r="G1980" i="4"/>
  <c r="H1980" i="4" s="1"/>
  <c r="F1980" i="4"/>
  <c r="G1979" i="4"/>
  <c r="H1979" i="4" s="1"/>
  <c r="F1979" i="4"/>
  <c r="G1978" i="4"/>
  <c r="H1978" i="4" s="1"/>
  <c r="F1978" i="4"/>
  <c r="G1977" i="4"/>
  <c r="H1977" i="4" s="1"/>
  <c r="F1977" i="4"/>
  <c r="G1976" i="4"/>
  <c r="H1976" i="4" s="1"/>
  <c r="F1976" i="4"/>
  <c r="G1975" i="4"/>
  <c r="H1975" i="4" s="1"/>
  <c r="F1975" i="4"/>
  <c r="G1974" i="4"/>
  <c r="H1974" i="4" s="1"/>
  <c r="F1974" i="4"/>
  <c r="G1973" i="4"/>
  <c r="H1973" i="4" s="1"/>
  <c r="F1973" i="4"/>
  <c r="G1972" i="4"/>
  <c r="H1972" i="4" s="1"/>
  <c r="F1972" i="4"/>
  <c r="G1971" i="4"/>
  <c r="H1971" i="4" s="1"/>
  <c r="F1971" i="4"/>
  <c r="G1970" i="4"/>
  <c r="H1970" i="4" s="1"/>
  <c r="F1970" i="4"/>
  <c r="G1969" i="4"/>
  <c r="H1969" i="4" s="1"/>
  <c r="F1969" i="4"/>
  <c r="G1968" i="4"/>
  <c r="H1968" i="4" s="1"/>
  <c r="F1968" i="4"/>
  <c r="G1967" i="4"/>
  <c r="H1967" i="4" s="1"/>
  <c r="F1967" i="4"/>
  <c r="G1966" i="4"/>
  <c r="H1966" i="4" s="1"/>
  <c r="F1966" i="4"/>
  <c r="G1965" i="4"/>
  <c r="H1965" i="4" s="1"/>
  <c r="F1965" i="4"/>
  <c r="G1964" i="4"/>
  <c r="H1964" i="4" s="1"/>
  <c r="F1964" i="4"/>
  <c r="G1963" i="4"/>
  <c r="H1963" i="4" s="1"/>
  <c r="F1963" i="4"/>
  <c r="G1962" i="4"/>
  <c r="H1962" i="4" s="1"/>
  <c r="F1962" i="4"/>
  <c r="G1809" i="4"/>
  <c r="H1809" i="4" s="1"/>
  <c r="F1809" i="4"/>
  <c r="G1808" i="4"/>
  <c r="H1808" i="4" s="1"/>
  <c r="F1808" i="4"/>
  <c r="G1807" i="4"/>
  <c r="H1807" i="4" s="1"/>
  <c r="F1807" i="4"/>
  <c r="G1806" i="4"/>
  <c r="H1806" i="4" s="1"/>
  <c r="F1806" i="4"/>
  <c r="G1805" i="4"/>
  <c r="H1805" i="4" s="1"/>
  <c r="F1805" i="4"/>
  <c r="G1804" i="4"/>
  <c r="H1804" i="4" s="1"/>
  <c r="F1804" i="4"/>
  <c r="G1803" i="4"/>
  <c r="H1803" i="4" s="1"/>
  <c r="F1803" i="4"/>
  <c r="G1802" i="4"/>
  <c r="H1802" i="4" s="1"/>
  <c r="F1802" i="4"/>
  <c r="G1801" i="4"/>
  <c r="H1801" i="4" s="1"/>
  <c r="F1801" i="4"/>
  <c r="G1800" i="4"/>
  <c r="H1800" i="4" s="1"/>
  <c r="F1800" i="4"/>
  <c r="G1799" i="4"/>
  <c r="H1799" i="4" s="1"/>
  <c r="F1799" i="4"/>
  <c r="G1798" i="4"/>
  <c r="H1798" i="4" s="1"/>
  <c r="F1798" i="4"/>
  <c r="G1797" i="4"/>
  <c r="H1797" i="4" s="1"/>
  <c r="F1797" i="4"/>
  <c r="G1796" i="4"/>
  <c r="H1796" i="4" s="1"/>
  <c r="F1796" i="4"/>
  <c r="G1795" i="4"/>
  <c r="H1795" i="4" s="1"/>
  <c r="F1795" i="4"/>
  <c r="G1794" i="4"/>
  <c r="H1794" i="4" s="1"/>
  <c r="F1794" i="4"/>
  <c r="G1793" i="4"/>
  <c r="H1793" i="4" s="1"/>
  <c r="F1793" i="4"/>
  <c r="G1792" i="4"/>
  <c r="H1792" i="4" s="1"/>
  <c r="F1792" i="4"/>
  <c r="G1791" i="4"/>
  <c r="H1791" i="4" s="1"/>
  <c r="F1791" i="4"/>
  <c r="G1790" i="4"/>
  <c r="H1790" i="4" s="1"/>
  <c r="F1790" i="4"/>
  <c r="G1789" i="4"/>
  <c r="H1789" i="4" s="1"/>
  <c r="F1789" i="4"/>
  <c r="G1788" i="4"/>
  <c r="H1788" i="4" s="1"/>
  <c r="F1788" i="4"/>
  <c r="G1787" i="4"/>
  <c r="H1787" i="4" s="1"/>
  <c r="F1787" i="4"/>
  <c r="G1786" i="4"/>
  <c r="H1786" i="4" s="1"/>
  <c r="F1786" i="4"/>
  <c r="G1601" i="4"/>
  <c r="H1601" i="4" s="1"/>
  <c r="F1601" i="4"/>
  <c r="G1600" i="4"/>
  <c r="H1600" i="4" s="1"/>
  <c r="F1600" i="4"/>
  <c r="G1599" i="4"/>
  <c r="H1599" i="4" s="1"/>
  <c r="F1599" i="4"/>
  <c r="G1598" i="4"/>
  <c r="H1598" i="4" s="1"/>
  <c r="F1598" i="4"/>
  <c r="G1597" i="4"/>
  <c r="H1597" i="4" s="1"/>
  <c r="F1597" i="4"/>
  <c r="G1596" i="4"/>
  <c r="H1596" i="4" s="1"/>
  <c r="F1596" i="4"/>
  <c r="G1595" i="4"/>
  <c r="H1595" i="4" s="1"/>
  <c r="F1595" i="4"/>
  <c r="G1594" i="4"/>
  <c r="H1594" i="4" s="1"/>
  <c r="F1594" i="4"/>
  <c r="G1593" i="4"/>
  <c r="H1593" i="4" s="1"/>
  <c r="F1593" i="4"/>
  <c r="G1592" i="4"/>
  <c r="H1592" i="4" s="1"/>
  <c r="F1592" i="4"/>
  <c r="G1591" i="4"/>
  <c r="H1591" i="4" s="1"/>
  <c r="F1591" i="4"/>
  <c r="G1590" i="4"/>
  <c r="H1590" i="4" s="1"/>
  <c r="F1590" i="4"/>
  <c r="G1589" i="4"/>
  <c r="H1589" i="4" s="1"/>
  <c r="F1589" i="4"/>
  <c r="G1588" i="4"/>
  <c r="H1588" i="4" s="1"/>
  <c r="F1588" i="4"/>
  <c r="G1587" i="4"/>
  <c r="H1587" i="4" s="1"/>
  <c r="F1587" i="4"/>
  <c r="G1586" i="4"/>
  <c r="H1586" i="4" s="1"/>
  <c r="F1586" i="4"/>
  <c r="G1585" i="4"/>
  <c r="H1585" i="4" s="1"/>
  <c r="F1585" i="4"/>
  <c r="G1584" i="4"/>
  <c r="H1584" i="4" s="1"/>
  <c r="F1584" i="4"/>
  <c r="G1583" i="4"/>
  <c r="H1583" i="4" s="1"/>
  <c r="F1583" i="4"/>
  <c r="G1582" i="4"/>
  <c r="H1582" i="4" s="1"/>
  <c r="F1582" i="4"/>
  <c r="G1581" i="4"/>
  <c r="H1581" i="4" s="1"/>
  <c r="F1581" i="4"/>
  <c r="G1580" i="4"/>
  <c r="H1580" i="4" s="1"/>
  <c r="F1580" i="4"/>
  <c r="G1579" i="4"/>
  <c r="H1579" i="4" s="1"/>
  <c r="F1579" i="4"/>
  <c r="G1578" i="4"/>
  <c r="H1578" i="4" s="1"/>
  <c r="F1578" i="4"/>
  <c r="G1398" i="4"/>
  <c r="H1398" i="4" s="1"/>
  <c r="F1398" i="4"/>
  <c r="G1397" i="4"/>
  <c r="H1397" i="4" s="1"/>
  <c r="F1397" i="4"/>
  <c r="G1396" i="4"/>
  <c r="H1396" i="4" s="1"/>
  <c r="F1396" i="4"/>
  <c r="G1395" i="4"/>
  <c r="H1395" i="4" s="1"/>
  <c r="F1395" i="4"/>
  <c r="G1394" i="4"/>
  <c r="H1394" i="4" s="1"/>
  <c r="F1394" i="4"/>
  <c r="G1393" i="4"/>
  <c r="H1393" i="4" s="1"/>
  <c r="F1393" i="4"/>
  <c r="G1392" i="4"/>
  <c r="H1392" i="4" s="1"/>
  <c r="F1392" i="4"/>
  <c r="G1391" i="4"/>
  <c r="H1391" i="4" s="1"/>
  <c r="F1391" i="4"/>
  <c r="G1390" i="4"/>
  <c r="H1390" i="4" s="1"/>
  <c r="F1390" i="4"/>
  <c r="G1389" i="4"/>
  <c r="H1389" i="4" s="1"/>
  <c r="F1389" i="4"/>
  <c r="G1388" i="4"/>
  <c r="H1388" i="4" s="1"/>
  <c r="F1388" i="4"/>
  <c r="G1387" i="4"/>
  <c r="H1387" i="4" s="1"/>
  <c r="F1387" i="4"/>
  <c r="G1386" i="4"/>
  <c r="H1386" i="4" s="1"/>
  <c r="F1386" i="4"/>
  <c r="G1385" i="4"/>
  <c r="H1385" i="4" s="1"/>
  <c r="F1385" i="4"/>
  <c r="G1384" i="4"/>
  <c r="H1384" i="4" s="1"/>
  <c r="F1384" i="4"/>
  <c r="G1383" i="4"/>
  <c r="H1383" i="4" s="1"/>
  <c r="F1383" i="4"/>
  <c r="G1382" i="4"/>
  <c r="H1382" i="4" s="1"/>
  <c r="F1382" i="4"/>
  <c r="G1381" i="4"/>
  <c r="H1381" i="4" s="1"/>
  <c r="F1381" i="4"/>
  <c r="G1380" i="4"/>
  <c r="H1380" i="4" s="1"/>
  <c r="F1380" i="4"/>
  <c r="G1379" i="4"/>
  <c r="H1379" i="4" s="1"/>
  <c r="F1379" i="4"/>
  <c r="G1378" i="4"/>
  <c r="H1378" i="4" s="1"/>
  <c r="F1378" i="4"/>
  <c r="G1185" i="4"/>
  <c r="H1185" i="4" s="1"/>
  <c r="F1185" i="4"/>
  <c r="G1184" i="4"/>
  <c r="H1184" i="4" s="1"/>
  <c r="F1184" i="4"/>
  <c r="G1183" i="4"/>
  <c r="H1183" i="4" s="1"/>
  <c r="F1183" i="4"/>
  <c r="G1182" i="4"/>
  <c r="H1182" i="4" s="1"/>
  <c r="F1182" i="4"/>
  <c r="G1181" i="4"/>
  <c r="H1181" i="4" s="1"/>
  <c r="F1181" i="4"/>
  <c r="G1180" i="4"/>
  <c r="H1180" i="4" s="1"/>
  <c r="F1180" i="4"/>
  <c r="G1179" i="4"/>
  <c r="H1179" i="4" s="1"/>
  <c r="F1179" i="4"/>
  <c r="G1178" i="4"/>
  <c r="H1178" i="4" s="1"/>
  <c r="F1178" i="4"/>
  <c r="G1177" i="4"/>
  <c r="H1177" i="4" s="1"/>
  <c r="F1177" i="4"/>
  <c r="G1176" i="4"/>
  <c r="H1176" i="4" s="1"/>
  <c r="F1176" i="4"/>
  <c r="G1175" i="4"/>
  <c r="H1175" i="4" s="1"/>
  <c r="F1175" i="4"/>
  <c r="G1174" i="4"/>
  <c r="H1174" i="4" s="1"/>
  <c r="F1174" i="4"/>
  <c r="G1173" i="4"/>
  <c r="H1173" i="4" s="1"/>
  <c r="F1173" i="4"/>
  <c r="G1172" i="4"/>
  <c r="H1172" i="4" s="1"/>
  <c r="F1172" i="4"/>
  <c r="G1171" i="4"/>
  <c r="H1171" i="4" s="1"/>
  <c r="F1171" i="4"/>
  <c r="G1170" i="4"/>
  <c r="H1170" i="4" s="1"/>
  <c r="F1170" i="4"/>
  <c r="G1169" i="4"/>
  <c r="H1169" i="4" s="1"/>
  <c r="F1169" i="4"/>
  <c r="G1168" i="4"/>
  <c r="H1168" i="4" s="1"/>
  <c r="F1168" i="4"/>
  <c r="G1167" i="4"/>
  <c r="H1167" i="4" s="1"/>
  <c r="F1167" i="4"/>
  <c r="G1166" i="4"/>
  <c r="H1166" i="4" s="1"/>
  <c r="F1166" i="4"/>
  <c r="G1165" i="4"/>
  <c r="H1165" i="4" s="1"/>
  <c r="F1165" i="4"/>
  <c r="G1164" i="4"/>
  <c r="H1164" i="4" s="1"/>
  <c r="F1164" i="4"/>
  <c r="G1163" i="4"/>
  <c r="H1163" i="4" s="1"/>
  <c r="F1163" i="4"/>
  <c r="G1162" i="4"/>
  <c r="H1162" i="4" s="1"/>
  <c r="F1162" i="4"/>
  <c r="G1161" i="4"/>
  <c r="H1161" i="4" s="1"/>
  <c r="F1161" i="4"/>
  <c r="G971" i="4"/>
  <c r="H971" i="4" s="1"/>
  <c r="F971" i="4"/>
  <c r="G970" i="4"/>
  <c r="H970" i="4" s="1"/>
  <c r="F970" i="4"/>
  <c r="G969" i="4"/>
  <c r="H969" i="4" s="1"/>
  <c r="F969" i="4"/>
  <c r="G968" i="4"/>
  <c r="H968" i="4" s="1"/>
  <c r="F968" i="4"/>
  <c r="G967" i="4"/>
  <c r="H967" i="4" s="1"/>
  <c r="F967" i="4"/>
  <c r="G966" i="4"/>
  <c r="H966" i="4" s="1"/>
  <c r="F966" i="4"/>
  <c r="G965" i="4"/>
  <c r="H965" i="4" s="1"/>
  <c r="F965" i="4"/>
  <c r="G964" i="4"/>
  <c r="H964" i="4" s="1"/>
  <c r="F964" i="4"/>
  <c r="G963" i="4"/>
  <c r="H963" i="4" s="1"/>
  <c r="F963" i="4"/>
  <c r="G962" i="4"/>
  <c r="H962" i="4" s="1"/>
  <c r="F962" i="4"/>
  <c r="G961" i="4"/>
  <c r="H961" i="4" s="1"/>
  <c r="F961" i="4"/>
  <c r="G960" i="4"/>
  <c r="H960" i="4" s="1"/>
  <c r="F960" i="4"/>
  <c r="G959" i="4"/>
  <c r="H959" i="4" s="1"/>
  <c r="F959" i="4"/>
  <c r="G958" i="4"/>
  <c r="H958" i="4" s="1"/>
  <c r="F958" i="4"/>
  <c r="G957" i="4"/>
  <c r="H957" i="4" s="1"/>
  <c r="F957" i="4"/>
  <c r="G956" i="4"/>
  <c r="H956" i="4" s="1"/>
  <c r="F956" i="4"/>
  <c r="G955" i="4"/>
  <c r="H955" i="4" s="1"/>
  <c r="F955" i="4"/>
  <c r="G954" i="4"/>
  <c r="H954" i="4" s="1"/>
  <c r="F954" i="4"/>
  <c r="G953" i="4"/>
  <c r="H953" i="4" s="1"/>
  <c r="F953" i="4"/>
  <c r="G952" i="4"/>
  <c r="H952" i="4" s="1"/>
  <c r="F952" i="4"/>
  <c r="G951" i="4"/>
  <c r="H951" i="4" s="1"/>
  <c r="F951" i="4"/>
  <c r="G950" i="4"/>
  <c r="H950" i="4" s="1"/>
  <c r="F950" i="4"/>
  <c r="G949" i="4"/>
  <c r="H949" i="4" s="1"/>
  <c r="F949" i="4"/>
  <c r="G948" i="4"/>
  <c r="H948" i="4" s="1"/>
  <c r="F948" i="4"/>
  <c r="G765" i="4"/>
  <c r="H765" i="4" s="1"/>
  <c r="F765" i="4"/>
  <c r="G764" i="4"/>
  <c r="H764" i="4" s="1"/>
  <c r="F764" i="4"/>
  <c r="G763" i="4"/>
  <c r="H763" i="4" s="1"/>
  <c r="F763" i="4"/>
  <c r="G762" i="4"/>
  <c r="H762" i="4" s="1"/>
  <c r="F762" i="4"/>
  <c r="G761" i="4"/>
  <c r="H761" i="4" s="1"/>
  <c r="F761" i="4"/>
  <c r="G760" i="4"/>
  <c r="H760" i="4" s="1"/>
  <c r="F760" i="4"/>
  <c r="G759" i="4"/>
  <c r="H759" i="4" s="1"/>
  <c r="F759" i="4"/>
  <c r="G758" i="4"/>
  <c r="H758" i="4" s="1"/>
  <c r="F758" i="4"/>
  <c r="G757" i="4"/>
  <c r="H757" i="4" s="1"/>
  <c r="F757" i="4"/>
  <c r="G756" i="4"/>
  <c r="H756" i="4" s="1"/>
  <c r="F756" i="4"/>
  <c r="G755" i="4"/>
  <c r="H755" i="4" s="1"/>
  <c r="F755" i="4"/>
  <c r="G754" i="4"/>
  <c r="H754" i="4" s="1"/>
  <c r="F754" i="4"/>
  <c r="G753" i="4"/>
  <c r="H753" i="4" s="1"/>
  <c r="F753" i="4"/>
  <c r="G752" i="4"/>
  <c r="H752" i="4" s="1"/>
  <c r="F752" i="4"/>
  <c r="G751" i="4"/>
  <c r="H751" i="4" s="1"/>
  <c r="F751" i="4"/>
  <c r="G750" i="4"/>
  <c r="H750" i="4" s="1"/>
  <c r="F750" i="4"/>
  <c r="G749" i="4"/>
  <c r="H749" i="4" s="1"/>
  <c r="F749" i="4"/>
  <c r="G748" i="4"/>
  <c r="H748" i="4" s="1"/>
  <c r="F748" i="4"/>
  <c r="G747" i="4"/>
  <c r="H747" i="4" s="1"/>
  <c r="F747" i="4"/>
  <c r="G746" i="4"/>
  <c r="H746" i="4" s="1"/>
  <c r="F746" i="4"/>
  <c r="G571" i="4"/>
  <c r="H571" i="4" s="1"/>
  <c r="F571" i="4"/>
  <c r="G570" i="4"/>
  <c r="H570" i="4" s="1"/>
  <c r="F570" i="4"/>
  <c r="G569" i="4"/>
  <c r="H569" i="4" s="1"/>
  <c r="F569" i="4"/>
  <c r="G568" i="4"/>
  <c r="H568" i="4" s="1"/>
  <c r="F568" i="4"/>
  <c r="G567" i="4"/>
  <c r="H567" i="4" s="1"/>
  <c r="F567" i="4"/>
  <c r="G566" i="4"/>
  <c r="H566" i="4" s="1"/>
  <c r="F566" i="4"/>
  <c r="G565" i="4"/>
  <c r="H565" i="4" s="1"/>
  <c r="F565" i="4"/>
  <c r="G564" i="4"/>
  <c r="H564" i="4" s="1"/>
  <c r="F564" i="4"/>
  <c r="G563" i="4"/>
  <c r="H563" i="4" s="1"/>
  <c r="F563" i="4"/>
  <c r="G562" i="4"/>
  <c r="H562" i="4" s="1"/>
  <c r="F562" i="4"/>
  <c r="G561" i="4"/>
  <c r="H561" i="4" s="1"/>
  <c r="F561" i="4"/>
  <c r="G560" i="4"/>
  <c r="H560" i="4" s="1"/>
  <c r="F560" i="4"/>
  <c r="G559" i="4"/>
  <c r="H559" i="4" s="1"/>
  <c r="F559" i="4"/>
  <c r="G558" i="4"/>
  <c r="H558" i="4" s="1"/>
  <c r="F558" i="4"/>
  <c r="G557" i="4"/>
  <c r="H557" i="4" s="1"/>
  <c r="F557" i="4"/>
  <c r="G556" i="4"/>
  <c r="H556" i="4" s="1"/>
  <c r="F556" i="4"/>
  <c r="G555" i="4"/>
  <c r="H555" i="4" s="1"/>
  <c r="F555" i="4"/>
  <c r="G554" i="4"/>
  <c r="H554" i="4" s="1"/>
  <c r="F554" i="4"/>
  <c r="G553" i="4"/>
  <c r="H553" i="4" s="1"/>
  <c r="F553" i="4"/>
  <c r="G552" i="4"/>
  <c r="H552" i="4" s="1"/>
  <c r="F552" i="4"/>
  <c r="G415" i="4"/>
  <c r="H415" i="4" s="1"/>
  <c r="F415" i="4"/>
  <c r="G414" i="4"/>
  <c r="H414" i="4" s="1"/>
  <c r="F414" i="4"/>
  <c r="G413" i="4"/>
  <c r="H413" i="4" s="1"/>
  <c r="F413" i="4"/>
  <c r="G412" i="4"/>
  <c r="H412" i="4" s="1"/>
  <c r="F412" i="4"/>
  <c r="G411" i="4"/>
  <c r="H411" i="4" s="1"/>
  <c r="F411" i="4"/>
  <c r="G410" i="4"/>
  <c r="H410" i="4" s="1"/>
  <c r="F410" i="4"/>
  <c r="G409" i="4"/>
  <c r="H409" i="4" s="1"/>
  <c r="F409" i="4"/>
  <c r="G408" i="4"/>
  <c r="H408" i="4" s="1"/>
  <c r="F408" i="4"/>
  <c r="G407" i="4"/>
  <c r="H407" i="4" s="1"/>
  <c r="F407" i="4"/>
  <c r="G406" i="4"/>
  <c r="H406" i="4" s="1"/>
  <c r="F406" i="4"/>
  <c r="G405" i="4"/>
  <c r="H405" i="4" s="1"/>
  <c r="F405" i="4"/>
  <c r="G404" i="4"/>
  <c r="H404" i="4" s="1"/>
  <c r="F404" i="4"/>
  <c r="G403" i="4"/>
  <c r="H403" i="4" s="1"/>
  <c r="F403" i="4"/>
  <c r="G402" i="4"/>
  <c r="H402" i="4" s="1"/>
  <c r="F402" i="4"/>
  <c r="G401" i="4"/>
  <c r="H401" i="4" s="1"/>
  <c r="F401" i="4"/>
  <c r="G400" i="4"/>
  <c r="H400" i="4" s="1"/>
  <c r="F400" i="4"/>
  <c r="G399" i="4"/>
  <c r="H399" i="4" s="1"/>
  <c r="F399" i="4"/>
  <c r="G398" i="4"/>
  <c r="H398" i="4" s="1"/>
  <c r="F398" i="4"/>
  <c r="G397" i="4"/>
  <c r="H397" i="4" s="1"/>
  <c r="F397" i="4"/>
  <c r="G396" i="4"/>
  <c r="H396" i="4" s="1"/>
  <c r="F396" i="4"/>
  <c r="G395" i="4"/>
  <c r="H395" i="4" s="1"/>
  <c r="F395" i="4"/>
  <c r="G394" i="4"/>
  <c r="H394" i="4" s="1"/>
  <c r="F394" i="4"/>
  <c r="G393" i="4"/>
  <c r="H393" i="4" s="1"/>
  <c r="F393" i="4"/>
  <c r="G392" i="4"/>
  <c r="H392" i="4" s="1"/>
  <c r="F392" i="4"/>
  <c r="G391" i="4"/>
  <c r="H391" i="4" s="1"/>
  <c r="F391" i="4"/>
  <c r="G222" i="4"/>
  <c r="H222" i="4" s="1"/>
  <c r="F222" i="4"/>
  <c r="G221" i="4"/>
  <c r="H221" i="4" s="1"/>
  <c r="F221" i="4"/>
  <c r="G220" i="4"/>
  <c r="H220" i="4" s="1"/>
  <c r="F220" i="4"/>
  <c r="G219" i="4"/>
  <c r="H219" i="4" s="1"/>
  <c r="F219" i="4"/>
  <c r="G218" i="4"/>
  <c r="H218" i="4" s="1"/>
  <c r="F218" i="4"/>
  <c r="G217" i="4"/>
  <c r="H217" i="4" s="1"/>
  <c r="F217" i="4"/>
  <c r="G216" i="4"/>
  <c r="H216" i="4" s="1"/>
  <c r="F216" i="4"/>
  <c r="G215" i="4"/>
  <c r="H215" i="4" s="1"/>
  <c r="F215" i="4"/>
  <c r="G214" i="4"/>
  <c r="H214" i="4" s="1"/>
  <c r="F214" i="4"/>
  <c r="G213" i="4"/>
  <c r="H213" i="4" s="1"/>
  <c r="F213" i="4"/>
  <c r="G212" i="4"/>
  <c r="H212" i="4" s="1"/>
  <c r="F212" i="4"/>
  <c r="G211" i="4"/>
  <c r="H211" i="4" s="1"/>
  <c r="F211" i="4"/>
  <c r="G210" i="4"/>
  <c r="H210" i="4" s="1"/>
  <c r="F210" i="4"/>
  <c r="G209" i="4"/>
  <c r="H209" i="4" s="1"/>
  <c r="F209" i="4"/>
  <c r="G208" i="4"/>
  <c r="H208" i="4" s="1"/>
  <c r="F208" i="4"/>
  <c r="G207" i="4"/>
  <c r="H207" i="4" s="1"/>
  <c r="F207" i="4"/>
  <c r="G206" i="4"/>
  <c r="H206" i="4" s="1"/>
  <c r="F206" i="4"/>
  <c r="G205" i="4"/>
  <c r="H205" i="4" s="1"/>
  <c r="F205" i="4"/>
  <c r="G204" i="4"/>
  <c r="H204" i="4" s="1"/>
  <c r="F204" i="4"/>
  <c r="G203" i="4"/>
  <c r="H203" i="4" s="1"/>
  <c r="F203" i="4"/>
  <c r="G202" i="4"/>
  <c r="H202" i="4" s="1"/>
  <c r="F202" i="4"/>
  <c r="G201" i="4"/>
  <c r="H201" i="4" s="1"/>
  <c r="F201" i="4"/>
  <c r="G200" i="4"/>
  <c r="H200" i="4" s="1"/>
  <c r="F200" i="4"/>
  <c r="G199" i="4"/>
  <c r="H199" i="4" s="1"/>
  <c r="F199" i="4"/>
  <c r="G198" i="4"/>
  <c r="H198" i="4" s="1"/>
  <c r="F198" i="4"/>
  <c r="G25" i="4"/>
  <c r="H25" i="4" s="1"/>
  <c r="F25" i="4"/>
  <c r="G24" i="4"/>
  <c r="H24" i="4" s="1"/>
  <c r="F24" i="4"/>
  <c r="G23" i="4"/>
  <c r="H23" i="4" s="1"/>
  <c r="F23" i="4"/>
  <c r="G22" i="4"/>
  <c r="H22" i="4" s="1"/>
  <c r="F22" i="4"/>
  <c r="G21" i="4"/>
  <c r="H21" i="4" s="1"/>
  <c r="F21" i="4"/>
  <c r="G20" i="4"/>
  <c r="H20" i="4" s="1"/>
  <c r="F20" i="4"/>
  <c r="G19" i="4"/>
  <c r="H19" i="4" s="1"/>
  <c r="F19" i="4"/>
  <c r="G18" i="4"/>
  <c r="H18" i="4" s="1"/>
  <c r="F18" i="4"/>
  <c r="G17" i="4"/>
  <c r="H17" i="4" s="1"/>
  <c r="F17" i="4"/>
  <c r="G16" i="4"/>
  <c r="H16" i="4" s="1"/>
  <c r="F16" i="4"/>
  <c r="G15" i="4"/>
  <c r="H15" i="4" s="1"/>
  <c r="F15" i="4"/>
  <c r="G14" i="4"/>
  <c r="H14" i="4" s="1"/>
  <c r="F14" i="4"/>
  <c r="G13" i="4"/>
  <c r="H13" i="4" s="1"/>
  <c r="F13" i="4"/>
  <c r="G12" i="4"/>
  <c r="H12" i="4" s="1"/>
  <c r="F12" i="4"/>
  <c r="G11" i="4"/>
  <c r="H11" i="4" s="1"/>
  <c r="F11" i="4"/>
  <c r="G10" i="4"/>
  <c r="H10" i="4" s="1"/>
  <c r="F10" i="4"/>
  <c r="G9" i="4"/>
  <c r="H9" i="4" s="1"/>
  <c r="F9" i="4"/>
  <c r="G8" i="4"/>
  <c r="H8" i="4" s="1"/>
  <c r="F8" i="4"/>
  <c r="G7" i="4"/>
  <c r="H7" i="4" s="1"/>
  <c r="F7" i="4"/>
  <c r="G6" i="4"/>
  <c r="H6" i="4" s="1"/>
  <c r="F6" i="4"/>
  <c r="G5" i="4"/>
  <c r="H5" i="4" s="1"/>
  <c r="F5" i="4"/>
  <c r="D8" i="5" l="1"/>
  <c r="D7" i="5"/>
</calcChain>
</file>

<file path=xl/sharedStrings.xml><?xml version="1.0" encoding="utf-8"?>
<sst xmlns="http://schemas.openxmlformats.org/spreadsheetml/2006/main" count="4921" uniqueCount="145">
  <si>
    <t>Real population by province and year — source of truth for every IR figure in this workbook and the dashboard</t>
  </si>
  <si>
    <t>2026 column is year-to-date population (matches the DHF bulletin reporting period). 2020-2026 = NIS official Population Projection 2020-2033 (Table 4.27.1), validated against the report's own national totals. 2018-2019 = back-extrapolated per province's own growth rate.</t>
  </si>
  <si>
    <t>Province</t>
  </si>
  <si>
    <t>Banteay Meanchey</t>
  </si>
  <si>
    <t>Battambang</t>
  </si>
  <si>
    <t>Kampong Cham</t>
  </si>
  <si>
    <t>Kampong Chhnang</t>
  </si>
  <si>
    <t>Kampong Speu</t>
  </si>
  <si>
    <t>Kampong Thom</t>
  </si>
  <si>
    <t>Kampot</t>
  </si>
  <si>
    <t>Kandal</t>
  </si>
  <si>
    <t>Kep</t>
  </si>
  <si>
    <t>Koh Kong</t>
  </si>
  <si>
    <t>Kratie</t>
  </si>
  <si>
    <t>Mondul Kiri</t>
  </si>
  <si>
    <t>Otdar Meanchey</t>
  </si>
  <si>
    <t>Pailin</t>
  </si>
  <si>
    <t>Phnom Penh</t>
  </si>
  <si>
    <t>Preah Sihanouk</t>
  </si>
  <si>
    <t>Preah Vihear</t>
  </si>
  <si>
    <t>Prey Veng</t>
  </si>
  <si>
    <t>Pursat</t>
  </si>
  <si>
    <t>Ratanak Kiri</t>
  </si>
  <si>
    <t>Siem Reap</t>
  </si>
  <si>
    <t>Stung Treng</t>
  </si>
  <si>
    <t>Svay Rieng</t>
  </si>
  <si>
    <t>Takeo</t>
  </si>
  <si>
    <t>Tboung Khmum</t>
  </si>
  <si>
    <t>Dengue Master Data Entry — one file, fill in every cycle</t>
  </si>
  <si>
    <t>Replaces the separate case-entry template and population-verification workbook — everything lives here now.</t>
  </si>
  <si>
    <t>Why one file</t>
  </si>
  <si>
    <t>You previously had a case-entry template and a separate population-verification workbook. Every week you'd need to touch two files, and the IR formulas in the entry sheet were pointing at an older, less accurate population source than the one the dashboard actually uses now. This version merges everything into one workbook: case entry, population reference, and QA, all cross-linked by formula.</t>
  </si>
  <si>
    <t>What's in this version</t>
  </si>
  <si>
    <t>Population_by_Province_Year: real year-by-year population for all 25 provinces (2020-2026) from NIS's official Population Projection 2020-2033 report — the same source the dashboard's Risk Map now uses. 2018-2019 (before the report's coverage) is back-extrapolated using each province's own observed growth rate. This is the single source of truth for population — the other sheets pull from it by formula.</t>
  </si>
  <si>
    <t>National_Monthly_Entry: 2,341 real province x month rows (2018-2026), same as before — but IR now pulls from Population_by_Province_Year instead of the old DHF-bulletin-derived figure, so it matches the dashboard exactly for every province, not just a couple.</t>
  </si>
  <si>
    <t>QA_Checklist: same automated checks as before, still running against the live data in this file.</t>
  </si>
  <si>
    <t>How to use it going forward</t>
  </si>
  <si>
    <t>1.  Each new week/month, add rows in the yellow section of National_Monthly_Entry. Dropdowns keep entries valid; IR and CFR calculate themselves.</t>
  </si>
  <si>
    <t>2.  Population doesn't need touching year to year unless NIS publishes an update — when they do, replace just the Population_by_Province_Year sheet and every IR figure downstream recalculates automatically.</t>
  </si>
  <si>
    <t>3.  Check QA_Checklist goes all-green before sending data anywhere or refreshing the dashboard.</t>
  </si>
  <si>
    <t>4.  Copy the clean new rows into whatever feeds the dashboard rebuild (or send me this file directly next time — I can read the new rows straight out of it).</t>
  </si>
  <si>
    <t>Color legend</t>
  </si>
  <si>
    <t xml:space="preserve">  Blue text = real data (case counts, or population 2020-2026 from the official report)</t>
  </si>
  <si>
    <t xml:space="preserve">  Black text = formula (IR, CFR, or back-extrapolated 2018-2019 population)</t>
  </si>
  <si>
    <t xml:space="preserve">  Pale yellow cells = empty rows for new data going forward</t>
  </si>
  <si>
    <t xml:space="preserve">  Pale blue cells = reference lists / lookups, do not edit</t>
  </si>
  <si>
    <t xml:space="preserve">  Red / green fill on QA_Checklist = needs attention / check passed</t>
  </si>
  <si>
    <t>Sheet map</t>
  </si>
  <si>
    <t>Lookup_Lists  —  Canonical province and diagnosis-code names.</t>
  </si>
  <si>
    <t>Population_by_Province_Year  —  Real NIS population, all 25 provinces, 2018-2026 — the population source of truth.</t>
  </si>
  <si>
    <t>National_Monthly_Entry  —  2,341 real province x month rows + blank rows, IR linked to the population sheet.</t>
  </si>
  <si>
    <t>QA_Checklist  —  Automated data-quality checks, running against the live data now loaded.</t>
  </si>
  <si>
    <t>Canonical Lookup Lists — edit only to ADD a new value; never rename/delete a value already used in an entry sheet</t>
  </si>
  <si>
    <t>Provinces (25)</t>
  </si>
  <si>
    <t>Diagnosis Codes</t>
  </si>
  <si>
    <t>Age Groups</t>
  </si>
  <si>
    <t>Province (Full Name)</t>
  </si>
  <si>
    <t>DHF Bulletin Abbreviation</t>
  </si>
  <si>
    <t>Code</t>
  </si>
  <si>
    <t>Age Group</t>
  </si>
  <si>
    <t>B.Meanchey</t>
  </si>
  <si>
    <t>DF</t>
  </si>
  <si>
    <t>&lt;5 ys</t>
  </si>
  <si>
    <t>DHF</t>
  </si>
  <si>
    <t>5 - &lt;10 ys</t>
  </si>
  <si>
    <t>DHF1</t>
  </si>
  <si>
    <t>10 - &lt; 15 ys</t>
  </si>
  <si>
    <t>Kg.Chhnang</t>
  </si>
  <si>
    <t>DHF2</t>
  </si>
  <si>
    <t>15+</t>
  </si>
  <si>
    <t>KampongSpeu</t>
  </si>
  <si>
    <t>DHF3</t>
  </si>
  <si>
    <t>KampongThom</t>
  </si>
  <si>
    <t>DHF4</t>
  </si>
  <si>
    <t>DSS</t>
  </si>
  <si>
    <t>DHFD</t>
  </si>
  <si>
    <t>DHF=ungraded · DHF1-4=graded · DSS=Shock Syndrome · DHFD=Death</t>
  </si>
  <si>
    <t>MondulKiri</t>
  </si>
  <si>
    <t>O.Meanchey</t>
  </si>
  <si>
    <t>Paillin</t>
  </si>
  <si>
    <t>K.Pr.Sihaknouk</t>
  </si>
  <si>
    <t>PreahVihear</t>
  </si>
  <si>
    <t>PreyVeng</t>
  </si>
  <si>
    <t>RattanaKiri</t>
  </si>
  <si>
    <t>StungTreng</t>
  </si>
  <si>
    <t>SvayRieng</t>
  </si>
  <si>
    <t>Population is no longer listed here — see the Population_by_Province_Year sheet.</t>
  </si>
  <si>
    <t>National DHF Bulletin — Province x Month Entry</t>
  </si>
  <si>
    <t>CFR and IR calculate automatically. Population is looked up live from Population_by_Province_Year — update that sheet once a year, not here.</t>
  </si>
  <si>
    <t>Year</t>
  </si>
  <si>
    <t>Month</t>
  </si>
  <si>
    <t>Cases</t>
  </si>
  <si>
    <t>Deaths</t>
  </si>
  <si>
    <t>CFR (%) — auto</t>
  </si>
  <si>
    <t>Population (auto, linked)</t>
  </si>
  <si>
    <t>IR per 100,000 — auto</t>
  </si>
  <si>
    <t>Apr</t>
  </si>
  <si>
    <t>Aug</t>
  </si>
  <si>
    <t>Dec</t>
  </si>
  <si>
    <t>Feb</t>
  </si>
  <si>
    <t>Jan</t>
  </si>
  <si>
    <t>Jul</t>
  </si>
  <si>
    <t>Jun</t>
  </si>
  <si>
    <t>Mar</t>
  </si>
  <si>
    <t>May</t>
  </si>
  <si>
    <t>Nov</t>
  </si>
  <si>
    <t>Oct</t>
  </si>
  <si>
    <t>Sep</t>
  </si>
  <si>
    <t>EXAMPLE</t>
  </si>
  <si>
    <t>QA Checklist — run this before sharing data or refreshing the dashboard</t>
  </si>
  <si>
    <t>Every 'Result' cell is a formula, checked against the real data now loaded. Green = pass, red = needs attention.</t>
  </si>
  <si>
    <t>#</t>
  </si>
  <si>
    <t>Check</t>
  </si>
  <si>
    <t>Sheet</t>
  </si>
  <si>
    <t>Result</t>
  </si>
  <si>
    <t>What a red flag means</t>
  </si>
  <si>
    <t>1</t>
  </si>
  <si>
    <t>Any National entry row missing Cases or Deaths?</t>
  </si>
  <si>
    <t>National_Monthly_Entry</t>
  </si>
  <si>
    <t>A province/month row has no case count — it will read as zero on the dashboard instead of 'not yet reported'.</t>
  </si>
  <si>
    <t>2</t>
  </si>
  <si>
    <t>Any Deaths greater than Cases in the same row?</t>
  </si>
  <si>
    <t>Deaths cannot exceed cases in the same province/month — usually a typo in one of the two columns.</t>
  </si>
  <si>
    <t>3</t>
  </si>
  <si>
    <t>Any National row where population didn't link (blank IR)?</t>
  </si>
  <si>
    <t>Usually means the Province or Year on that row doesn't exactly match Population_by_Province_Year — check spelling/year range (2018-2026 only).</t>
  </si>
  <si>
    <t>4</t>
  </si>
  <si>
    <t>Any CFR above 5% (unusually high — verify)?</t>
  </si>
  <si>
    <t>Dengue CFR is normally under 1%. Rows above 5% are usually low-case-count months where one death swings the rate — check before reporting.</t>
  </si>
  <si>
    <t>5</t>
  </si>
  <si>
    <t>Any duplicate Province+Year+Month row in National entry?</t>
  </si>
  <si>
    <t>The same province+year+month appears twice — the dashboard would double count that month if both rows are kept.</t>
  </si>
  <si>
    <t>6</t>
  </si>
  <si>
    <t>Total National rows loaded</t>
  </si>
  <si>
    <t>Informational — should read 2,341 (2,166 historical + 175 for 2026) until you add new months.</t>
  </si>
  <si>
    <t>7</t>
  </si>
  <si>
    <t>Provinces with population data loaded</t>
  </si>
  <si>
    <t>Population_by_Province_Year</t>
  </si>
  <si>
    <t>Should read 25 of 25 — if not, a province row is missing from the population sheet and its IR will be blank.</t>
  </si>
  <si>
    <t>8</t>
  </si>
  <si>
    <t>National_AgeGroup_Entry has entries for both 2025 and 2026, all 4 age groups?</t>
  </si>
  <si>
    <t>National_AgeGroup_Entry</t>
  </si>
  <si>
    <t>Should show OK for the 4 age bands x 2 years (2025, 2026) currently loaded. Add more rows as new years come in — this check will need updating to match your row range if you add many more years.</t>
  </si>
  <si>
    <t>National Cases by Age Group — Entry</t>
  </si>
  <si>
    <t>One row per age group per year (long format, like National_Monthly_Entry). This is a point-in-time YTD snapshot each year — not monthly — because that's the granularity the DHF bulletin's own age-group table reports. Add a new row per age group each time the bulletin re-reports, or each new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</si>
</sst>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6"/>
      <color rgb="FF0B3D54"/>
      <name val="Arial"/>
      <family val="2"/>
    </font>
    <font>
      <i/>
      <sz val="11"/>
      <color rgb="FF5B6B74"/>
      <name val="Arial"/>
      <family val="2"/>
    </font>
    <font>
      <b/>
      <sz val="12"/>
      <color rgb="FF0B3D54"/>
      <name val="Arial"/>
      <family val="2"/>
    </font>
    <font>
      <sz val="10"/>
      <color rgb="FF1C2B33"/>
      <name val="Arial"/>
      <family val="2"/>
    </font>
    <font>
      <sz val="10"/>
      <color rgb="FF0000FF"/>
      <name val="Arial"/>
      <family val="2"/>
    </font>
    <font>
      <sz val="10"/>
      <name val="Arial"/>
      <family val="2"/>
    </font>
    <font>
      <b/>
      <sz val="11"/>
      <color rgb="FF1B8299"/>
      <name val="Arial"/>
      <family val="2"/>
    </font>
    <font>
      <b/>
      <sz val="10"/>
      <color rgb="FFFFFFFF"/>
      <name val="Arial"/>
      <family val="2"/>
    </font>
    <font>
      <i/>
      <sz val="10"/>
      <color rgb="FF909090"/>
      <name val="Arial"/>
      <family val="2"/>
    </font>
    <font>
      <i/>
      <sz val="9.5"/>
      <color rgb="FF5B6B74"/>
      <name val="Arial"/>
      <family val="2"/>
    </font>
    <font>
      <b/>
      <sz val="10"/>
      <name val="Arial"/>
      <family val="2"/>
    </font>
    <font>
      <i/>
      <sz val="10"/>
      <color rgb="FF5B6B74"/>
      <name val="Arial"/>
      <family val="2"/>
    </font>
    <font>
      <i/>
      <sz val="9"/>
      <color rgb="FF5B6B74"/>
      <name val="Arial"/>
      <family val="2"/>
    </font>
    <font>
      <sz val="10"/>
      <name val="Arial"/>
      <family val="2"/>
    </font>
    <font>
      <i/>
      <sz val="10"/>
      <color rgb="FF909090"/>
      <name val="Arial"/>
      <family val="2"/>
    </font>
  </fonts>
  <fills count="6">
    <fill>
      <patternFill patternType="none"/>
    </fill>
    <fill>
      <patternFill patternType="gray125"/>
    </fill>
    <fill>
      <patternFill patternType="solid">
        <fgColor rgb="FFFFFDE7"/>
        <bgColor rgb="FFFFFFFF"/>
      </patternFill>
    </fill>
    <fill>
      <patternFill patternType="solid">
        <fgColor rgb="FFEAF2F5"/>
        <bgColor rgb="FFEAF7EE"/>
      </patternFill>
    </fill>
    <fill>
      <patternFill patternType="solid">
        <fgColor rgb="FFFDEDEC"/>
        <bgColor rgb="FFEAF2F5"/>
      </patternFill>
    </fill>
    <fill>
      <patternFill patternType="solid">
        <fgColor rgb="FF0B3D54"/>
        <bgColor rgb="FF1C2B3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14" fillId="0" borderId="0"/>
    <xf numFmtId="0" fontId="14" fillId="0" borderId="0"/>
  </cellStyleXfs>
  <cellXfs count="34">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6" fillId="2" borderId="0" xfId="0" applyFont="1" applyFill="1"/>
    <xf numFmtId="0" fontId="6" fillId="3" borderId="0" xfId="0" applyFont="1" applyFill="1"/>
    <xf numFmtId="0" fontId="6" fillId="4" borderId="0" xfId="0" applyFont="1" applyFill="1"/>
    <xf numFmtId="0" fontId="6" fillId="0" borderId="0" xfId="0" applyFont="1" applyAlignment="1">
      <alignment vertical="top" wrapText="1"/>
    </xf>
    <xf numFmtId="0" fontId="7" fillId="0" borderId="0" xfId="0" applyFont="1"/>
    <xf numFmtId="0" fontId="8" fillId="5" borderId="1" xfId="0" applyFont="1" applyFill="1" applyBorder="1" applyAlignment="1">
      <alignment horizontal="center" vertical="center" wrapText="1"/>
    </xf>
    <xf numFmtId="0" fontId="6" fillId="3" borderId="1" xfId="0" applyFont="1" applyFill="1" applyBorder="1"/>
    <xf numFmtId="0" fontId="9" fillId="0" borderId="0" xfId="0" applyFont="1"/>
    <xf numFmtId="0" fontId="11" fillId="0" borderId="1" xfId="0" applyFont="1" applyBorder="1"/>
    <xf numFmtId="3" fontId="6" fillId="0" borderId="1" xfId="0" applyNumberFormat="1" applyFont="1" applyBorder="1"/>
    <xf numFmtId="3" fontId="5" fillId="0" borderId="1" xfId="0" applyNumberFormat="1" applyFont="1" applyBorder="1"/>
    <xf numFmtId="0" fontId="12" fillId="0" borderId="0" xfId="0" applyFont="1"/>
    <xf numFmtId="0" fontId="9" fillId="0" borderId="1" xfId="0" applyFont="1" applyBorder="1"/>
    <xf numFmtId="0" fontId="6" fillId="0" borderId="1" xfId="0" applyFont="1" applyBorder="1"/>
    <xf numFmtId="0" fontId="6" fillId="2" borderId="1" xfId="0" applyFont="1" applyFill="1" applyBorder="1"/>
    <xf numFmtId="0" fontId="0" fillId="0" borderId="1" xfId="0" applyBorder="1"/>
    <xf numFmtId="3" fontId="0" fillId="0" borderId="1" xfId="0" applyNumberFormat="1" applyBorder="1"/>
    <xf numFmtId="0" fontId="6" fillId="0" borderId="1" xfId="0" applyFont="1" applyBorder="1" applyAlignment="1">
      <alignment vertical="top" wrapText="1"/>
    </xf>
    <xf numFmtId="0" fontId="13" fillId="0" borderId="1" xfId="0" applyFont="1" applyBorder="1" applyAlignment="1">
      <alignment vertical="top" wrapText="1"/>
    </xf>
    <xf numFmtId="0" fontId="5" fillId="0" borderId="1" xfId="0" applyFont="1" applyBorder="1"/>
    <xf numFmtId="0" fontId="15" fillId="0" borderId="1" xfId="0" applyFont="1" applyBorder="1"/>
    <xf numFmtId="0" fontId="14" fillId="0" borderId="1" xfId="0" applyFont="1" applyBorder="1"/>
    <xf numFmtId="3" fontId="14" fillId="0" borderId="1" xfId="0" applyNumberFormat="1" applyFont="1" applyBorder="1"/>
    <xf numFmtId="0" fontId="3" fillId="0" borderId="0" xfId="0" applyFont="1"/>
    <xf numFmtId="0" fontId="0" fillId="0" borderId="0" xfId="0"/>
    <xf numFmtId="0" fontId="10" fillId="0" borderId="0" xfId="0" applyFont="1"/>
    <xf numFmtId="0" fontId="10" fillId="0" borderId="0" xfId="0" applyFont="1" applyAlignment="1">
      <alignment vertical="top" wrapText="1"/>
    </xf>
  </cellXfs>
  <cellStyles count="3">
    <cellStyle name="Normal" xfId="0" builtinId="0"/>
    <cellStyle name="Normal 5 2" xfId="2" xr:uid="{00000000-0005-0000-0000-000002000000}"/>
    <cellStyle name="Normal 6" xfId="1" xr:uid="{00000000-0005-0000-0000-000001000000}"/>
  </cellStyles>
  <dxfs count="2">
    <dxf>
      <fill>
        <patternFill>
          <bgColor rgb="FFEAF7EE"/>
        </patternFill>
      </fill>
    </dxf>
    <dxf>
      <fill>
        <patternFill>
          <bgColor rgb="FFFDED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8299"/>
      <rgbColor rgb="FFC0C0C0"/>
      <rgbColor rgb="FF808080"/>
      <rgbColor rgb="FF9999FF"/>
      <rgbColor rgb="FF993366"/>
      <rgbColor rgb="FFFFFDE7"/>
      <rgbColor rgb="FFEAF7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5"/>
      <rgbColor rgb="FFCCFFCC"/>
      <rgbColor rgb="FFFDEDEC"/>
      <rgbColor rgb="FF99CCFF"/>
      <rgbColor rgb="FFFF99CC"/>
      <rgbColor rgb="FFCC99FF"/>
      <rgbColor rgb="FFFFCC99"/>
      <rgbColor rgb="FF3366FF"/>
      <rgbColor rgb="FF33CCCC"/>
      <rgbColor rgb="FF99CC00"/>
      <rgbColor rgb="FFFFCC00"/>
      <rgbColor rgb="FFFF9900"/>
      <rgbColor rgb="FFFF6600"/>
      <rgbColor rgb="FF5B6B74"/>
      <rgbColor rgb="FF909090"/>
      <rgbColor rgb="FF0B3D54"/>
      <rgbColor rgb="FF339966"/>
      <rgbColor rgb="FF003300"/>
      <rgbColor rgb="FF333300"/>
      <rgbColor rgb="FF993300"/>
      <rgbColor rgb="FF993366"/>
      <rgbColor rgb="FF333399"/>
      <rgbColor rgb="FF1C2B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D8855C-B35D-4E08-B2B1-1631E309A9DA}">
  <we:reference id="WA200009404" version="1.0.0.8" store="Omex" storeType="OMEX"/>
  <we:alternateReferences>
    <we:reference id="WA200009404" version="1.0.0.8" store="WA200009404" storeType="OMEX"/>
  </we:alternateReferences>
  <we:properties>
    <we:property name="claude.fileId" value="&quot;ef268d32-f27d-4293-9b20-0dfcdfbd1de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2"/>
  <sheetViews>
    <sheetView showGridLines="0" topLeftCell="A6" zoomScaleNormal="100" workbookViewId="0"/>
  </sheetViews>
  <sheetFormatPr defaultColWidth="8.6640625" defaultRowHeight="14.4" x14ac:dyDescent="0.3"/>
  <cols>
    <col min="1" max="1" width="3" customWidth="1"/>
    <col min="2" max="2" width="100" customWidth="1"/>
  </cols>
  <sheetData>
    <row r="2" spans="2:2" ht="19.5" customHeight="1" x14ac:dyDescent="0.4">
      <c r="B2" s="1" t="s">
        <v>28</v>
      </c>
    </row>
    <row r="3" spans="2:2" ht="15" customHeight="1" x14ac:dyDescent="0.3">
      <c r="B3" s="2" t="s">
        <v>29</v>
      </c>
    </row>
    <row r="5" spans="2:2" ht="15" customHeight="1" x14ac:dyDescent="0.3">
      <c r="B5" s="3" t="s">
        <v>30</v>
      </c>
    </row>
    <row r="6" spans="2:2" ht="45.75" customHeight="1" x14ac:dyDescent="0.3">
      <c r="B6" s="4" t="s">
        <v>31</v>
      </c>
    </row>
    <row r="8" spans="2:2" ht="15" customHeight="1" x14ac:dyDescent="0.3">
      <c r="B8" s="3" t="s">
        <v>32</v>
      </c>
    </row>
    <row r="9" spans="2:2" ht="45.75" customHeight="1" x14ac:dyDescent="0.3">
      <c r="B9" s="4" t="s">
        <v>33</v>
      </c>
    </row>
    <row r="10" spans="2:2" ht="15" customHeight="1" x14ac:dyDescent="0.3">
      <c r="B10" s="4" t="s">
        <v>34</v>
      </c>
    </row>
    <row r="11" spans="2:2" ht="34.5" customHeight="1" x14ac:dyDescent="0.3">
      <c r="B11" s="4" t="s">
        <v>35</v>
      </c>
    </row>
    <row r="12" spans="2:2" ht="15" customHeight="1" x14ac:dyDescent="0.3"/>
    <row r="13" spans="2:2" ht="15.6" x14ac:dyDescent="0.3">
      <c r="B13" s="3" t="s">
        <v>36</v>
      </c>
    </row>
    <row r="14" spans="2:2" ht="15" customHeight="1" x14ac:dyDescent="0.3">
      <c r="B14" s="4" t="s">
        <v>37</v>
      </c>
    </row>
    <row r="15" spans="2:2" ht="23.25" customHeight="1" x14ac:dyDescent="0.3">
      <c r="B15" s="4" t="s">
        <v>38</v>
      </c>
    </row>
    <row r="16" spans="2:2" ht="23.25" customHeight="1" x14ac:dyDescent="0.3">
      <c r="B16" s="4" t="s">
        <v>39</v>
      </c>
    </row>
    <row r="17" spans="2:2" ht="15" customHeight="1" x14ac:dyDescent="0.3">
      <c r="B17" s="4" t="s">
        <v>40</v>
      </c>
    </row>
    <row r="18" spans="2:2" ht="23.25" customHeight="1" x14ac:dyDescent="0.3"/>
    <row r="19" spans="2:2" ht="15.6" x14ac:dyDescent="0.3">
      <c r="B19" s="3" t="s">
        <v>41</v>
      </c>
    </row>
    <row r="20" spans="2:2" ht="15" customHeight="1" x14ac:dyDescent="0.3">
      <c r="B20" s="5" t="s">
        <v>42</v>
      </c>
    </row>
    <row r="21" spans="2:2" ht="15" customHeight="1" x14ac:dyDescent="0.3">
      <c r="B21" s="6" t="s">
        <v>43</v>
      </c>
    </row>
    <row r="22" spans="2:2" ht="15" customHeight="1" x14ac:dyDescent="0.3">
      <c r="B22" s="7" t="s">
        <v>44</v>
      </c>
    </row>
    <row r="23" spans="2:2" ht="15" customHeight="1" x14ac:dyDescent="0.3">
      <c r="B23" s="8" t="s">
        <v>45</v>
      </c>
    </row>
    <row r="24" spans="2:2" ht="15" customHeight="1" x14ac:dyDescent="0.3">
      <c r="B24" s="9" t="s">
        <v>46</v>
      </c>
    </row>
    <row r="25" spans="2:2" ht="15" customHeight="1" x14ac:dyDescent="0.3"/>
    <row r="26" spans="2:2" ht="15.6" x14ac:dyDescent="0.3">
      <c r="B26" s="3" t="s">
        <v>47</v>
      </c>
    </row>
    <row r="27" spans="2:2" ht="15" customHeight="1" x14ac:dyDescent="0.3">
      <c r="B27" s="10" t="s">
        <v>48</v>
      </c>
    </row>
    <row r="28" spans="2:2" ht="15" customHeight="1" x14ac:dyDescent="0.3">
      <c r="B28" s="10" t="s">
        <v>49</v>
      </c>
    </row>
    <row r="29" spans="2:2" ht="15" customHeight="1" x14ac:dyDescent="0.3">
      <c r="B29" s="10"/>
    </row>
    <row r="30" spans="2:2" ht="15" customHeight="1" x14ac:dyDescent="0.3">
      <c r="B30" s="10" t="s">
        <v>50</v>
      </c>
    </row>
    <row r="31" spans="2:2" ht="15" customHeight="1" x14ac:dyDescent="0.3">
      <c r="B31" s="10" t="s">
        <v>51</v>
      </c>
    </row>
    <row r="32" spans="2:2" ht="15" customHeight="1" x14ac:dyDescent="0.3"/>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zoomScaleNormal="100" workbookViewId="0">
      <selection sqref="A1:H1"/>
    </sheetView>
  </sheetViews>
  <sheetFormatPr defaultColWidth="8.6640625" defaultRowHeight="14.4" x14ac:dyDescent="0.3"/>
  <cols>
    <col min="1" max="1" width="22" customWidth="1"/>
    <col min="2" max="2" width="24" customWidth="1"/>
    <col min="3" max="3" width="2" customWidth="1"/>
    <col min="4" max="4" width="26" customWidth="1"/>
    <col min="5" max="5" width="10" customWidth="1"/>
    <col min="6" max="6" width="20" customWidth="1"/>
    <col min="7" max="7" width="8" customWidth="1"/>
    <col min="9" max="9" width="14" customWidth="1"/>
  </cols>
  <sheetData>
    <row r="1" spans="1:8" ht="15" customHeight="1" x14ac:dyDescent="0.3">
      <c r="A1" s="30" t="s">
        <v>52</v>
      </c>
      <c r="B1" s="31"/>
      <c r="C1" s="31"/>
      <c r="D1" s="31"/>
      <c r="E1" s="31"/>
      <c r="F1" s="31"/>
      <c r="G1" s="31"/>
      <c r="H1" s="31"/>
    </row>
    <row r="3" spans="1:8" ht="15" customHeight="1" x14ac:dyDescent="0.3">
      <c r="A3" s="11" t="s">
        <v>53</v>
      </c>
      <c r="D3" s="11" t="s">
        <v>54</v>
      </c>
      <c r="F3" s="11" t="s">
        <v>55</v>
      </c>
    </row>
    <row r="4" spans="1:8" ht="15" customHeight="1" x14ac:dyDescent="0.3">
      <c r="A4" s="12" t="s">
        <v>56</v>
      </c>
      <c r="B4" s="12" t="s">
        <v>57</v>
      </c>
      <c r="D4" s="12" t="s">
        <v>58</v>
      </c>
      <c r="F4" s="12" t="s">
        <v>59</v>
      </c>
    </row>
    <row r="5" spans="1:8" ht="15" customHeight="1" x14ac:dyDescent="0.3">
      <c r="A5" s="13" t="s">
        <v>3</v>
      </c>
      <c r="B5" s="13" t="s">
        <v>60</v>
      </c>
      <c r="D5" s="13" t="s">
        <v>61</v>
      </c>
      <c r="F5" s="13" t="s">
        <v>62</v>
      </c>
    </row>
    <row r="6" spans="1:8" ht="15" customHeight="1" x14ac:dyDescent="0.3">
      <c r="A6" s="13" t="s">
        <v>4</v>
      </c>
      <c r="B6" s="13" t="s">
        <v>4</v>
      </c>
      <c r="D6" s="13" t="s">
        <v>63</v>
      </c>
      <c r="F6" s="13" t="s">
        <v>64</v>
      </c>
    </row>
    <row r="7" spans="1:8" ht="15" customHeight="1" x14ac:dyDescent="0.3">
      <c r="A7" s="13" t="s">
        <v>5</v>
      </c>
      <c r="B7" s="13" t="s">
        <v>5</v>
      </c>
      <c r="D7" s="13" t="s">
        <v>65</v>
      </c>
      <c r="F7" s="13" t="s">
        <v>66</v>
      </c>
    </row>
    <row r="8" spans="1:8" ht="15" customHeight="1" x14ac:dyDescent="0.3">
      <c r="A8" s="13" t="s">
        <v>6</v>
      </c>
      <c r="B8" s="13" t="s">
        <v>67</v>
      </c>
      <c r="D8" s="13" t="s">
        <v>68</v>
      </c>
      <c r="F8" s="13" t="s">
        <v>69</v>
      </c>
    </row>
    <row r="9" spans="1:8" ht="15" customHeight="1" x14ac:dyDescent="0.3">
      <c r="A9" s="13" t="s">
        <v>7</v>
      </c>
      <c r="B9" s="13" t="s">
        <v>70</v>
      </c>
      <c r="D9" s="13" t="s">
        <v>71</v>
      </c>
    </row>
    <row r="10" spans="1:8" ht="15" customHeight="1" x14ac:dyDescent="0.3">
      <c r="A10" s="13" t="s">
        <v>8</v>
      </c>
      <c r="B10" s="13" t="s">
        <v>72</v>
      </c>
      <c r="D10" s="13" t="s">
        <v>73</v>
      </c>
    </row>
    <row r="11" spans="1:8" ht="15" customHeight="1" x14ac:dyDescent="0.3">
      <c r="A11" s="13" t="s">
        <v>9</v>
      </c>
      <c r="B11" s="13" t="s">
        <v>9</v>
      </c>
      <c r="D11" s="13" t="s">
        <v>74</v>
      </c>
    </row>
    <row r="12" spans="1:8" ht="15" customHeight="1" x14ac:dyDescent="0.3">
      <c r="A12" s="13" t="s">
        <v>10</v>
      </c>
      <c r="B12" s="13" t="s">
        <v>10</v>
      </c>
      <c r="D12" s="13" t="s">
        <v>75</v>
      </c>
    </row>
    <row r="13" spans="1:8" ht="15" customHeight="1" x14ac:dyDescent="0.3">
      <c r="A13" s="13" t="s">
        <v>11</v>
      </c>
      <c r="B13" s="13" t="s">
        <v>11</v>
      </c>
    </row>
    <row r="14" spans="1:8" ht="15" customHeight="1" x14ac:dyDescent="0.3">
      <c r="A14" s="13" t="s">
        <v>12</v>
      </c>
      <c r="B14" s="13" t="s">
        <v>12</v>
      </c>
      <c r="D14" s="14" t="s">
        <v>76</v>
      </c>
    </row>
    <row r="15" spans="1:8" ht="15" customHeight="1" x14ac:dyDescent="0.3">
      <c r="A15" s="13" t="s">
        <v>13</v>
      </c>
      <c r="B15" s="13" t="s">
        <v>13</v>
      </c>
    </row>
    <row r="16" spans="1:8" ht="15" customHeight="1" x14ac:dyDescent="0.3">
      <c r="A16" s="13" t="s">
        <v>14</v>
      </c>
      <c r="B16" s="13" t="s">
        <v>77</v>
      </c>
    </row>
    <row r="17" spans="1:2" ht="15" customHeight="1" x14ac:dyDescent="0.3">
      <c r="A17" s="13" t="s">
        <v>15</v>
      </c>
      <c r="B17" s="13" t="s">
        <v>78</v>
      </c>
    </row>
    <row r="18" spans="1:2" ht="15" customHeight="1" x14ac:dyDescent="0.3">
      <c r="A18" s="13" t="s">
        <v>16</v>
      </c>
      <c r="B18" s="13" t="s">
        <v>79</v>
      </c>
    </row>
    <row r="19" spans="1:2" ht="15" customHeight="1" x14ac:dyDescent="0.3">
      <c r="A19" s="13" t="s">
        <v>17</v>
      </c>
      <c r="B19" s="13" t="s">
        <v>17</v>
      </c>
    </row>
    <row r="20" spans="1:2" ht="15" customHeight="1" x14ac:dyDescent="0.3">
      <c r="A20" s="13" t="s">
        <v>18</v>
      </c>
      <c r="B20" s="13" t="s">
        <v>80</v>
      </c>
    </row>
    <row r="21" spans="1:2" ht="15" customHeight="1" x14ac:dyDescent="0.3">
      <c r="A21" s="13" t="s">
        <v>19</v>
      </c>
      <c r="B21" s="13" t="s">
        <v>81</v>
      </c>
    </row>
    <row r="22" spans="1:2" ht="15" customHeight="1" x14ac:dyDescent="0.3">
      <c r="A22" s="13" t="s">
        <v>20</v>
      </c>
      <c r="B22" s="13" t="s">
        <v>82</v>
      </c>
    </row>
    <row r="23" spans="1:2" ht="15" customHeight="1" x14ac:dyDescent="0.3">
      <c r="A23" s="13" t="s">
        <v>21</v>
      </c>
      <c r="B23" s="13" t="s">
        <v>21</v>
      </c>
    </row>
    <row r="24" spans="1:2" ht="15" customHeight="1" x14ac:dyDescent="0.3">
      <c r="A24" s="13" t="s">
        <v>22</v>
      </c>
      <c r="B24" s="13" t="s">
        <v>83</v>
      </c>
    </row>
    <row r="25" spans="1:2" ht="15" customHeight="1" x14ac:dyDescent="0.3">
      <c r="A25" s="13" t="s">
        <v>23</v>
      </c>
      <c r="B25" s="13" t="s">
        <v>23</v>
      </c>
    </row>
    <row r="26" spans="1:2" ht="15" customHeight="1" x14ac:dyDescent="0.3">
      <c r="A26" s="13" t="s">
        <v>24</v>
      </c>
      <c r="B26" s="13" t="s">
        <v>84</v>
      </c>
    </row>
    <row r="27" spans="1:2" ht="15" customHeight="1" x14ac:dyDescent="0.3">
      <c r="A27" s="13" t="s">
        <v>25</v>
      </c>
      <c r="B27" s="13" t="s">
        <v>85</v>
      </c>
    </row>
    <row r="28" spans="1:2" ht="15" customHeight="1" x14ac:dyDescent="0.3">
      <c r="A28" s="13" t="s">
        <v>26</v>
      </c>
      <c r="B28" s="13" t="s">
        <v>26</v>
      </c>
    </row>
    <row r="29" spans="1:2" ht="15" customHeight="1" x14ac:dyDescent="0.3">
      <c r="A29" s="13" t="s">
        <v>27</v>
      </c>
      <c r="B29" s="13" t="s">
        <v>27</v>
      </c>
    </row>
    <row r="31" spans="1:2" ht="15" customHeight="1" x14ac:dyDescent="0.3">
      <c r="A31" s="14" t="s">
        <v>86</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showGridLines="0" zoomScaleNormal="100" workbookViewId="0">
      <pane xSplit="1" ySplit="4" topLeftCell="B9" activePane="bottomRight" state="frozen"/>
      <selection pane="topRight" activeCell="B1" sqref="B1"/>
      <selection pane="bottomLeft" activeCell="A5" sqref="A5"/>
      <selection pane="bottomRight" sqref="A1:J1"/>
    </sheetView>
  </sheetViews>
  <sheetFormatPr defaultColWidth="8.6640625" defaultRowHeight="14.4" x14ac:dyDescent="0.3"/>
  <cols>
    <col min="1" max="1" width="20" customWidth="1"/>
    <col min="2" max="10" width="12" customWidth="1"/>
  </cols>
  <sheetData>
    <row r="1" spans="1:10" ht="15" customHeight="1" x14ac:dyDescent="0.3">
      <c r="A1" s="30" t="s">
        <v>0</v>
      </c>
      <c r="B1" s="31"/>
      <c r="C1" s="31"/>
      <c r="D1" s="31"/>
      <c r="E1" s="31"/>
      <c r="F1" s="31"/>
      <c r="G1" s="31"/>
      <c r="H1" s="31"/>
      <c r="I1" s="31"/>
      <c r="J1" s="31"/>
    </row>
    <row r="2" spans="1:10" ht="15" customHeight="1" x14ac:dyDescent="0.3">
      <c r="A2" s="32" t="s">
        <v>1</v>
      </c>
      <c r="B2" s="31"/>
      <c r="C2" s="31"/>
      <c r="D2" s="31"/>
      <c r="E2" s="31"/>
      <c r="F2" s="31"/>
      <c r="G2" s="31"/>
      <c r="H2" s="31"/>
      <c r="I2" s="31"/>
      <c r="J2" s="31"/>
    </row>
    <row r="4" spans="1:10" ht="15" customHeight="1" x14ac:dyDescent="0.3">
      <c r="A4" s="12" t="s">
        <v>2</v>
      </c>
      <c r="B4" s="12">
        <v>2018</v>
      </c>
      <c r="C4" s="12">
        <v>2019</v>
      </c>
      <c r="D4" s="12">
        <v>2020</v>
      </c>
      <c r="E4" s="12">
        <v>2021</v>
      </c>
      <c r="F4" s="12">
        <v>2022</v>
      </c>
      <c r="G4" s="12">
        <v>2023</v>
      </c>
      <c r="H4" s="12">
        <v>2024</v>
      </c>
      <c r="I4" s="12">
        <v>2025</v>
      </c>
      <c r="J4" s="12">
        <v>2026</v>
      </c>
    </row>
    <row r="5" spans="1:10" ht="15" customHeight="1" x14ac:dyDescent="0.3">
      <c r="A5" s="15" t="s">
        <v>3</v>
      </c>
      <c r="B5" s="16">
        <v>877925</v>
      </c>
      <c r="C5" s="16">
        <v>891574</v>
      </c>
      <c r="D5" s="17">
        <v>905435</v>
      </c>
      <c r="E5" s="17">
        <v>919512</v>
      </c>
      <c r="F5" s="17">
        <v>933435</v>
      </c>
      <c r="G5" s="17">
        <v>947186</v>
      </c>
      <c r="H5" s="17">
        <v>960755</v>
      </c>
      <c r="I5" s="17">
        <v>974136</v>
      </c>
      <c r="J5" s="17">
        <v>987347</v>
      </c>
    </row>
    <row r="6" spans="1:10" ht="15" customHeight="1" x14ac:dyDescent="0.3">
      <c r="A6" s="15" t="s">
        <v>4</v>
      </c>
      <c r="B6" s="16">
        <v>1015729</v>
      </c>
      <c r="C6" s="16">
        <v>1031520</v>
      </c>
      <c r="D6" s="17">
        <v>1047557</v>
      </c>
      <c r="E6" s="17">
        <v>1063843</v>
      </c>
      <c r="F6" s="17">
        <v>1079953</v>
      </c>
      <c r="G6" s="17">
        <v>1095862</v>
      </c>
      <c r="H6" s="17">
        <v>1111561</v>
      </c>
      <c r="I6" s="17">
        <v>1127042</v>
      </c>
      <c r="J6" s="17">
        <v>1142327</v>
      </c>
    </row>
    <row r="7" spans="1:10" ht="15" customHeight="1" x14ac:dyDescent="0.3">
      <c r="A7" s="15" t="s">
        <v>5</v>
      </c>
      <c r="B7" s="16">
        <v>916540</v>
      </c>
      <c r="C7" s="16">
        <v>930789</v>
      </c>
      <c r="D7" s="17">
        <v>945259</v>
      </c>
      <c r="E7" s="17">
        <v>959954</v>
      </c>
      <c r="F7" s="17">
        <v>974490</v>
      </c>
      <c r="G7" s="17">
        <v>988846</v>
      </c>
      <c r="H7" s="17">
        <v>1003012</v>
      </c>
      <c r="I7" s="17">
        <v>1016981</v>
      </c>
      <c r="J7" s="17">
        <v>1030773</v>
      </c>
    </row>
    <row r="8" spans="1:10" ht="15" customHeight="1" x14ac:dyDescent="0.3">
      <c r="A8" s="15" t="s">
        <v>6</v>
      </c>
      <c r="B8" s="16">
        <v>536836</v>
      </c>
      <c r="C8" s="16">
        <v>545182</v>
      </c>
      <c r="D8" s="17">
        <v>553658</v>
      </c>
      <c r="E8" s="17">
        <v>562266</v>
      </c>
      <c r="F8" s="17">
        <v>570780</v>
      </c>
      <c r="G8" s="17">
        <v>579189</v>
      </c>
      <c r="H8" s="17">
        <v>587486</v>
      </c>
      <c r="I8" s="17">
        <v>595668</v>
      </c>
      <c r="J8" s="17">
        <v>603746</v>
      </c>
    </row>
    <row r="9" spans="1:10" ht="15" customHeight="1" x14ac:dyDescent="0.3">
      <c r="A9" s="15" t="s">
        <v>7</v>
      </c>
      <c r="B9" s="16">
        <v>893858</v>
      </c>
      <c r="C9" s="16">
        <v>907754</v>
      </c>
      <c r="D9" s="17">
        <v>921866</v>
      </c>
      <c r="E9" s="17">
        <v>936197</v>
      </c>
      <c r="F9" s="17">
        <v>950374</v>
      </c>
      <c r="G9" s="17">
        <v>964374</v>
      </c>
      <c r="H9" s="17">
        <v>978189</v>
      </c>
      <c r="I9" s="17">
        <v>991813</v>
      </c>
      <c r="J9" s="17">
        <v>1005264</v>
      </c>
    </row>
    <row r="10" spans="1:10" ht="15" customHeight="1" x14ac:dyDescent="0.3">
      <c r="A10" s="15" t="s">
        <v>8</v>
      </c>
      <c r="B10" s="16">
        <v>694235</v>
      </c>
      <c r="C10" s="16">
        <v>705028</v>
      </c>
      <c r="D10" s="17">
        <v>715989</v>
      </c>
      <c r="E10" s="17">
        <v>727120</v>
      </c>
      <c r="F10" s="17">
        <v>738130</v>
      </c>
      <c r="G10" s="17">
        <v>749004</v>
      </c>
      <c r="H10" s="17">
        <v>759734</v>
      </c>
      <c r="I10" s="17">
        <v>770315</v>
      </c>
      <c r="J10" s="17">
        <v>780762</v>
      </c>
    </row>
    <row r="11" spans="1:10" ht="15" customHeight="1" x14ac:dyDescent="0.3">
      <c r="A11" s="15" t="s">
        <v>9</v>
      </c>
      <c r="B11" s="16">
        <v>604881</v>
      </c>
      <c r="C11" s="16">
        <v>614285</v>
      </c>
      <c r="D11" s="17">
        <v>623836</v>
      </c>
      <c r="E11" s="17">
        <v>633535</v>
      </c>
      <c r="F11" s="17">
        <v>643128</v>
      </c>
      <c r="G11" s="17">
        <v>652602</v>
      </c>
      <c r="H11" s="17">
        <v>661951</v>
      </c>
      <c r="I11" s="17">
        <v>671170</v>
      </c>
      <c r="J11" s="17">
        <v>680273</v>
      </c>
    </row>
    <row r="12" spans="1:10" ht="15" customHeight="1" x14ac:dyDescent="0.3">
      <c r="A12" s="15" t="s">
        <v>10</v>
      </c>
      <c r="B12" s="16">
        <v>1223947</v>
      </c>
      <c r="C12" s="16">
        <v>1242975</v>
      </c>
      <c r="D12" s="17">
        <v>1262299</v>
      </c>
      <c r="E12" s="17">
        <v>1281923</v>
      </c>
      <c r="F12" s="17">
        <v>1301335</v>
      </c>
      <c r="G12" s="17">
        <v>1320505</v>
      </c>
      <c r="H12" s="17">
        <v>1339422</v>
      </c>
      <c r="I12" s="17">
        <v>1358077</v>
      </c>
      <c r="J12" s="17">
        <v>1376495</v>
      </c>
    </row>
    <row r="13" spans="1:10" ht="15" customHeight="1" x14ac:dyDescent="0.3">
      <c r="A13" s="15" t="s">
        <v>11</v>
      </c>
      <c r="B13" s="16">
        <v>43459</v>
      </c>
      <c r="C13" s="16">
        <v>44135</v>
      </c>
      <c r="D13" s="17">
        <v>44821</v>
      </c>
      <c r="E13" s="17">
        <v>45518</v>
      </c>
      <c r="F13" s="17">
        <v>46207</v>
      </c>
      <c r="G13" s="17">
        <v>46888</v>
      </c>
      <c r="H13" s="17">
        <v>47559</v>
      </c>
      <c r="I13" s="17">
        <v>48222</v>
      </c>
      <c r="J13" s="17">
        <v>48876</v>
      </c>
    </row>
    <row r="14" spans="1:10" ht="15" customHeight="1" x14ac:dyDescent="0.3">
      <c r="A14" s="15" t="s">
        <v>12</v>
      </c>
      <c r="B14" s="16">
        <v>128245</v>
      </c>
      <c r="C14" s="16">
        <v>130239</v>
      </c>
      <c r="D14" s="17">
        <v>132264</v>
      </c>
      <c r="E14" s="17">
        <v>134320</v>
      </c>
      <c r="F14" s="17">
        <v>136354</v>
      </c>
      <c r="G14" s="17">
        <v>138363</v>
      </c>
      <c r="H14" s="17">
        <v>140345</v>
      </c>
      <c r="I14" s="17">
        <v>142300</v>
      </c>
      <c r="J14" s="17">
        <v>144230</v>
      </c>
    </row>
    <row r="15" spans="1:10" ht="15" customHeight="1" x14ac:dyDescent="0.3">
      <c r="A15" s="15" t="s">
        <v>13</v>
      </c>
      <c r="B15" s="16">
        <v>381732</v>
      </c>
      <c r="C15" s="16">
        <v>387666</v>
      </c>
      <c r="D15" s="17">
        <v>393692</v>
      </c>
      <c r="E15" s="17">
        <v>399812</v>
      </c>
      <c r="F15" s="17">
        <v>405867</v>
      </c>
      <c r="G15" s="17">
        <v>411846</v>
      </c>
      <c r="H15" s="17">
        <v>417746</v>
      </c>
      <c r="I15" s="17">
        <v>423564</v>
      </c>
      <c r="J15" s="17">
        <v>429308</v>
      </c>
    </row>
    <row r="16" spans="1:10" ht="15" customHeight="1" x14ac:dyDescent="0.3">
      <c r="A16" s="15" t="s">
        <v>14</v>
      </c>
      <c r="B16" s="16">
        <v>93930</v>
      </c>
      <c r="C16" s="16">
        <v>95390</v>
      </c>
      <c r="D16" s="17">
        <v>96873</v>
      </c>
      <c r="E16" s="17">
        <v>98379</v>
      </c>
      <c r="F16" s="17">
        <v>99868</v>
      </c>
      <c r="G16" s="17">
        <v>101340</v>
      </c>
      <c r="H16" s="17">
        <v>102791</v>
      </c>
      <c r="I16" s="17">
        <v>104223</v>
      </c>
      <c r="J16" s="17">
        <v>105636</v>
      </c>
    </row>
    <row r="17" spans="1:10" ht="15" customHeight="1" x14ac:dyDescent="0.3">
      <c r="A17" s="15" t="s">
        <v>15</v>
      </c>
      <c r="B17" s="16">
        <v>281177</v>
      </c>
      <c r="C17" s="16">
        <v>285548</v>
      </c>
      <c r="D17" s="17">
        <v>289987</v>
      </c>
      <c r="E17" s="17">
        <v>294495</v>
      </c>
      <c r="F17" s="17">
        <v>298954</v>
      </c>
      <c r="G17" s="17">
        <v>303358</v>
      </c>
      <c r="H17" s="17">
        <v>307704</v>
      </c>
      <c r="I17" s="17">
        <v>311990</v>
      </c>
      <c r="J17" s="17">
        <v>316221</v>
      </c>
    </row>
    <row r="18" spans="1:10" ht="15" customHeight="1" x14ac:dyDescent="0.3">
      <c r="A18" s="15" t="s">
        <v>16</v>
      </c>
      <c r="B18" s="16">
        <v>76512</v>
      </c>
      <c r="C18" s="16">
        <v>77701</v>
      </c>
      <c r="D18" s="17">
        <v>78908</v>
      </c>
      <c r="E18" s="17">
        <v>80134</v>
      </c>
      <c r="F18" s="17">
        <v>81348</v>
      </c>
      <c r="G18" s="17">
        <v>82546</v>
      </c>
      <c r="H18" s="17">
        <v>83729</v>
      </c>
      <c r="I18" s="17">
        <v>84895</v>
      </c>
      <c r="J18" s="17">
        <v>86046</v>
      </c>
    </row>
    <row r="19" spans="1:10" ht="15" customHeight="1" x14ac:dyDescent="0.3">
      <c r="A19" s="15" t="s">
        <v>17</v>
      </c>
      <c r="B19" s="16">
        <v>2324424</v>
      </c>
      <c r="C19" s="16">
        <v>2360562</v>
      </c>
      <c r="D19" s="17">
        <v>2397261</v>
      </c>
      <c r="E19" s="17">
        <v>2434531</v>
      </c>
      <c r="F19" s="17">
        <v>2471395</v>
      </c>
      <c r="G19" s="17">
        <v>2507803</v>
      </c>
      <c r="H19" s="17">
        <v>2543729</v>
      </c>
      <c r="I19" s="17">
        <v>2579157</v>
      </c>
      <c r="J19" s="17">
        <v>2614134</v>
      </c>
    </row>
    <row r="20" spans="1:10" ht="15" customHeight="1" x14ac:dyDescent="0.3">
      <c r="A20" s="15" t="s">
        <v>18</v>
      </c>
      <c r="B20" s="16">
        <v>315842</v>
      </c>
      <c r="C20" s="16">
        <v>320753</v>
      </c>
      <c r="D20" s="17">
        <v>325740</v>
      </c>
      <c r="E20" s="17">
        <v>330805</v>
      </c>
      <c r="F20" s="17">
        <v>335814</v>
      </c>
      <c r="G20" s="17">
        <v>340761</v>
      </c>
      <c r="H20" s="17">
        <v>345642</v>
      </c>
      <c r="I20" s="17">
        <v>350456</v>
      </c>
      <c r="J20" s="17">
        <v>355209</v>
      </c>
    </row>
    <row r="21" spans="1:10" ht="15" customHeight="1" x14ac:dyDescent="0.3">
      <c r="A21" s="15" t="s">
        <v>19</v>
      </c>
      <c r="B21" s="16">
        <v>259570</v>
      </c>
      <c r="C21" s="16">
        <v>263606</v>
      </c>
      <c r="D21" s="17">
        <v>267704</v>
      </c>
      <c r="E21" s="17">
        <v>271866</v>
      </c>
      <c r="F21" s="17">
        <v>275982</v>
      </c>
      <c r="G21" s="17">
        <v>280048</v>
      </c>
      <c r="H21" s="17">
        <v>284060</v>
      </c>
      <c r="I21" s="17">
        <v>288016</v>
      </c>
      <c r="J21" s="17">
        <v>291922</v>
      </c>
    </row>
    <row r="22" spans="1:10" ht="15" customHeight="1" x14ac:dyDescent="0.3">
      <c r="A22" s="15" t="s">
        <v>20</v>
      </c>
      <c r="B22" s="16">
        <v>1077407</v>
      </c>
      <c r="C22" s="16">
        <v>1094157</v>
      </c>
      <c r="D22" s="17">
        <v>1111168</v>
      </c>
      <c r="E22" s="17">
        <v>1128443</v>
      </c>
      <c r="F22" s="17">
        <v>1145530</v>
      </c>
      <c r="G22" s="17">
        <v>1162406</v>
      </c>
      <c r="H22" s="17">
        <v>1179058</v>
      </c>
      <c r="I22" s="17">
        <v>1195479</v>
      </c>
      <c r="J22" s="17">
        <v>1211692</v>
      </c>
    </row>
    <row r="23" spans="1:10" ht="15" customHeight="1" x14ac:dyDescent="0.3">
      <c r="A23" s="15" t="s">
        <v>21</v>
      </c>
      <c r="B23" s="16">
        <v>427768</v>
      </c>
      <c r="C23" s="16">
        <v>434419</v>
      </c>
      <c r="D23" s="17">
        <v>441173</v>
      </c>
      <c r="E23" s="17">
        <v>448032</v>
      </c>
      <c r="F23" s="17">
        <v>454816</v>
      </c>
      <c r="G23" s="17">
        <v>454816</v>
      </c>
      <c r="H23" s="17">
        <v>468127</v>
      </c>
      <c r="I23" s="17">
        <v>474647</v>
      </c>
      <c r="J23" s="17">
        <v>481084</v>
      </c>
    </row>
    <row r="24" spans="1:10" ht="15" customHeight="1" x14ac:dyDescent="0.3">
      <c r="A24" s="15" t="s">
        <v>22</v>
      </c>
      <c r="B24" s="16">
        <v>221499</v>
      </c>
      <c r="C24" s="16">
        <v>224943</v>
      </c>
      <c r="D24" s="17">
        <v>228441</v>
      </c>
      <c r="E24" s="17">
        <v>231993</v>
      </c>
      <c r="F24" s="17">
        <v>235506</v>
      </c>
      <c r="G24" s="17">
        <v>238975</v>
      </c>
      <c r="H24" s="17">
        <v>242398</v>
      </c>
      <c r="I24" s="17">
        <v>245774</v>
      </c>
      <c r="J24" s="17">
        <v>249108</v>
      </c>
    </row>
    <row r="25" spans="1:10" ht="15" customHeight="1" x14ac:dyDescent="0.3">
      <c r="A25" s="15" t="s">
        <v>23</v>
      </c>
      <c r="B25" s="16">
        <v>1033114</v>
      </c>
      <c r="C25" s="16">
        <v>1049175</v>
      </c>
      <c r="D25" s="17">
        <v>1065485</v>
      </c>
      <c r="E25" s="17">
        <v>1082049</v>
      </c>
      <c r="F25" s="17">
        <v>1098434</v>
      </c>
      <c r="G25" s="17">
        <v>1114616</v>
      </c>
      <c r="H25" s="17">
        <v>1130583</v>
      </c>
      <c r="I25" s="17">
        <v>1146330</v>
      </c>
      <c r="J25" s="17">
        <v>1161876</v>
      </c>
    </row>
    <row r="26" spans="1:10" ht="15" customHeight="1" x14ac:dyDescent="0.3">
      <c r="A26" s="15" t="s">
        <v>24</v>
      </c>
      <c r="B26" s="16">
        <v>168798</v>
      </c>
      <c r="C26" s="16">
        <v>171422</v>
      </c>
      <c r="D26" s="17">
        <v>174087</v>
      </c>
      <c r="E26" s="17">
        <v>176793</v>
      </c>
      <c r="F26" s="17">
        <v>179470</v>
      </c>
      <c r="G26" s="17">
        <v>182114</v>
      </c>
      <c r="H26" s="17">
        <v>184723</v>
      </c>
      <c r="I26" s="17">
        <v>187296</v>
      </c>
      <c r="J26" s="17">
        <v>189836</v>
      </c>
    </row>
    <row r="27" spans="1:10" ht="15" customHeight="1" x14ac:dyDescent="0.3">
      <c r="A27" s="15" t="s">
        <v>25</v>
      </c>
      <c r="B27" s="16">
        <v>535277</v>
      </c>
      <c r="C27" s="16">
        <v>543599</v>
      </c>
      <c r="D27" s="17">
        <v>552051</v>
      </c>
      <c r="E27" s="17">
        <v>560634</v>
      </c>
      <c r="F27" s="17">
        <v>569123</v>
      </c>
      <c r="G27" s="17">
        <v>577507</v>
      </c>
      <c r="H27" s="17">
        <v>585780</v>
      </c>
      <c r="I27" s="17">
        <v>593939</v>
      </c>
      <c r="J27" s="17">
        <v>601993</v>
      </c>
    </row>
    <row r="28" spans="1:10" ht="15" customHeight="1" x14ac:dyDescent="0.3">
      <c r="A28" s="15" t="s">
        <v>26</v>
      </c>
      <c r="B28" s="16">
        <v>917685</v>
      </c>
      <c r="C28" s="16">
        <v>931951</v>
      </c>
      <c r="D28" s="17">
        <v>946439</v>
      </c>
      <c r="E28" s="17">
        <v>961152</v>
      </c>
      <c r="F28" s="17">
        <v>975707</v>
      </c>
      <c r="G28" s="17">
        <v>990080</v>
      </c>
      <c r="H28" s="17">
        <v>1004264</v>
      </c>
      <c r="I28" s="17">
        <v>1018251</v>
      </c>
      <c r="J28" s="17">
        <v>1032060</v>
      </c>
    </row>
    <row r="29" spans="1:10" ht="15" customHeight="1" x14ac:dyDescent="0.3">
      <c r="A29" s="15" t="s">
        <v>27</v>
      </c>
      <c r="B29" s="16">
        <v>791301</v>
      </c>
      <c r="C29" s="16">
        <v>803603</v>
      </c>
      <c r="D29" s="17">
        <v>816096</v>
      </c>
      <c r="E29" s="17">
        <v>828783</v>
      </c>
      <c r="F29" s="17">
        <v>841333</v>
      </c>
      <c r="G29" s="17">
        <v>853727</v>
      </c>
      <c r="H29" s="17">
        <v>865958</v>
      </c>
      <c r="I29" s="17">
        <v>878018</v>
      </c>
      <c r="J29" s="17">
        <v>889926</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71"/>
  <sheetViews>
    <sheetView showGridLines="0" zoomScale="85" zoomScaleNormal="85" workbookViewId="0">
      <pane ySplit="5" topLeftCell="A2341" activePane="bottomLeft" state="frozen"/>
      <selection pane="bottomLeft" activeCell="J2360" sqref="J2360"/>
    </sheetView>
  </sheetViews>
  <sheetFormatPr defaultColWidth="8.6640625" defaultRowHeight="14.4" x14ac:dyDescent="0.3"/>
  <cols>
    <col min="1" max="1" width="18" customWidth="1"/>
    <col min="2" max="3" width="8" customWidth="1"/>
    <col min="4" max="5" width="9" customWidth="1"/>
    <col min="6" max="6" width="19.88671875" bestFit="1" customWidth="1"/>
    <col min="7" max="7" width="23.88671875" customWidth="1"/>
    <col min="8" max="8" width="20.109375" customWidth="1"/>
  </cols>
  <sheetData>
    <row r="1" spans="1:8" ht="19.5" customHeight="1" x14ac:dyDescent="0.4">
      <c r="A1" s="1" t="s">
        <v>87</v>
      </c>
    </row>
    <row r="2" spans="1:8" ht="15" customHeight="1" x14ac:dyDescent="0.3">
      <c r="A2" s="18" t="s">
        <v>88</v>
      </c>
    </row>
    <row r="4" spans="1:8" ht="23.25" customHeight="1" x14ac:dyDescent="0.3">
      <c r="A4" s="12" t="s">
        <v>2</v>
      </c>
      <c r="B4" s="12" t="s">
        <v>89</v>
      </c>
      <c r="C4" s="12" t="s">
        <v>90</v>
      </c>
      <c r="D4" s="12" t="s">
        <v>91</v>
      </c>
      <c r="E4" s="12" t="s">
        <v>92</v>
      </c>
      <c r="F4" s="12" t="s">
        <v>93</v>
      </c>
      <c r="G4" s="12" t="s">
        <v>94</v>
      </c>
      <c r="H4" s="12" t="s">
        <v>95</v>
      </c>
    </row>
    <row r="5" spans="1:8" ht="15" customHeight="1" x14ac:dyDescent="0.3">
      <c r="A5" s="20" t="s">
        <v>3</v>
      </c>
      <c r="B5" s="20">
        <v>2018</v>
      </c>
      <c r="C5" s="20" t="s">
        <v>100</v>
      </c>
      <c r="D5" s="20">
        <v>4</v>
      </c>
      <c r="E5" s="20">
        <v>0</v>
      </c>
      <c r="F5" s="22">
        <f>IFERROR(E5/D5*100,"")</f>
        <v>0</v>
      </c>
      <c r="G5" s="23">
        <f>IFERROR(INDEX(Population_by_Province_Year!$B$5:$J$29,MATCH($A5,Population_by_Province_Year!$A$5:$A$29,0),MATCH($B5,Population_by_Province_Year!$B$4:$J$4,0)),"")</f>
        <v>877925</v>
      </c>
      <c r="H5" s="22">
        <f>IFERROR(D5/G5*100000,"")</f>
        <v>0.45561978528917624</v>
      </c>
    </row>
    <row r="6" spans="1:8" ht="15" customHeight="1" x14ac:dyDescent="0.3">
      <c r="A6" s="20" t="s">
        <v>4</v>
      </c>
      <c r="B6" s="20">
        <v>2018</v>
      </c>
      <c r="C6" s="20" t="s">
        <v>100</v>
      </c>
      <c r="D6" s="20">
        <v>5</v>
      </c>
      <c r="E6" s="20">
        <v>0</v>
      </c>
      <c r="F6" s="22">
        <f>IFERROR(E6/D6*100,"")</f>
        <v>0</v>
      </c>
      <c r="G6" s="23">
        <f>IFERROR(INDEX(Population_by_Province_Year!$B$5:$J$29,MATCH($A6,Population_by_Province_Year!$A$5:$A$29,0),MATCH($B6,Population_by_Province_Year!$B$4:$J$4,0)),"")</f>
        <v>1015729</v>
      </c>
      <c r="H6" s="22">
        <f>IFERROR(D6/G6*100000,"")</f>
        <v>0.49225728516169176</v>
      </c>
    </row>
    <row r="7" spans="1:8" ht="15" customHeight="1" x14ac:dyDescent="0.3">
      <c r="A7" s="20" t="s">
        <v>5</v>
      </c>
      <c r="B7" s="20">
        <v>2018</v>
      </c>
      <c r="C7" s="20" t="s">
        <v>100</v>
      </c>
      <c r="D7" s="20">
        <v>21</v>
      </c>
      <c r="E7" s="20">
        <v>0</v>
      </c>
      <c r="F7" s="22">
        <f>IFERROR(E7/D7*100,"")</f>
        <v>0</v>
      </c>
      <c r="G7" s="23">
        <f>IFERROR(INDEX(Population_by_Province_Year!$B$5:$J$29,MATCH($A7,Population_by_Province_Year!$A$5:$A$29,0),MATCH($B7,Population_by_Province_Year!$B$4:$J$4,0)),"")</f>
        <v>916540</v>
      </c>
      <c r="H7" s="22">
        <f>IFERROR(D7/G7*100000,"")</f>
        <v>2.2912256966417175</v>
      </c>
    </row>
    <row r="8" spans="1:8" ht="15" customHeight="1" x14ac:dyDescent="0.3">
      <c r="A8" s="20" t="s">
        <v>6</v>
      </c>
      <c r="B8" s="20">
        <v>2018</v>
      </c>
      <c r="C8" s="20" t="s">
        <v>100</v>
      </c>
      <c r="D8" s="20">
        <v>7</v>
      </c>
      <c r="E8" s="20">
        <v>0</v>
      </c>
      <c r="F8" s="22">
        <f>IFERROR(E8/D8*100,"")</f>
        <v>0</v>
      </c>
      <c r="G8" s="23">
        <f>IFERROR(INDEX(Population_by_Province_Year!$B$5:$J$29,MATCH($A8,Population_by_Province_Year!$A$5:$A$29,0),MATCH($B8,Population_by_Province_Year!$B$4:$J$4,0)),"")</f>
        <v>536836</v>
      </c>
      <c r="H8" s="22">
        <f>IFERROR(D8/G8*100000,"")</f>
        <v>1.3039363977080525</v>
      </c>
    </row>
    <row r="9" spans="1:8" ht="15" customHeight="1" x14ac:dyDescent="0.3">
      <c r="A9" s="20" t="s">
        <v>7</v>
      </c>
      <c r="B9" s="20">
        <v>2018</v>
      </c>
      <c r="C9" s="20" t="s">
        <v>100</v>
      </c>
      <c r="D9" s="20">
        <v>9</v>
      </c>
      <c r="E9" s="20">
        <v>0</v>
      </c>
      <c r="F9" s="22">
        <f>IFERROR(E9/D9*100,"")</f>
        <v>0</v>
      </c>
      <c r="G9" s="23">
        <f>IFERROR(INDEX(Population_by_Province_Year!$B$5:$J$29,MATCH($A9,Population_by_Province_Year!$A$5:$A$29,0),MATCH($B9,Population_by_Province_Year!$B$4:$J$4,0)),"")</f>
        <v>893858</v>
      </c>
      <c r="H9" s="22">
        <f>IFERROR(D9/G9*100000,"")</f>
        <v>1.0068713375055098</v>
      </c>
    </row>
    <row r="10" spans="1:8" ht="15" customHeight="1" x14ac:dyDescent="0.3">
      <c r="A10" s="20" t="s">
        <v>8</v>
      </c>
      <c r="B10" s="20">
        <v>2018</v>
      </c>
      <c r="C10" s="20" t="s">
        <v>100</v>
      </c>
      <c r="D10" s="20">
        <v>6</v>
      </c>
      <c r="E10" s="20">
        <v>0</v>
      </c>
      <c r="F10" s="22">
        <f>IFERROR(E10/D10*100,"")</f>
        <v>0</v>
      </c>
      <c r="G10" s="23">
        <f>IFERROR(INDEX(Population_by_Province_Year!$B$5:$J$29,MATCH($A10,Population_by_Province_Year!$A$5:$A$29,0),MATCH($B10,Population_by_Province_Year!$B$4:$J$4,0)),"")</f>
        <v>694235</v>
      </c>
      <c r="H10" s="22">
        <f>IFERROR(D10/G10*100000,"")</f>
        <v>0.86426066101536236</v>
      </c>
    </row>
    <row r="11" spans="1:8" ht="15" customHeight="1" x14ac:dyDescent="0.3">
      <c r="A11" s="20" t="s">
        <v>9</v>
      </c>
      <c r="B11" s="20">
        <v>2018</v>
      </c>
      <c r="C11" s="20" t="s">
        <v>100</v>
      </c>
      <c r="D11" s="20">
        <v>5</v>
      </c>
      <c r="E11" s="20">
        <v>0</v>
      </c>
      <c r="F11" s="22">
        <f>IFERROR(E11/D11*100,"")</f>
        <v>0</v>
      </c>
      <c r="G11" s="23">
        <f>IFERROR(INDEX(Population_by_Province_Year!$B$5:$J$29,MATCH($A11,Population_by_Province_Year!$A$5:$A$29,0),MATCH($B11,Population_by_Province_Year!$B$4:$J$4,0)),"")</f>
        <v>604881</v>
      </c>
      <c r="H11" s="22">
        <f>IFERROR(D11/G11*100000,"")</f>
        <v>0.82660887017446405</v>
      </c>
    </row>
    <row r="12" spans="1:8" ht="15" customHeight="1" x14ac:dyDescent="0.3">
      <c r="A12" s="20" t="s">
        <v>10</v>
      </c>
      <c r="B12" s="20">
        <v>2018</v>
      </c>
      <c r="C12" s="20" t="s">
        <v>100</v>
      </c>
      <c r="D12" s="20">
        <v>42</v>
      </c>
      <c r="E12" s="20">
        <v>0</v>
      </c>
      <c r="F12" s="22">
        <f>IFERROR(E12/D12*100,"")</f>
        <v>0</v>
      </c>
      <c r="G12" s="23">
        <f>IFERROR(INDEX(Population_by_Province_Year!$B$5:$J$29,MATCH($A12,Population_by_Province_Year!$A$5:$A$29,0),MATCH($B12,Population_by_Province_Year!$B$4:$J$4,0)),"")</f>
        <v>1223947</v>
      </c>
      <c r="H12" s="22">
        <f>IFERROR(D12/G12*100000,"")</f>
        <v>3.4315211361276265</v>
      </c>
    </row>
    <row r="13" spans="1:8" ht="15" customHeight="1" x14ac:dyDescent="0.3">
      <c r="A13" s="20" t="s">
        <v>13</v>
      </c>
      <c r="B13" s="20">
        <v>2018</v>
      </c>
      <c r="C13" s="20" t="s">
        <v>100</v>
      </c>
      <c r="D13" s="20">
        <v>3</v>
      </c>
      <c r="E13" s="20">
        <v>0</v>
      </c>
      <c r="F13" s="22">
        <f>IFERROR(E13/D13*100,"")</f>
        <v>0</v>
      </c>
      <c r="G13" s="23">
        <f>IFERROR(INDEX(Population_by_Province_Year!$B$5:$J$29,MATCH($A13,Population_by_Province_Year!$A$5:$A$29,0),MATCH($B13,Population_by_Province_Year!$B$4:$J$4,0)),"")</f>
        <v>381732</v>
      </c>
      <c r="H13" s="22">
        <f>IFERROR(D13/G13*100000,"")</f>
        <v>0.78589167269183613</v>
      </c>
    </row>
    <row r="14" spans="1:8" ht="15" customHeight="1" x14ac:dyDescent="0.3">
      <c r="A14" s="20" t="s">
        <v>17</v>
      </c>
      <c r="B14" s="20">
        <v>2018</v>
      </c>
      <c r="C14" s="20" t="s">
        <v>100</v>
      </c>
      <c r="D14" s="20">
        <v>283</v>
      </c>
      <c r="E14" s="20">
        <v>1</v>
      </c>
      <c r="F14" s="22">
        <f>IFERROR(E14/D14*100,"")</f>
        <v>0.35335689045936397</v>
      </c>
      <c r="G14" s="23">
        <f>IFERROR(INDEX(Population_by_Province_Year!$B$5:$J$29,MATCH($A14,Population_by_Province_Year!$A$5:$A$29,0),MATCH($B14,Population_by_Province_Year!$B$4:$J$4,0)),"")</f>
        <v>2324424</v>
      </c>
      <c r="H14" s="22">
        <f>IFERROR(D14/G14*100000,"")</f>
        <v>12.175059283504215</v>
      </c>
    </row>
    <row r="15" spans="1:8" ht="15" customHeight="1" x14ac:dyDescent="0.3">
      <c r="A15" s="20" t="s">
        <v>18</v>
      </c>
      <c r="B15" s="20">
        <v>2018</v>
      </c>
      <c r="C15" s="20" t="s">
        <v>100</v>
      </c>
      <c r="D15" s="20">
        <v>7</v>
      </c>
      <c r="E15" s="20">
        <v>0</v>
      </c>
      <c r="F15" s="22">
        <f>IFERROR(E15/D15*100,"")</f>
        <v>0</v>
      </c>
      <c r="G15" s="23">
        <f>IFERROR(INDEX(Population_by_Province_Year!$B$5:$J$29,MATCH($A15,Population_by_Province_Year!$A$5:$A$29,0),MATCH($B15,Population_by_Province_Year!$B$4:$J$4,0)),"")</f>
        <v>315842</v>
      </c>
      <c r="H15" s="22">
        <f>IFERROR(D15/G15*100000,"")</f>
        <v>2.2162980224289361</v>
      </c>
    </row>
    <row r="16" spans="1:8" ht="15" customHeight="1" x14ac:dyDescent="0.3">
      <c r="A16" s="20" t="s">
        <v>19</v>
      </c>
      <c r="B16" s="20">
        <v>2018</v>
      </c>
      <c r="C16" s="20" t="s">
        <v>100</v>
      </c>
      <c r="D16" s="20">
        <v>1</v>
      </c>
      <c r="E16" s="20">
        <v>0</v>
      </c>
      <c r="F16" s="22">
        <f>IFERROR(E16/D16*100,"")</f>
        <v>0</v>
      </c>
      <c r="G16" s="23">
        <f>IFERROR(INDEX(Population_by_Province_Year!$B$5:$J$29,MATCH($A16,Population_by_Province_Year!$A$5:$A$29,0),MATCH($B16,Population_by_Province_Year!$B$4:$J$4,0)),"")</f>
        <v>259570</v>
      </c>
      <c r="H16" s="22">
        <f>IFERROR(D16/G16*100000,"")</f>
        <v>0.38525253303540474</v>
      </c>
    </row>
    <row r="17" spans="1:8" ht="15" customHeight="1" x14ac:dyDescent="0.3">
      <c r="A17" s="20" t="s">
        <v>20</v>
      </c>
      <c r="B17" s="20">
        <v>2018</v>
      </c>
      <c r="C17" s="20" t="s">
        <v>100</v>
      </c>
      <c r="D17" s="20">
        <v>33</v>
      </c>
      <c r="E17" s="20">
        <v>0</v>
      </c>
      <c r="F17" s="22">
        <f>IFERROR(E17/D17*100,"")</f>
        <v>0</v>
      </c>
      <c r="G17" s="23">
        <f>IFERROR(INDEX(Population_by_Province_Year!$B$5:$J$29,MATCH($A17,Population_by_Province_Year!$A$5:$A$29,0),MATCH($B17,Population_by_Province_Year!$B$4:$J$4,0)),"")</f>
        <v>1077407</v>
      </c>
      <c r="H17" s="22">
        <f>IFERROR(D17/G17*100000,"")</f>
        <v>3.0629093740805469</v>
      </c>
    </row>
    <row r="18" spans="1:8" ht="15" customHeight="1" x14ac:dyDescent="0.3">
      <c r="A18" s="20" t="s">
        <v>21</v>
      </c>
      <c r="B18" s="20">
        <v>2018</v>
      </c>
      <c r="C18" s="20" t="s">
        <v>100</v>
      </c>
      <c r="D18" s="20">
        <v>1</v>
      </c>
      <c r="E18" s="20">
        <v>0</v>
      </c>
      <c r="F18" s="22">
        <f>IFERROR(E18/D18*100,"")</f>
        <v>0</v>
      </c>
      <c r="G18" s="23">
        <f>IFERROR(INDEX(Population_by_Province_Year!$B$5:$J$29,MATCH($A18,Population_by_Province_Year!$A$5:$A$29,0),MATCH($B18,Population_by_Province_Year!$B$4:$J$4,0)),"")</f>
        <v>427768</v>
      </c>
      <c r="H18" s="22">
        <f>IFERROR(D18/G18*100000,"")</f>
        <v>0.23377157711656785</v>
      </c>
    </row>
    <row r="19" spans="1:8" ht="15" customHeight="1" x14ac:dyDescent="0.3">
      <c r="A19" s="20" t="s">
        <v>22</v>
      </c>
      <c r="B19" s="20">
        <v>2018</v>
      </c>
      <c r="C19" s="20" t="s">
        <v>100</v>
      </c>
      <c r="D19" s="20">
        <v>2</v>
      </c>
      <c r="E19" s="20">
        <v>0</v>
      </c>
      <c r="F19" s="22">
        <f>IFERROR(E19/D19*100,"")</f>
        <v>0</v>
      </c>
      <c r="G19" s="23">
        <f>IFERROR(INDEX(Population_by_Province_Year!$B$5:$J$29,MATCH($A19,Population_by_Province_Year!$A$5:$A$29,0),MATCH($B19,Population_by_Province_Year!$B$4:$J$4,0)),"")</f>
        <v>221499</v>
      </c>
      <c r="H19" s="22">
        <f>IFERROR(D19/G19*100000,"")</f>
        <v>0.90293861371834638</v>
      </c>
    </row>
    <row r="20" spans="1:8" ht="15" customHeight="1" x14ac:dyDescent="0.3">
      <c r="A20" s="20" t="s">
        <v>23</v>
      </c>
      <c r="B20" s="20">
        <v>2018</v>
      </c>
      <c r="C20" s="20" t="s">
        <v>100</v>
      </c>
      <c r="D20" s="20">
        <v>13</v>
      </c>
      <c r="E20" s="20">
        <v>0</v>
      </c>
      <c r="F20" s="22">
        <f>IFERROR(E20/D20*100,"")</f>
        <v>0</v>
      </c>
      <c r="G20" s="23">
        <f>IFERROR(INDEX(Population_by_Province_Year!$B$5:$J$29,MATCH($A20,Population_by_Province_Year!$A$5:$A$29,0),MATCH($B20,Population_by_Province_Year!$B$4:$J$4,0)),"")</f>
        <v>1033114</v>
      </c>
      <c r="H20" s="22">
        <f>IFERROR(D20/G20*100000,"")</f>
        <v>1.2583316071604875</v>
      </c>
    </row>
    <row r="21" spans="1:8" ht="15" customHeight="1" x14ac:dyDescent="0.3">
      <c r="A21" s="20" t="s">
        <v>24</v>
      </c>
      <c r="B21" s="20">
        <v>2018</v>
      </c>
      <c r="C21" s="20" t="s">
        <v>100</v>
      </c>
      <c r="D21" s="20">
        <v>1</v>
      </c>
      <c r="E21" s="20">
        <v>0</v>
      </c>
      <c r="F21" s="22">
        <f>IFERROR(E21/D21*100,"")</f>
        <v>0</v>
      </c>
      <c r="G21" s="23">
        <f>IFERROR(INDEX(Population_by_Province_Year!$B$5:$J$29,MATCH($A21,Population_by_Province_Year!$A$5:$A$29,0),MATCH($B21,Population_by_Province_Year!$B$4:$J$4,0)),"")</f>
        <v>168798</v>
      </c>
      <c r="H21" s="22">
        <f>IFERROR(D21/G21*100000,"")</f>
        <v>0.59242408085403853</v>
      </c>
    </row>
    <row r="22" spans="1:8" ht="15" customHeight="1" x14ac:dyDescent="0.3">
      <c r="A22" s="20" t="s">
        <v>25</v>
      </c>
      <c r="B22" s="20">
        <v>2018</v>
      </c>
      <c r="C22" s="20" t="s">
        <v>100</v>
      </c>
      <c r="D22" s="20">
        <v>3</v>
      </c>
      <c r="E22" s="20">
        <v>0</v>
      </c>
      <c r="F22" s="22">
        <f>IFERROR(E22/D22*100,"")</f>
        <v>0</v>
      </c>
      <c r="G22" s="23">
        <f>IFERROR(INDEX(Population_by_Province_Year!$B$5:$J$29,MATCH($A22,Population_by_Province_Year!$A$5:$A$29,0),MATCH($B22,Population_by_Province_Year!$B$4:$J$4,0)),"")</f>
        <v>535277</v>
      </c>
      <c r="H22" s="22">
        <f>IFERROR(D22/G22*100000,"")</f>
        <v>0.56045748276126195</v>
      </c>
    </row>
    <row r="23" spans="1:8" ht="15" customHeight="1" x14ac:dyDescent="0.3">
      <c r="A23" s="20" t="s">
        <v>26</v>
      </c>
      <c r="B23" s="20">
        <v>2018</v>
      </c>
      <c r="C23" s="20" t="s">
        <v>100</v>
      </c>
      <c r="D23" s="20">
        <v>6</v>
      </c>
      <c r="E23" s="20">
        <v>0</v>
      </c>
      <c r="F23" s="22">
        <f>IFERROR(E23/D23*100,"")</f>
        <v>0</v>
      </c>
      <c r="G23" s="23">
        <f>IFERROR(INDEX(Population_by_Province_Year!$B$5:$J$29,MATCH($A23,Population_by_Province_Year!$A$5:$A$29,0),MATCH($B23,Population_by_Province_Year!$B$4:$J$4,0)),"")</f>
        <v>917685</v>
      </c>
      <c r="H23" s="22">
        <f>IFERROR(D23/G23*100000,"")</f>
        <v>0.6538191209401919</v>
      </c>
    </row>
    <row r="24" spans="1:8" ht="15" customHeight="1" x14ac:dyDescent="0.3">
      <c r="A24" s="20" t="s">
        <v>27</v>
      </c>
      <c r="B24" s="20">
        <v>2018</v>
      </c>
      <c r="C24" s="20" t="s">
        <v>100</v>
      </c>
      <c r="D24" s="20">
        <v>9</v>
      </c>
      <c r="E24" s="20">
        <v>0</v>
      </c>
      <c r="F24" s="22">
        <f>IFERROR(E24/D24*100,"")</f>
        <v>0</v>
      </c>
      <c r="G24" s="23">
        <f>IFERROR(INDEX(Population_by_Province_Year!$B$5:$J$29,MATCH($A24,Population_by_Province_Year!$A$5:$A$29,0),MATCH($B24,Population_by_Province_Year!$B$4:$J$4,0)),"")</f>
        <v>791301</v>
      </c>
      <c r="H24" s="22">
        <f>IFERROR(D24/G24*100000,"")</f>
        <v>1.137367449301846</v>
      </c>
    </row>
    <row r="25" spans="1:8" ht="15" customHeight="1" x14ac:dyDescent="0.3">
      <c r="A25" s="20" t="s">
        <v>3</v>
      </c>
      <c r="B25" s="20">
        <v>2018</v>
      </c>
      <c r="C25" s="20" t="s">
        <v>99</v>
      </c>
      <c r="D25" s="20">
        <v>8</v>
      </c>
      <c r="E25" s="20">
        <v>0</v>
      </c>
      <c r="F25" s="22">
        <f>IFERROR(E25/D25*100,"")</f>
        <v>0</v>
      </c>
      <c r="G25" s="23">
        <f>IFERROR(INDEX(Population_by_Province_Year!$B$5:$J$29,MATCH($A25,Population_by_Province_Year!$A$5:$A$29,0),MATCH($B25,Population_by_Province_Year!$B$4:$J$4,0)),"")</f>
        <v>877925</v>
      </c>
      <c r="H25" s="22">
        <f>IFERROR(D25/G25*100000,"")</f>
        <v>0.91123957057835248</v>
      </c>
    </row>
    <row r="26" spans="1:8" ht="15" customHeight="1" x14ac:dyDescent="0.3">
      <c r="A26" s="20" t="s">
        <v>4</v>
      </c>
      <c r="B26" s="20">
        <v>2018</v>
      </c>
      <c r="C26" s="20" t="s">
        <v>99</v>
      </c>
      <c r="D26" s="20">
        <v>3</v>
      </c>
      <c r="E26" s="20">
        <v>0</v>
      </c>
      <c r="F26" s="22">
        <f>IFERROR(E26/D26*100,"")</f>
        <v>0</v>
      </c>
      <c r="G26" s="23">
        <f>IFERROR(INDEX(Population_by_Province_Year!$B$5:$J$29,MATCH($A26,Population_by_Province_Year!$A$5:$A$29,0),MATCH($B26,Population_by_Province_Year!$B$4:$J$4,0)),"")</f>
        <v>1015729</v>
      </c>
      <c r="H26" s="22">
        <f>IFERROR(D26/G26*100000,"")</f>
        <v>0.29535437109701507</v>
      </c>
    </row>
    <row r="27" spans="1:8" ht="15" customHeight="1" x14ac:dyDescent="0.3">
      <c r="A27" s="20" t="s">
        <v>5</v>
      </c>
      <c r="B27" s="20">
        <v>2018</v>
      </c>
      <c r="C27" s="20" t="s">
        <v>99</v>
      </c>
      <c r="D27" s="20">
        <v>14</v>
      </c>
      <c r="E27" s="20">
        <v>0</v>
      </c>
      <c r="F27" s="22">
        <f>IFERROR(E27/D27*100,"")</f>
        <v>0</v>
      </c>
      <c r="G27" s="23">
        <f>IFERROR(INDEX(Population_by_Province_Year!$B$5:$J$29,MATCH($A27,Population_by_Province_Year!$A$5:$A$29,0),MATCH($B27,Population_by_Province_Year!$B$4:$J$4,0)),"")</f>
        <v>916540</v>
      </c>
      <c r="H27" s="22">
        <f>IFERROR(D27/G27*100000,"")</f>
        <v>1.5274837977611451</v>
      </c>
    </row>
    <row r="28" spans="1:8" ht="15" customHeight="1" x14ac:dyDescent="0.3">
      <c r="A28" s="20" t="s">
        <v>6</v>
      </c>
      <c r="B28" s="20">
        <v>2018</v>
      </c>
      <c r="C28" s="20" t="s">
        <v>99</v>
      </c>
      <c r="D28" s="20">
        <v>5</v>
      </c>
      <c r="E28" s="20">
        <v>0</v>
      </c>
      <c r="F28" s="22">
        <f>IFERROR(E28/D28*100,"")</f>
        <v>0</v>
      </c>
      <c r="G28" s="23">
        <f>IFERROR(INDEX(Population_by_Province_Year!$B$5:$J$29,MATCH($A28,Population_by_Province_Year!$A$5:$A$29,0),MATCH($B28,Population_by_Province_Year!$B$4:$J$4,0)),"")</f>
        <v>536836</v>
      </c>
      <c r="H28" s="22">
        <f>IFERROR(D28/G28*100000,"")</f>
        <v>0.93138314122003751</v>
      </c>
    </row>
    <row r="29" spans="1:8" ht="15" customHeight="1" x14ac:dyDescent="0.3">
      <c r="A29" s="20" t="s">
        <v>7</v>
      </c>
      <c r="B29" s="20">
        <v>2018</v>
      </c>
      <c r="C29" s="20" t="s">
        <v>99</v>
      </c>
      <c r="D29" s="20">
        <v>9</v>
      </c>
      <c r="E29" s="20">
        <v>0</v>
      </c>
      <c r="F29" s="22">
        <f>IFERROR(E29/D29*100,"")</f>
        <v>0</v>
      </c>
      <c r="G29" s="23">
        <f>IFERROR(INDEX(Population_by_Province_Year!$B$5:$J$29,MATCH($A29,Population_by_Province_Year!$A$5:$A$29,0),MATCH($B29,Population_by_Province_Year!$B$4:$J$4,0)),"")</f>
        <v>893858</v>
      </c>
      <c r="H29" s="22">
        <f>IFERROR(D29/G29*100000,"")</f>
        <v>1.0068713375055098</v>
      </c>
    </row>
    <row r="30" spans="1:8" ht="15" customHeight="1" x14ac:dyDescent="0.3">
      <c r="A30" s="20" t="s">
        <v>8</v>
      </c>
      <c r="B30" s="20">
        <v>2018</v>
      </c>
      <c r="C30" s="20" t="s">
        <v>99</v>
      </c>
      <c r="D30" s="20">
        <v>8</v>
      </c>
      <c r="E30" s="20">
        <v>0</v>
      </c>
      <c r="F30" s="22">
        <f>IFERROR(E30/D30*100,"")</f>
        <v>0</v>
      </c>
      <c r="G30" s="23">
        <f>IFERROR(INDEX(Population_by_Province_Year!$B$5:$J$29,MATCH($A30,Population_by_Province_Year!$A$5:$A$29,0),MATCH($B30,Population_by_Province_Year!$B$4:$J$4,0)),"")</f>
        <v>694235</v>
      </c>
      <c r="H30" s="22">
        <f>IFERROR(D30/G30*100000,"")</f>
        <v>1.152347548020483</v>
      </c>
    </row>
    <row r="31" spans="1:8" ht="15" customHeight="1" x14ac:dyDescent="0.3">
      <c r="A31" s="20" t="s">
        <v>9</v>
      </c>
      <c r="B31" s="20">
        <v>2018</v>
      </c>
      <c r="C31" s="20" t="s">
        <v>99</v>
      </c>
      <c r="D31" s="20">
        <v>3</v>
      </c>
      <c r="E31" s="20">
        <v>0</v>
      </c>
      <c r="F31" s="22">
        <f>IFERROR(E31/D31*100,"")</f>
        <v>0</v>
      </c>
      <c r="G31" s="23">
        <f>IFERROR(INDEX(Population_by_Province_Year!$B$5:$J$29,MATCH($A31,Population_by_Province_Year!$A$5:$A$29,0),MATCH($B31,Population_by_Province_Year!$B$4:$J$4,0)),"")</f>
        <v>604881</v>
      </c>
      <c r="H31" s="22">
        <f>IFERROR(D31/G31*100000,"")</f>
        <v>0.49596532210467847</v>
      </c>
    </row>
    <row r="32" spans="1:8" ht="15" customHeight="1" x14ac:dyDescent="0.3">
      <c r="A32" s="20" t="s">
        <v>10</v>
      </c>
      <c r="B32" s="20">
        <v>2018</v>
      </c>
      <c r="C32" s="20" t="s">
        <v>99</v>
      </c>
      <c r="D32" s="20">
        <v>39</v>
      </c>
      <c r="E32" s="20">
        <v>0</v>
      </c>
      <c r="F32" s="22">
        <f>IFERROR(E32/D32*100,"")</f>
        <v>0</v>
      </c>
      <c r="G32" s="23">
        <f>IFERROR(INDEX(Population_by_Province_Year!$B$5:$J$29,MATCH($A32,Population_by_Province_Year!$A$5:$A$29,0),MATCH($B32,Population_by_Province_Year!$B$4:$J$4,0)),"")</f>
        <v>1223947</v>
      </c>
      <c r="H32" s="22">
        <f>IFERROR(D32/G32*100000,"")</f>
        <v>3.1864124835470817</v>
      </c>
    </row>
    <row r="33" spans="1:8" ht="15" customHeight="1" x14ac:dyDescent="0.3">
      <c r="A33" s="20" t="s">
        <v>11</v>
      </c>
      <c r="B33" s="20">
        <v>2018</v>
      </c>
      <c r="C33" s="20" t="s">
        <v>99</v>
      </c>
      <c r="D33" s="20">
        <v>1</v>
      </c>
      <c r="E33" s="20">
        <v>0</v>
      </c>
      <c r="F33" s="22">
        <f>IFERROR(E33/D33*100,"")</f>
        <v>0</v>
      </c>
      <c r="G33" s="23">
        <f>IFERROR(INDEX(Population_by_Province_Year!$B$5:$J$29,MATCH($A33,Population_by_Province_Year!$A$5:$A$29,0),MATCH($B33,Population_by_Province_Year!$B$4:$J$4,0)),"")</f>
        <v>43459</v>
      </c>
      <c r="H33" s="22">
        <f>IFERROR(D33/G33*100000,"")</f>
        <v>2.3010193515727466</v>
      </c>
    </row>
    <row r="34" spans="1:8" ht="15" customHeight="1" x14ac:dyDescent="0.3">
      <c r="A34" s="20" t="s">
        <v>12</v>
      </c>
      <c r="B34" s="20">
        <v>2018</v>
      </c>
      <c r="C34" s="20" t="s">
        <v>99</v>
      </c>
      <c r="D34" s="20">
        <v>4</v>
      </c>
      <c r="E34" s="20">
        <v>0</v>
      </c>
      <c r="F34" s="22">
        <f>IFERROR(E34/D34*100,"")</f>
        <v>0</v>
      </c>
      <c r="G34" s="23">
        <f>IFERROR(INDEX(Population_by_Province_Year!$B$5:$J$29,MATCH($A34,Population_by_Province_Year!$A$5:$A$29,0),MATCH($B34,Population_by_Province_Year!$B$4:$J$4,0)),"")</f>
        <v>128245</v>
      </c>
      <c r="H34" s="22">
        <f>IFERROR(D34/G34*100000,"")</f>
        <v>3.1190299816756992</v>
      </c>
    </row>
    <row r="35" spans="1:8" ht="15" customHeight="1" x14ac:dyDescent="0.3">
      <c r="A35" s="20" t="s">
        <v>15</v>
      </c>
      <c r="B35" s="20">
        <v>2018</v>
      </c>
      <c r="C35" s="20" t="s">
        <v>99</v>
      </c>
      <c r="D35" s="20">
        <v>2</v>
      </c>
      <c r="E35" s="20">
        <v>0</v>
      </c>
      <c r="F35" s="22">
        <f>IFERROR(E35/D35*100,"")</f>
        <v>0</v>
      </c>
      <c r="G35" s="23">
        <f>IFERROR(INDEX(Population_by_Province_Year!$B$5:$J$29,MATCH($A35,Population_by_Province_Year!$A$5:$A$29,0),MATCH($B35,Population_by_Province_Year!$B$4:$J$4,0)),"")</f>
        <v>281177</v>
      </c>
      <c r="H35" s="22">
        <f>IFERROR(D35/G35*100000,"")</f>
        <v>0.71129573186996098</v>
      </c>
    </row>
    <row r="36" spans="1:8" ht="15" customHeight="1" x14ac:dyDescent="0.3">
      <c r="A36" s="20" t="s">
        <v>17</v>
      </c>
      <c r="B36" s="20">
        <v>2018</v>
      </c>
      <c r="C36" s="20" t="s">
        <v>99</v>
      </c>
      <c r="D36" s="20">
        <v>165</v>
      </c>
      <c r="E36" s="20">
        <v>1</v>
      </c>
      <c r="F36" s="22">
        <f>IFERROR(E36/D36*100,"")</f>
        <v>0.60606060606060608</v>
      </c>
      <c r="G36" s="23">
        <f>IFERROR(INDEX(Population_by_Province_Year!$B$5:$J$29,MATCH($A36,Population_by_Province_Year!$A$5:$A$29,0),MATCH($B36,Population_by_Province_Year!$B$4:$J$4,0)),"")</f>
        <v>2324424</v>
      </c>
      <c r="H36" s="22">
        <f>IFERROR(D36/G36*100000,"")</f>
        <v>7.0985327978028101</v>
      </c>
    </row>
    <row r="37" spans="1:8" ht="15" customHeight="1" x14ac:dyDescent="0.3">
      <c r="A37" s="20" t="s">
        <v>18</v>
      </c>
      <c r="B37" s="20">
        <v>2018</v>
      </c>
      <c r="C37" s="20" t="s">
        <v>99</v>
      </c>
      <c r="D37" s="20">
        <v>11</v>
      </c>
      <c r="E37" s="20">
        <v>0</v>
      </c>
      <c r="F37" s="22">
        <f>IFERROR(E37/D37*100,"")</f>
        <v>0</v>
      </c>
      <c r="G37" s="23">
        <f>IFERROR(INDEX(Population_by_Province_Year!$B$5:$J$29,MATCH($A37,Population_by_Province_Year!$A$5:$A$29,0),MATCH($B37,Population_by_Province_Year!$B$4:$J$4,0)),"")</f>
        <v>315842</v>
      </c>
      <c r="H37" s="22">
        <f>IFERROR(D37/G37*100000,"")</f>
        <v>3.4827540352454704</v>
      </c>
    </row>
    <row r="38" spans="1:8" ht="15" customHeight="1" x14ac:dyDescent="0.3">
      <c r="A38" s="20" t="s">
        <v>19</v>
      </c>
      <c r="B38" s="20">
        <v>2018</v>
      </c>
      <c r="C38" s="20" t="s">
        <v>99</v>
      </c>
      <c r="D38" s="20">
        <v>2</v>
      </c>
      <c r="E38" s="20">
        <v>0</v>
      </c>
      <c r="F38" s="22">
        <f>IFERROR(E38/D38*100,"")</f>
        <v>0</v>
      </c>
      <c r="G38" s="23">
        <f>IFERROR(INDEX(Population_by_Province_Year!$B$5:$J$29,MATCH($A38,Population_by_Province_Year!$A$5:$A$29,0),MATCH($B38,Population_by_Province_Year!$B$4:$J$4,0)),"")</f>
        <v>259570</v>
      </c>
      <c r="H38" s="22">
        <f>IFERROR(D38/G38*100000,"")</f>
        <v>0.77050506607080949</v>
      </c>
    </row>
    <row r="39" spans="1:8" ht="15" customHeight="1" x14ac:dyDescent="0.3">
      <c r="A39" s="20" t="s">
        <v>20</v>
      </c>
      <c r="B39" s="20">
        <v>2018</v>
      </c>
      <c r="C39" s="20" t="s">
        <v>99</v>
      </c>
      <c r="D39" s="20">
        <v>19</v>
      </c>
      <c r="E39" s="20">
        <v>0</v>
      </c>
      <c r="F39" s="22">
        <f>IFERROR(E39/D39*100,"")</f>
        <v>0</v>
      </c>
      <c r="G39" s="23">
        <f>IFERROR(INDEX(Population_by_Province_Year!$B$5:$J$29,MATCH($A39,Population_by_Province_Year!$A$5:$A$29,0),MATCH($B39,Population_by_Province_Year!$B$4:$J$4,0)),"")</f>
        <v>1077407</v>
      </c>
      <c r="H39" s="22">
        <f>IFERROR(D39/G39*100000,"")</f>
        <v>1.7634932759857695</v>
      </c>
    </row>
    <row r="40" spans="1:8" ht="15" customHeight="1" x14ac:dyDescent="0.3">
      <c r="A40" s="20" t="s">
        <v>21</v>
      </c>
      <c r="B40" s="20">
        <v>2018</v>
      </c>
      <c r="C40" s="20" t="s">
        <v>99</v>
      </c>
      <c r="D40" s="20">
        <v>2</v>
      </c>
      <c r="E40" s="20">
        <v>0</v>
      </c>
      <c r="F40" s="22">
        <f>IFERROR(E40/D40*100,"")</f>
        <v>0</v>
      </c>
      <c r="G40" s="23">
        <f>IFERROR(INDEX(Population_by_Province_Year!$B$5:$J$29,MATCH($A40,Population_by_Province_Year!$A$5:$A$29,0),MATCH($B40,Population_by_Province_Year!$B$4:$J$4,0)),"")</f>
        <v>427768</v>
      </c>
      <c r="H40" s="22">
        <f>IFERROR(D40/G40*100000,"")</f>
        <v>0.46754315423313569</v>
      </c>
    </row>
    <row r="41" spans="1:8" ht="15" customHeight="1" x14ac:dyDescent="0.3">
      <c r="A41" s="20" t="s">
        <v>23</v>
      </c>
      <c r="B41" s="20">
        <v>2018</v>
      </c>
      <c r="C41" s="20" t="s">
        <v>99</v>
      </c>
      <c r="D41" s="20">
        <v>16</v>
      </c>
      <c r="E41" s="20">
        <v>0</v>
      </c>
      <c r="F41" s="22">
        <f>IFERROR(E41/D41*100,"")</f>
        <v>0</v>
      </c>
      <c r="G41" s="23">
        <f>IFERROR(INDEX(Population_by_Province_Year!$B$5:$J$29,MATCH($A41,Population_by_Province_Year!$A$5:$A$29,0),MATCH($B41,Population_by_Province_Year!$B$4:$J$4,0)),"")</f>
        <v>1033114</v>
      </c>
      <c r="H41" s="22">
        <f>IFERROR(D41/G41*100000,"")</f>
        <v>1.548715824197523</v>
      </c>
    </row>
    <row r="42" spans="1:8" ht="15" customHeight="1" x14ac:dyDescent="0.3">
      <c r="A42" s="20" t="s">
        <v>25</v>
      </c>
      <c r="B42" s="20">
        <v>2018</v>
      </c>
      <c r="C42" s="20" t="s">
        <v>99</v>
      </c>
      <c r="D42" s="20">
        <v>1</v>
      </c>
      <c r="E42" s="20">
        <v>0</v>
      </c>
      <c r="F42" s="22">
        <f>IFERROR(E42/D42*100,"")</f>
        <v>0</v>
      </c>
      <c r="G42" s="23">
        <f>IFERROR(INDEX(Population_by_Province_Year!$B$5:$J$29,MATCH($A42,Population_by_Province_Year!$A$5:$A$29,0),MATCH($B42,Population_by_Province_Year!$B$4:$J$4,0)),"")</f>
        <v>535277</v>
      </c>
      <c r="H42" s="22">
        <f>IFERROR(D42/G42*100000,"")</f>
        <v>0.18681916092042064</v>
      </c>
    </row>
    <row r="43" spans="1:8" ht="15" customHeight="1" x14ac:dyDescent="0.3">
      <c r="A43" s="20" t="s">
        <v>26</v>
      </c>
      <c r="B43" s="20">
        <v>2018</v>
      </c>
      <c r="C43" s="20" t="s">
        <v>99</v>
      </c>
      <c r="D43" s="20">
        <v>10</v>
      </c>
      <c r="E43" s="20">
        <v>0</v>
      </c>
      <c r="F43" s="22">
        <f>IFERROR(E43/D43*100,"")</f>
        <v>0</v>
      </c>
      <c r="G43" s="23">
        <f>IFERROR(INDEX(Population_by_Province_Year!$B$5:$J$29,MATCH($A43,Population_by_Province_Year!$A$5:$A$29,0),MATCH($B43,Population_by_Province_Year!$B$4:$J$4,0)),"")</f>
        <v>917685</v>
      </c>
      <c r="H43" s="22">
        <f>IFERROR(D43/G43*100000,"")</f>
        <v>1.0896985349003199</v>
      </c>
    </row>
    <row r="44" spans="1:8" ht="15" customHeight="1" x14ac:dyDescent="0.3">
      <c r="A44" s="20" t="s">
        <v>27</v>
      </c>
      <c r="B44" s="20">
        <v>2018</v>
      </c>
      <c r="C44" s="20" t="s">
        <v>99</v>
      </c>
      <c r="D44" s="20">
        <v>7</v>
      </c>
      <c r="E44" s="20">
        <v>0</v>
      </c>
      <c r="F44" s="22">
        <f>IFERROR(E44/D44*100,"")</f>
        <v>0</v>
      </c>
      <c r="G44" s="23">
        <f>IFERROR(INDEX(Population_by_Province_Year!$B$5:$J$29,MATCH($A44,Population_by_Province_Year!$A$5:$A$29,0),MATCH($B44,Population_by_Province_Year!$B$4:$J$4,0)),"")</f>
        <v>791301</v>
      </c>
      <c r="H44" s="22">
        <f>IFERROR(D44/G44*100000,"")</f>
        <v>0.88461912723476899</v>
      </c>
    </row>
    <row r="45" spans="1:8" ht="15" customHeight="1" x14ac:dyDescent="0.3">
      <c r="A45" s="20" t="s">
        <v>3</v>
      </c>
      <c r="B45" s="20">
        <v>2018</v>
      </c>
      <c r="C45" s="20" t="s">
        <v>103</v>
      </c>
      <c r="D45" s="20">
        <v>12</v>
      </c>
      <c r="E45" s="20">
        <v>0</v>
      </c>
      <c r="F45" s="22">
        <f>IFERROR(E45/D45*100,"")</f>
        <v>0</v>
      </c>
      <c r="G45" s="23">
        <f>IFERROR(INDEX(Population_by_Province_Year!$B$5:$J$29,MATCH($A45,Population_by_Province_Year!$A$5:$A$29,0),MATCH($B45,Population_by_Province_Year!$B$4:$J$4,0)),"")</f>
        <v>877925</v>
      </c>
      <c r="H45" s="22">
        <f>IFERROR(D45/G45*100000,"")</f>
        <v>1.3668593558675286</v>
      </c>
    </row>
    <row r="46" spans="1:8" ht="15" customHeight="1" x14ac:dyDescent="0.3">
      <c r="A46" s="20" t="s">
        <v>4</v>
      </c>
      <c r="B46" s="20">
        <v>2018</v>
      </c>
      <c r="C46" s="20" t="s">
        <v>103</v>
      </c>
      <c r="D46" s="20">
        <v>6</v>
      </c>
      <c r="E46" s="20">
        <v>0</v>
      </c>
      <c r="F46" s="22">
        <f>IFERROR(E46/D46*100,"")</f>
        <v>0</v>
      </c>
      <c r="G46" s="23">
        <f>IFERROR(INDEX(Population_by_Province_Year!$B$5:$J$29,MATCH($A46,Population_by_Province_Year!$A$5:$A$29,0),MATCH($B46,Population_by_Province_Year!$B$4:$J$4,0)),"")</f>
        <v>1015729</v>
      </c>
      <c r="H46" s="22">
        <f>IFERROR(D46/G46*100000,"")</f>
        <v>0.59070874219403013</v>
      </c>
    </row>
    <row r="47" spans="1:8" ht="15" customHeight="1" x14ac:dyDescent="0.3">
      <c r="A47" s="20" t="s">
        <v>5</v>
      </c>
      <c r="B47" s="20">
        <v>2018</v>
      </c>
      <c r="C47" s="20" t="s">
        <v>103</v>
      </c>
      <c r="D47" s="20">
        <v>23</v>
      </c>
      <c r="E47" s="20">
        <v>0</v>
      </c>
      <c r="F47" s="22">
        <f>IFERROR(E47/D47*100,"")</f>
        <v>0</v>
      </c>
      <c r="G47" s="23">
        <f>IFERROR(INDEX(Population_by_Province_Year!$B$5:$J$29,MATCH($A47,Population_by_Province_Year!$A$5:$A$29,0),MATCH($B47,Population_by_Province_Year!$B$4:$J$4,0)),"")</f>
        <v>916540</v>
      </c>
      <c r="H47" s="22">
        <f>IFERROR(D47/G47*100000,"")</f>
        <v>2.5094376677504528</v>
      </c>
    </row>
    <row r="48" spans="1:8" ht="15" customHeight="1" x14ac:dyDescent="0.3">
      <c r="A48" s="20" t="s">
        <v>6</v>
      </c>
      <c r="B48" s="20">
        <v>2018</v>
      </c>
      <c r="C48" s="20" t="s">
        <v>103</v>
      </c>
      <c r="D48" s="20">
        <v>8</v>
      </c>
      <c r="E48" s="20">
        <v>1</v>
      </c>
      <c r="F48" s="22">
        <f>IFERROR(E48/D48*100,"")</f>
        <v>12.5</v>
      </c>
      <c r="G48" s="23">
        <f>IFERROR(INDEX(Population_by_Province_Year!$B$5:$J$29,MATCH($A48,Population_by_Province_Year!$A$5:$A$29,0),MATCH($B48,Population_by_Province_Year!$B$4:$J$4,0)),"")</f>
        <v>536836</v>
      </c>
      <c r="H48" s="22">
        <f>IFERROR(D48/G48*100000,"")</f>
        <v>1.4902130259520598</v>
      </c>
    </row>
    <row r="49" spans="1:8" ht="15" customHeight="1" x14ac:dyDescent="0.3">
      <c r="A49" s="20" t="s">
        <v>7</v>
      </c>
      <c r="B49" s="20">
        <v>2018</v>
      </c>
      <c r="C49" s="20" t="s">
        <v>103</v>
      </c>
      <c r="D49" s="20">
        <v>8</v>
      </c>
      <c r="E49" s="20">
        <v>0</v>
      </c>
      <c r="F49" s="22">
        <f>IFERROR(E49/D49*100,"")</f>
        <v>0</v>
      </c>
      <c r="G49" s="23">
        <f>IFERROR(INDEX(Population_by_Province_Year!$B$5:$J$29,MATCH($A49,Population_by_Province_Year!$A$5:$A$29,0),MATCH($B49,Population_by_Province_Year!$B$4:$J$4,0)),"")</f>
        <v>893858</v>
      </c>
      <c r="H49" s="22">
        <f>IFERROR(D49/G49*100000,"")</f>
        <v>0.89499674444934207</v>
      </c>
    </row>
    <row r="50" spans="1:8" ht="15" customHeight="1" x14ac:dyDescent="0.3">
      <c r="A50" s="20" t="s">
        <v>8</v>
      </c>
      <c r="B50" s="20">
        <v>2018</v>
      </c>
      <c r="C50" s="20" t="s">
        <v>103</v>
      </c>
      <c r="D50" s="20">
        <v>29</v>
      </c>
      <c r="E50" s="20">
        <v>0</v>
      </c>
      <c r="F50" s="22">
        <f>IFERROR(E50/D50*100,"")</f>
        <v>0</v>
      </c>
      <c r="G50" s="23">
        <f>IFERROR(INDEX(Population_by_Province_Year!$B$5:$J$29,MATCH($A50,Population_by_Province_Year!$A$5:$A$29,0),MATCH($B50,Population_by_Province_Year!$B$4:$J$4,0)),"")</f>
        <v>694235</v>
      </c>
      <c r="H50" s="22">
        <f>IFERROR(D50/G50*100000,"")</f>
        <v>4.1772598615742504</v>
      </c>
    </row>
    <row r="51" spans="1:8" ht="15" customHeight="1" x14ac:dyDescent="0.3">
      <c r="A51" s="20" t="s">
        <v>9</v>
      </c>
      <c r="B51" s="20">
        <v>2018</v>
      </c>
      <c r="C51" s="20" t="s">
        <v>103</v>
      </c>
      <c r="D51" s="20">
        <v>5</v>
      </c>
      <c r="E51" s="20">
        <v>0</v>
      </c>
      <c r="F51" s="22">
        <f>IFERROR(E51/D51*100,"")</f>
        <v>0</v>
      </c>
      <c r="G51" s="23">
        <f>IFERROR(INDEX(Population_by_Province_Year!$B$5:$J$29,MATCH($A51,Population_by_Province_Year!$A$5:$A$29,0),MATCH($B51,Population_by_Province_Year!$B$4:$J$4,0)),"")</f>
        <v>604881</v>
      </c>
      <c r="H51" s="22">
        <f>IFERROR(D51/G51*100000,"")</f>
        <v>0.82660887017446405</v>
      </c>
    </row>
    <row r="52" spans="1:8" ht="15" customHeight="1" x14ac:dyDescent="0.3">
      <c r="A52" s="20" t="s">
        <v>10</v>
      </c>
      <c r="B52" s="20">
        <v>2018</v>
      </c>
      <c r="C52" s="20" t="s">
        <v>103</v>
      </c>
      <c r="D52" s="20">
        <v>54</v>
      </c>
      <c r="E52" s="20">
        <v>0</v>
      </c>
      <c r="F52" s="22">
        <f>IFERROR(E52/D52*100,"")</f>
        <v>0</v>
      </c>
      <c r="G52" s="23">
        <f>IFERROR(INDEX(Population_by_Province_Year!$B$5:$J$29,MATCH($A52,Population_by_Province_Year!$A$5:$A$29,0),MATCH($B52,Population_by_Province_Year!$B$4:$J$4,0)),"")</f>
        <v>1223947</v>
      </c>
      <c r="H52" s="22">
        <f>IFERROR(D52/G52*100000,"")</f>
        <v>4.4119557464498058</v>
      </c>
    </row>
    <row r="53" spans="1:8" ht="15" customHeight="1" x14ac:dyDescent="0.3">
      <c r="A53" s="20" t="s">
        <v>11</v>
      </c>
      <c r="B53" s="20">
        <v>2018</v>
      </c>
      <c r="C53" s="20" t="s">
        <v>103</v>
      </c>
      <c r="D53" s="20">
        <v>2</v>
      </c>
      <c r="E53" s="20">
        <v>0</v>
      </c>
      <c r="F53" s="22">
        <f>IFERROR(E53/D53*100,"")</f>
        <v>0</v>
      </c>
      <c r="G53" s="23">
        <f>IFERROR(INDEX(Population_by_Province_Year!$B$5:$J$29,MATCH($A53,Population_by_Province_Year!$A$5:$A$29,0),MATCH($B53,Population_by_Province_Year!$B$4:$J$4,0)),"")</f>
        <v>43459</v>
      </c>
      <c r="H53" s="22">
        <f>IFERROR(D53/G53*100000,"")</f>
        <v>4.6020387031454932</v>
      </c>
    </row>
    <row r="54" spans="1:8" ht="15" customHeight="1" x14ac:dyDescent="0.3">
      <c r="A54" s="20" t="s">
        <v>13</v>
      </c>
      <c r="B54" s="20">
        <v>2018</v>
      </c>
      <c r="C54" s="20" t="s">
        <v>103</v>
      </c>
      <c r="D54" s="20">
        <v>2</v>
      </c>
      <c r="E54" s="20">
        <v>1</v>
      </c>
      <c r="F54" s="22">
        <f>IFERROR(E54/D54*100,"")</f>
        <v>50</v>
      </c>
      <c r="G54" s="23">
        <f>IFERROR(INDEX(Population_by_Province_Year!$B$5:$J$29,MATCH($A54,Population_by_Province_Year!$A$5:$A$29,0),MATCH($B54,Population_by_Province_Year!$B$4:$J$4,0)),"")</f>
        <v>381732</v>
      </c>
      <c r="H54" s="22">
        <f>IFERROR(D54/G54*100000,"")</f>
        <v>0.52392778179455746</v>
      </c>
    </row>
    <row r="55" spans="1:8" ht="15" customHeight="1" x14ac:dyDescent="0.3">
      <c r="A55" s="20" t="s">
        <v>15</v>
      </c>
      <c r="B55" s="20">
        <v>2018</v>
      </c>
      <c r="C55" s="20" t="s">
        <v>103</v>
      </c>
      <c r="D55" s="20">
        <v>5</v>
      </c>
      <c r="E55" s="20">
        <v>0</v>
      </c>
      <c r="F55" s="22">
        <f>IFERROR(E55/D55*100,"")</f>
        <v>0</v>
      </c>
      <c r="G55" s="23">
        <f>IFERROR(INDEX(Population_by_Province_Year!$B$5:$J$29,MATCH($A55,Population_by_Province_Year!$A$5:$A$29,0),MATCH($B55,Population_by_Province_Year!$B$4:$J$4,0)),"")</f>
        <v>281177</v>
      </c>
      <c r="H55" s="22">
        <f>IFERROR(D55/G55*100000,"")</f>
        <v>1.7782393296749024</v>
      </c>
    </row>
    <row r="56" spans="1:8" ht="15" customHeight="1" x14ac:dyDescent="0.3">
      <c r="A56" s="20" t="s">
        <v>17</v>
      </c>
      <c r="B56" s="20">
        <v>2018</v>
      </c>
      <c r="C56" s="20" t="s">
        <v>103</v>
      </c>
      <c r="D56" s="20">
        <v>174</v>
      </c>
      <c r="E56" s="20">
        <v>0</v>
      </c>
      <c r="F56" s="22">
        <f>IFERROR(E56/D56*100,"")</f>
        <v>0</v>
      </c>
      <c r="G56" s="23">
        <f>IFERROR(INDEX(Population_by_Province_Year!$B$5:$J$29,MATCH($A56,Population_by_Province_Year!$A$5:$A$29,0),MATCH($B56,Population_by_Province_Year!$B$4:$J$4,0)),"")</f>
        <v>2324424</v>
      </c>
      <c r="H56" s="22">
        <f>IFERROR(D56/G56*100000,"")</f>
        <v>7.4857254958647816</v>
      </c>
    </row>
    <row r="57" spans="1:8" ht="15" customHeight="1" x14ac:dyDescent="0.3">
      <c r="A57" s="20" t="s">
        <v>18</v>
      </c>
      <c r="B57" s="20">
        <v>2018</v>
      </c>
      <c r="C57" s="20" t="s">
        <v>103</v>
      </c>
      <c r="D57" s="20">
        <v>7</v>
      </c>
      <c r="E57" s="20">
        <v>0</v>
      </c>
      <c r="F57" s="22">
        <f>IFERROR(E57/D57*100,"")</f>
        <v>0</v>
      </c>
      <c r="G57" s="23">
        <f>IFERROR(INDEX(Population_by_Province_Year!$B$5:$J$29,MATCH($A57,Population_by_Province_Year!$A$5:$A$29,0),MATCH($B57,Population_by_Province_Year!$B$4:$J$4,0)),"")</f>
        <v>315842</v>
      </c>
      <c r="H57" s="22">
        <f>IFERROR(D57/G57*100000,"")</f>
        <v>2.2162980224289361</v>
      </c>
    </row>
    <row r="58" spans="1:8" ht="15" customHeight="1" x14ac:dyDescent="0.3">
      <c r="A58" s="20" t="s">
        <v>19</v>
      </c>
      <c r="B58" s="20">
        <v>2018</v>
      </c>
      <c r="C58" s="20" t="s">
        <v>103</v>
      </c>
      <c r="D58" s="20">
        <v>2</v>
      </c>
      <c r="E58" s="20">
        <v>0</v>
      </c>
      <c r="F58" s="22">
        <f>IFERROR(E58/D58*100,"")</f>
        <v>0</v>
      </c>
      <c r="G58" s="23">
        <f>IFERROR(INDEX(Population_by_Province_Year!$B$5:$J$29,MATCH($A58,Population_by_Province_Year!$A$5:$A$29,0),MATCH($B58,Population_by_Province_Year!$B$4:$J$4,0)),"")</f>
        <v>259570</v>
      </c>
      <c r="H58" s="22">
        <f>IFERROR(D58/G58*100000,"")</f>
        <v>0.77050506607080949</v>
      </c>
    </row>
    <row r="59" spans="1:8" ht="15" customHeight="1" x14ac:dyDescent="0.3">
      <c r="A59" s="20" t="s">
        <v>20</v>
      </c>
      <c r="B59" s="20">
        <v>2018</v>
      </c>
      <c r="C59" s="20" t="s">
        <v>103</v>
      </c>
      <c r="D59" s="20">
        <v>18</v>
      </c>
      <c r="E59" s="20">
        <v>0</v>
      </c>
      <c r="F59" s="22">
        <f>IFERROR(E59/D59*100,"")</f>
        <v>0</v>
      </c>
      <c r="G59" s="23">
        <f>IFERROR(INDEX(Population_by_Province_Year!$B$5:$J$29,MATCH($A59,Population_by_Province_Year!$A$5:$A$29,0),MATCH($B59,Population_by_Province_Year!$B$4:$J$4,0)),"")</f>
        <v>1077407</v>
      </c>
      <c r="H59" s="22">
        <f>IFERROR(D59/G59*100000,"")</f>
        <v>1.6706778404075713</v>
      </c>
    </row>
    <row r="60" spans="1:8" ht="15" customHeight="1" x14ac:dyDescent="0.3">
      <c r="A60" s="20" t="s">
        <v>21</v>
      </c>
      <c r="B60" s="20">
        <v>2018</v>
      </c>
      <c r="C60" s="20" t="s">
        <v>103</v>
      </c>
      <c r="D60" s="20">
        <v>3</v>
      </c>
      <c r="E60" s="20">
        <v>0</v>
      </c>
      <c r="F60" s="22">
        <f>IFERROR(E60/D60*100,"")</f>
        <v>0</v>
      </c>
      <c r="G60" s="23">
        <f>IFERROR(INDEX(Population_by_Province_Year!$B$5:$J$29,MATCH($A60,Population_by_Province_Year!$A$5:$A$29,0),MATCH($B60,Population_by_Province_Year!$B$4:$J$4,0)),"")</f>
        <v>427768</v>
      </c>
      <c r="H60" s="22">
        <f>IFERROR(D60/G60*100000,"")</f>
        <v>0.70131473134970357</v>
      </c>
    </row>
    <row r="61" spans="1:8" ht="15" customHeight="1" x14ac:dyDescent="0.3">
      <c r="A61" s="20" t="s">
        <v>23</v>
      </c>
      <c r="B61" s="20">
        <v>2018</v>
      </c>
      <c r="C61" s="20" t="s">
        <v>103</v>
      </c>
      <c r="D61" s="20">
        <v>26</v>
      </c>
      <c r="E61" s="20">
        <v>0</v>
      </c>
      <c r="F61" s="22">
        <f>IFERROR(E61/D61*100,"")</f>
        <v>0</v>
      </c>
      <c r="G61" s="23">
        <f>IFERROR(INDEX(Population_by_Province_Year!$B$5:$J$29,MATCH($A61,Population_by_Province_Year!$A$5:$A$29,0),MATCH($B61,Population_by_Province_Year!$B$4:$J$4,0)),"")</f>
        <v>1033114</v>
      </c>
      <c r="H61" s="22">
        <f>IFERROR(D61/G61*100000,"")</f>
        <v>2.5166632143209751</v>
      </c>
    </row>
    <row r="62" spans="1:8" ht="15" customHeight="1" x14ac:dyDescent="0.3">
      <c r="A62" s="20" t="s">
        <v>24</v>
      </c>
      <c r="B62" s="20">
        <v>2018</v>
      </c>
      <c r="C62" s="20" t="s">
        <v>103</v>
      </c>
      <c r="D62" s="20">
        <v>2</v>
      </c>
      <c r="E62" s="20">
        <v>0</v>
      </c>
      <c r="F62" s="22">
        <f>IFERROR(E62/D62*100,"")</f>
        <v>0</v>
      </c>
      <c r="G62" s="23">
        <f>IFERROR(INDEX(Population_by_Province_Year!$B$5:$J$29,MATCH($A62,Population_by_Province_Year!$A$5:$A$29,0),MATCH($B62,Population_by_Province_Year!$B$4:$J$4,0)),"")</f>
        <v>168798</v>
      </c>
      <c r="H62" s="22">
        <f>IFERROR(D62/G62*100000,"")</f>
        <v>1.1848481617080771</v>
      </c>
    </row>
    <row r="63" spans="1:8" ht="15" customHeight="1" x14ac:dyDescent="0.3">
      <c r="A63" s="20" t="s">
        <v>25</v>
      </c>
      <c r="B63" s="20">
        <v>2018</v>
      </c>
      <c r="C63" s="20" t="s">
        <v>103</v>
      </c>
      <c r="D63" s="20">
        <v>1</v>
      </c>
      <c r="E63" s="20">
        <v>0</v>
      </c>
      <c r="F63" s="22">
        <f>IFERROR(E63/D63*100,"")</f>
        <v>0</v>
      </c>
      <c r="G63" s="23">
        <f>IFERROR(INDEX(Population_by_Province_Year!$B$5:$J$29,MATCH($A63,Population_by_Province_Year!$A$5:$A$29,0),MATCH($B63,Population_by_Province_Year!$B$4:$J$4,0)),"")</f>
        <v>535277</v>
      </c>
      <c r="H63" s="22">
        <f>IFERROR(D63/G63*100000,"")</f>
        <v>0.18681916092042064</v>
      </c>
    </row>
    <row r="64" spans="1:8" ht="15" customHeight="1" x14ac:dyDescent="0.3">
      <c r="A64" s="20" t="s">
        <v>26</v>
      </c>
      <c r="B64" s="20">
        <v>2018</v>
      </c>
      <c r="C64" s="20" t="s">
        <v>103</v>
      </c>
      <c r="D64" s="20">
        <v>5</v>
      </c>
      <c r="E64" s="20">
        <v>0</v>
      </c>
      <c r="F64" s="22">
        <f>IFERROR(E64/D64*100,"")</f>
        <v>0</v>
      </c>
      <c r="G64" s="23">
        <f>IFERROR(INDEX(Population_by_Province_Year!$B$5:$J$29,MATCH($A64,Population_by_Province_Year!$A$5:$A$29,0),MATCH($B64,Population_by_Province_Year!$B$4:$J$4,0)),"")</f>
        <v>917685</v>
      </c>
      <c r="H64" s="22">
        <f>IFERROR(D64/G64*100000,"")</f>
        <v>0.54484926745015994</v>
      </c>
    </row>
    <row r="65" spans="1:8" ht="15" customHeight="1" x14ac:dyDescent="0.3">
      <c r="A65" s="20" t="s">
        <v>27</v>
      </c>
      <c r="B65" s="20">
        <v>2018</v>
      </c>
      <c r="C65" s="20" t="s">
        <v>103</v>
      </c>
      <c r="D65" s="20">
        <v>7</v>
      </c>
      <c r="E65" s="20">
        <v>0</v>
      </c>
      <c r="F65" s="22">
        <f>IFERROR(E65/D65*100,"")</f>
        <v>0</v>
      </c>
      <c r="G65" s="23">
        <f>IFERROR(INDEX(Population_by_Province_Year!$B$5:$J$29,MATCH($A65,Population_by_Province_Year!$A$5:$A$29,0),MATCH($B65,Population_by_Province_Year!$B$4:$J$4,0)),"")</f>
        <v>791301</v>
      </c>
      <c r="H65" s="22">
        <f>IFERROR(D65/G65*100000,"")</f>
        <v>0.88461912723476899</v>
      </c>
    </row>
    <row r="66" spans="1:8" ht="15" customHeight="1" x14ac:dyDescent="0.3">
      <c r="A66" s="20" t="s">
        <v>3</v>
      </c>
      <c r="B66" s="20">
        <v>2018</v>
      </c>
      <c r="C66" s="20" t="s">
        <v>96</v>
      </c>
      <c r="D66" s="20">
        <v>13</v>
      </c>
      <c r="E66" s="20">
        <v>0</v>
      </c>
      <c r="F66" s="22">
        <f>IFERROR(E66/D66*100,"")</f>
        <v>0</v>
      </c>
      <c r="G66" s="23">
        <f>IFERROR(INDEX(Population_by_Province_Year!$B$5:$J$29,MATCH($A66,Population_by_Province_Year!$A$5:$A$29,0),MATCH($B66,Population_by_Province_Year!$B$4:$J$4,0)),"")</f>
        <v>877925</v>
      </c>
      <c r="H66" s="22">
        <f>IFERROR(D66/G66*100000,"")</f>
        <v>1.4807643021898225</v>
      </c>
    </row>
    <row r="67" spans="1:8" ht="15" customHeight="1" x14ac:dyDescent="0.3">
      <c r="A67" s="20" t="s">
        <v>4</v>
      </c>
      <c r="B67" s="20">
        <v>2018</v>
      </c>
      <c r="C67" s="20" t="s">
        <v>96</v>
      </c>
      <c r="D67" s="20">
        <v>8</v>
      </c>
      <c r="E67" s="20">
        <v>0</v>
      </c>
      <c r="F67" s="22">
        <f>IFERROR(E67/D67*100,"")</f>
        <v>0</v>
      </c>
      <c r="G67" s="23">
        <f>IFERROR(INDEX(Population_by_Province_Year!$B$5:$J$29,MATCH($A67,Population_by_Province_Year!$A$5:$A$29,0),MATCH($B67,Population_by_Province_Year!$B$4:$J$4,0)),"")</f>
        <v>1015729</v>
      </c>
      <c r="H67" s="22">
        <f>IFERROR(D67/G67*100000,"")</f>
        <v>0.78761165625870688</v>
      </c>
    </row>
    <row r="68" spans="1:8" ht="15" customHeight="1" x14ac:dyDescent="0.3">
      <c r="A68" s="20" t="s">
        <v>5</v>
      </c>
      <c r="B68" s="20">
        <v>2018</v>
      </c>
      <c r="C68" s="20" t="s">
        <v>96</v>
      </c>
      <c r="D68" s="20">
        <v>33</v>
      </c>
      <c r="E68" s="20">
        <v>0</v>
      </c>
      <c r="F68" s="22">
        <f>IFERROR(E68/D68*100,"")</f>
        <v>0</v>
      </c>
      <c r="G68" s="23">
        <f>IFERROR(INDEX(Population_by_Province_Year!$B$5:$J$29,MATCH($A68,Population_by_Province_Year!$A$5:$A$29,0),MATCH($B68,Population_by_Province_Year!$B$4:$J$4,0)),"")</f>
        <v>916540</v>
      </c>
      <c r="H68" s="22">
        <f>IFERROR(D68/G68*100000,"")</f>
        <v>3.6004975232941279</v>
      </c>
    </row>
    <row r="69" spans="1:8" ht="15" customHeight="1" x14ac:dyDescent="0.3">
      <c r="A69" s="20" t="s">
        <v>6</v>
      </c>
      <c r="B69" s="20">
        <v>2018</v>
      </c>
      <c r="C69" s="20" t="s">
        <v>96</v>
      </c>
      <c r="D69" s="20">
        <v>25</v>
      </c>
      <c r="E69" s="20">
        <v>0</v>
      </c>
      <c r="F69" s="22">
        <f>IFERROR(E69/D69*100,"")</f>
        <v>0</v>
      </c>
      <c r="G69" s="23">
        <f>IFERROR(INDEX(Population_by_Province_Year!$B$5:$J$29,MATCH($A69,Population_by_Province_Year!$A$5:$A$29,0),MATCH($B69,Population_by_Province_Year!$B$4:$J$4,0)),"")</f>
        <v>536836</v>
      </c>
      <c r="H69" s="22">
        <f>IFERROR(D69/G69*100000,"")</f>
        <v>4.6569157061001869</v>
      </c>
    </row>
    <row r="70" spans="1:8" ht="15" customHeight="1" x14ac:dyDescent="0.3">
      <c r="A70" s="20" t="s">
        <v>7</v>
      </c>
      <c r="B70" s="20">
        <v>2018</v>
      </c>
      <c r="C70" s="20" t="s">
        <v>96</v>
      </c>
      <c r="D70" s="20">
        <v>23</v>
      </c>
      <c r="E70" s="20">
        <v>0</v>
      </c>
      <c r="F70" s="22">
        <f>IFERROR(E70/D70*100,"")</f>
        <v>0</v>
      </c>
      <c r="G70" s="23">
        <f>IFERROR(INDEX(Population_by_Province_Year!$B$5:$J$29,MATCH($A70,Population_by_Province_Year!$A$5:$A$29,0),MATCH($B70,Population_by_Province_Year!$B$4:$J$4,0)),"")</f>
        <v>893858</v>
      </c>
      <c r="H70" s="22">
        <f>IFERROR(D70/G70*100000,"")</f>
        <v>2.5731156402918587</v>
      </c>
    </row>
    <row r="71" spans="1:8" ht="15" customHeight="1" x14ac:dyDescent="0.3">
      <c r="A71" s="20" t="s">
        <v>8</v>
      </c>
      <c r="B71" s="20">
        <v>2018</v>
      </c>
      <c r="C71" s="20" t="s">
        <v>96</v>
      </c>
      <c r="D71" s="20">
        <v>20</v>
      </c>
      <c r="E71" s="20">
        <v>0</v>
      </c>
      <c r="F71" s="22">
        <f>IFERROR(E71/D71*100,"")</f>
        <v>0</v>
      </c>
      <c r="G71" s="23">
        <f>IFERROR(INDEX(Population_by_Province_Year!$B$5:$J$29,MATCH($A71,Population_by_Province_Year!$A$5:$A$29,0),MATCH($B71,Population_by_Province_Year!$B$4:$J$4,0)),"")</f>
        <v>694235</v>
      </c>
      <c r="H71" s="22">
        <f>IFERROR(D71/G71*100000,"")</f>
        <v>2.8808688700512075</v>
      </c>
    </row>
    <row r="72" spans="1:8" ht="15" customHeight="1" x14ac:dyDescent="0.3">
      <c r="A72" s="20" t="s">
        <v>9</v>
      </c>
      <c r="B72" s="20">
        <v>2018</v>
      </c>
      <c r="C72" s="20" t="s">
        <v>96</v>
      </c>
      <c r="D72" s="20">
        <v>8</v>
      </c>
      <c r="E72" s="20">
        <v>0</v>
      </c>
      <c r="F72" s="22">
        <f>IFERROR(E72/D72*100,"")</f>
        <v>0</v>
      </c>
      <c r="G72" s="23">
        <f>IFERROR(INDEX(Population_by_Province_Year!$B$5:$J$29,MATCH($A72,Population_by_Province_Year!$A$5:$A$29,0),MATCH($B72,Population_by_Province_Year!$B$4:$J$4,0)),"")</f>
        <v>604881</v>
      </c>
      <c r="H72" s="22">
        <f>IFERROR(D72/G72*100000,"")</f>
        <v>1.3225741922791425</v>
      </c>
    </row>
    <row r="73" spans="1:8" ht="15" customHeight="1" x14ac:dyDescent="0.3">
      <c r="A73" s="20" t="s">
        <v>10</v>
      </c>
      <c r="B73" s="20">
        <v>2018</v>
      </c>
      <c r="C73" s="20" t="s">
        <v>96</v>
      </c>
      <c r="D73" s="20">
        <v>67</v>
      </c>
      <c r="E73" s="20">
        <v>0</v>
      </c>
      <c r="F73" s="22">
        <f>IFERROR(E73/D73*100,"")</f>
        <v>0</v>
      </c>
      <c r="G73" s="23">
        <f>IFERROR(INDEX(Population_by_Province_Year!$B$5:$J$29,MATCH($A73,Population_by_Province_Year!$A$5:$A$29,0),MATCH($B73,Population_by_Province_Year!$B$4:$J$4,0)),"")</f>
        <v>1223947</v>
      </c>
      <c r="H73" s="22">
        <f>IFERROR(D73/G73*100000,"")</f>
        <v>5.474093240965499</v>
      </c>
    </row>
    <row r="74" spans="1:8" ht="15" customHeight="1" x14ac:dyDescent="0.3">
      <c r="A74" s="20" t="s">
        <v>11</v>
      </c>
      <c r="B74" s="20">
        <v>2018</v>
      </c>
      <c r="C74" s="20" t="s">
        <v>96</v>
      </c>
      <c r="D74" s="20">
        <v>2</v>
      </c>
      <c r="E74" s="20">
        <v>0</v>
      </c>
      <c r="F74" s="22">
        <f>IFERROR(E74/D74*100,"")</f>
        <v>0</v>
      </c>
      <c r="G74" s="23">
        <f>IFERROR(INDEX(Population_by_Province_Year!$B$5:$J$29,MATCH($A74,Population_by_Province_Year!$A$5:$A$29,0),MATCH($B74,Population_by_Province_Year!$B$4:$J$4,0)),"")</f>
        <v>43459</v>
      </c>
      <c r="H74" s="22">
        <f>IFERROR(D74/G74*100000,"")</f>
        <v>4.6020387031454932</v>
      </c>
    </row>
    <row r="75" spans="1:8" ht="15" customHeight="1" x14ac:dyDescent="0.3">
      <c r="A75" s="20" t="s">
        <v>12</v>
      </c>
      <c r="B75" s="20">
        <v>2018</v>
      </c>
      <c r="C75" s="20" t="s">
        <v>96</v>
      </c>
      <c r="D75" s="20">
        <v>4</v>
      </c>
      <c r="E75" s="20">
        <v>0</v>
      </c>
      <c r="F75" s="22">
        <f>IFERROR(E75/D75*100,"")</f>
        <v>0</v>
      </c>
      <c r="G75" s="23">
        <f>IFERROR(INDEX(Population_by_Province_Year!$B$5:$J$29,MATCH($A75,Population_by_Province_Year!$A$5:$A$29,0),MATCH($B75,Population_by_Province_Year!$B$4:$J$4,0)),"")</f>
        <v>128245</v>
      </c>
      <c r="H75" s="22">
        <f>IFERROR(D75/G75*100000,"")</f>
        <v>3.1190299816756992</v>
      </c>
    </row>
    <row r="76" spans="1:8" ht="15" customHeight="1" x14ac:dyDescent="0.3">
      <c r="A76" s="20" t="s">
        <v>13</v>
      </c>
      <c r="B76" s="20">
        <v>2018</v>
      </c>
      <c r="C76" s="20" t="s">
        <v>96</v>
      </c>
      <c r="D76" s="20">
        <v>21</v>
      </c>
      <c r="E76" s="20">
        <v>1</v>
      </c>
      <c r="F76" s="22">
        <f>IFERROR(E76/D76*100,"")</f>
        <v>4.7619047619047619</v>
      </c>
      <c r="G76" s="23">
        <f>IFERROR(INDEX(Population_by_Province_Year!$B$5:$J$29,MATCH($A76,Population_by_Province_Year!$A$5:$A$29,0),MATCH($B76,Population_by_Province_Year!$B$4:$J$4,0)),"")</f>
        <v>381732</v>
      </c>
      <c r="H76" s="22">
        <f>IFERROR(D76/G76*100000,"")</f>
        <v>5.5012417088428531</v>
      </c>
    </row>
    <row r="77" spans="1:8" ht="15" customHeight="1" x14ac:dyDescent="0.3">
      <c r="A77" s="20" t="s">
        <v>15</v>
      </c>
      <c r="B77" s="20">
        <v>2018</v>
      </c>
      <c r="C77" s="20" t="s">
        <v>96</v>
      </c>
      <c r="D77" s="20">
        <v>11</v>
      </c>
      <c r="E77" s="20">
        <v>0</v>
      </c>
      <c r="F77" s="22">
        <f>IFERROR(E77/D77*100,"")</f>
        <v>0</v>
      </c>
      <c r="G77" s="23">
        <f>IFERROR(INDEX(Population_by_Province_Year!$B$5:$J$29,MATCH($A77,Population_by_Province_Year!$A$5:$A$29,0),MATCH($B77,Population_by_Province_Year!$B$4:$J$4,0)),"")</f>
        <v>281177</v>
      </c>
      <c r="H77" s="22">
        <f>IFERROR(D77/G77*100000,"")</f>
        <v>3.9121265252847852</v>
      </c>
    </row>
    <row r="78" spans="1:8" ht="15" customHeight="1" x14ac:dyDescent="0.3">
      <c r="A78" s="20" t="s">
        <v>17</v>
      </c>
      <c r="B78" s="20">
        <v>2018</v>
      </c>
      <c r="C78" s="20" t="s">
        <v>96</v>
      </c>
      <c r="D78" s="20">
        <v>168</v>
      </c>
      <c r="E78" s="20">
        <v>0</v>
      </c>
      <c r="F78" s="22">
        <f>IFERROR(E78/D78*100,"")</f>
        <v>0</v>
      </c>
      <c r="G78" s="23">
        <f>IFERROR(INDEX(Population_by_Province_Year!$B$5:$J$29,MATCH($A78,Population_by_Province_Year!$A$5:$A$29,0),MATCH($B78,Population_by_Province_Year!$B$4:$J$4,0)),"")</f>
        <v>2324424</v>
      </c>
      <c r="H78" s="22">
        <f>IFERROR(D78/G78*100000,"")</f>
        <v>7.2275970304901351</v>
      </c>
    </row>
    <row r="79" spans="1:8" ht="15" customHeight="1" x14ac:dyDescent="0.3">
      <c r="A79" s="20" t="s">
        <v>18</v>
      </c>
      <c r="B79" s="20">
        <v>2018</v>
      </c>
      <c r="C79" s="20" t="s">
        <v>96</v>
      </c>
      <c r="D79" s="20">
        <v>6</v>
      </c>
      <c r="E79" s="20">
        <v>0</v>
      </c>
      <c r="F79" s="22">
        <f>IFERROR(E79/D79*100,"")</f>
        <v>0</v>
      </c>
      <c r="G79" s="23">
        <f>IFERROR(INDEX(Population_by_Province_Year!$B$5:$J$29,MATCH($A79,Population_by_Province_Year!$A$5:$A$29,0),MATCH($B79,Population_by_Province_Year!$B$4:$J$4,0)),"")</f>
        <v>315842</v>
      </c>
      <c r="H79" s="22">
        <f>IFERROR(D79/G79*100000,"")</f>
        <v>1.8996840192248021</v>
      </c>
    </row>
    <row r="80" spans="1:8" ht="15" customHeight="1" x14ac:dyDescent="0.3">
      <c r="A80" s="20" t="s">
        <v>19</v>
      </c>
      <c r="B80" s="20">
        <v>2018</v>
      </c>
      <c r="C80" s="20" t="s">
        <v>96</v>
      </c>
      <c r="D80" s="20">
        <v>3</v>
      </c>
      <c r="E80" s="20">
        <v>0</v>
      </c>
      <c r="F80" s="22">
        <f>IFERROR(E80/D80*100,"")</f>
        <v>0</v>
      </c>
      <c r="G80" s="23">
        <f>IFERROR(INDEX(Population_by_Province_Year!$B$5:$J$29,MATCH($A80,Population_by_Province_Year!$A$5:$A$29,0),MATCH($B80,Population_by_Province_Year!$B$4:$J$4,0)),"")</f>
        <v>259570</v>
      </c>
      <c r="H80" s="22">
        <f>IFERROR(D80/G80*100000,"")</f>
        <v>1.1557575991062141</v>
      </c>
    </row>
    <row r="81" spans="1:8" ht="15" customHeight="1" x14ac:dyDescent="0.3">
      <c r="A81" s="20" t="s">
        <v>20</v>
      </c>
      <c r="B81" s="20">
        <v>2018</v>
      </c>
      <c r="C81" s="20" t="s">
        <v>96</v>
      </c>
      <c r="D81" s="20">
        <v>21</v>
      </c>
      <c r="E81" s="20">
        <v>0</v>
      </c>
      <c r="F81" s="22">
        <f>IFERROR(E81/D81*100,"")</f>
        <v>0</v>
      </c>
      <c r="G81" s="23">
        <f>IFERROR(INDEX(Population_by_Province_Year!$B$5:$J$29,MATCH($A81,Population_by_Province_Year!$A$5:$A$29,0),MATCH($B81,Population_by_Province_Year!$B$4:$J$4,0)),"")</f>
        <v>1077407</v>
      </c>
      <c r="H81" s="22">
        <f>IFERROR(D81/G81*100000,"")</f>
        <v>1.9491241471421665</v>
      </c>
    </row>
    <row r="82" spans="1:8" ht="15" customHeight="1" x14ac:dyDescent="0.3">
      <c r="A82" s="20" t="s">
        <v>22</v>
      </c>
      <c r="B82" s="20">
        <v>2018</v>
      </c>
      <c r="C82" s="20" t="s">
        <v>96</v>
      </c>
      <c r="D82" s="20">
        <v>1</v>
      </c>
      <c r="E82" s="20">
        <v>0</v>
      </c>
      <c r="F82" s="22">
        <f>IFERROR(E82/D82*100,"")</f>
        <v>0</v>
      </c>
      <c r="G82" s="23">
        <f>IFERROR(INDEX(Population_by_Province_Year!$B$5:$J$29,MATCH($A82,Population_by_Province_Year!$A$5:$A$29,0),MATCH($B82,Population_by_Province_Year!$B$4:$J$4,0)),"")</f>
        <v>221499</v>
      </c>
      <c r="H82" s="22">
        <f>IFERROR(D82/G82*100000,"")</f>
        <v>0.45146930685917319</v>
      </c>
    </row>
    <row r="83" spans="1:8" ht="15" customHeight="1" x14ac:dyDescent="0.3">
      <c r="A83" s="20" t="s">
        <v>23</v>
      </c>
      <c r="B83" s="20">
        <v>2018</v>
      </c>
      <c r="C83" s="20" t="s">
        <v>96</v>
      </c>
      <c r="D83" s="20">
        <v>27</v>
      </c>
      <c r="E83" s="20">
        <v>0</v>
      </c>
      <c r="F83" s="22">
        <f>IFERROR(E83/D83*100,"")</f>
        <v>0</v>
      </c>
      <c r="G83" s="23">
        <f>IFERROR(INDEX(Population_by_Province_Year!$B$5:$J$29,MATCH($A83,Population_by_Province_Year!$A$5:$A$29,0),MATCH($B83,Population_by_Province_Year!$B$4:$J$4,0)),"")</f>
        <v>1033114</v>
      </c>
      <c r="H83" s="22">
        <f>IFERROR(D83/G83*100000,"")</f>
        <v>2.6134579533333206</v>
      </c>
    </row>
    <row r="84" spans="1:8" ht="15" customHeight="1" x14ac:dyDescent="0.3">
      <c r="A84" s="20" t="s">
        <v>25</v>
      </c>
      <c r="B84" s="20">
        <v>2018</v>
      </c>
      <c r="C84" s="20" t="s">
        <v>96</v>
      </c>
      <c r="D84" s="20">
        <v>2</v>
      </c>
      <c r="E84" s="20">
        <v>0</v>
      </c>
      <c r="F84" s="22">
        <f>IFERROR(E84/D84*100,"")</f>
        <v>0</v>
      </c>
      <c r="G84" s="23">
        <f>IFERROR(INDEX(Population_by_Province_Year!$B$5:$J$29,MATCH($A84,Population_by_Province_Year!$A$5:$A$29,0),MATCH($B84,Population_by_Province_Year!$B$4:$J$4,0)),"")</f>
        <v>535277</v>
      </c>
      <c r="H84" s="22">
        <f>IFERROR(D84/G84*100000,"")</f>
        <v>0.37363832184084128</v>
      </c>
    </row>
    <row r="85" spans="1:8" ht="15" customHeight="1" x14ac:dyDescent="0.3">
      <c r="A85" s="20" t="s">
        <v>26</v>
      </c>
      <c r="B85" s="20">
        <v>2018</v>
      </c>
      <c r="C85" s="20" t="s">
        <v>96</v>
      </c>
      <c r="D85" s="20">
        <v>8</v>
      </c>
      <c r="E85" s="20">
        <v>0</v>
      </c>
      <c r="F85" s="22">
        <f>IFERROR(E85/D85*100,"")</f>
        <v>0</v>
      </c>
      <c r="G85" s="23">
        <f>IFERROR(INDEX(Population_by_Province_Year!$B$5:$J$29,MATCH($A85,Population_by_Province_Year!$A$5:$A$29,0),MATCH($B85,Population_by_Province_Year!$B$4:$J$4,0)),"")</f>
        <v>917685</v>
      </c>
      <c r="H85" s="22">
        <f>IFERROR(D85/G85*100000,"")</f>
        <v>0.87175882792025594</v>
      </c>
    </row>
    <row r="86" spans="1:8" ht="15" customHeight="1" x14ac:dyDescent="0.3">
      <c r="A86" s="20" t="s">
        <v>27</v>
      </c>
      <c r="B86" s="20">
        <v>2018</v>
      </c>
      <c r="C86" s="20" t="s">
        <v>96</v>
      </c>
      <c r="D86" s="20">
        <v>17</v>
      </c>
      <c r="E86" s="20">
        <v>0</v>
      </c>
      <c r="F86" s="22">
        <f>IFERROR(E86/D86*100,"")</f>
        <v>0</v>
      </c>
      <c r="G86" s="23">
        <f>IFERROR(INDEX(Population_by_Province_Year!$B$5:$J$29,MATCH($A86,Population_by_Province_Year!$A$5:$A$29,0),MATCH($B86,Population_by_Province_Year!$B$4:$J$4,0)),"")</f>
        <v>791301</v>
      </c>
      <c r="H86" s="22">
        <f>IFERROR(D86/G86*100000,"")</f>
        <v>2.1483607375701537</v>
      </c>
    </row>
    <row r="87" spans="1:8" ht="15" customHeight="1" x14ac:dyDescent="0.3">
      <c r="A87" s="20" t="s">
        <v>3</v>
      </c>
      <c r="B87" s="20">
        <v>2018</v>
      </c>
      <c r="C87" s="20" t="s">
        <v>104</v>
      </c>
      <c r="D87" s="20">
        <v>36</v>
      </c>
      <c r="E87" s="20">
        <v>0</v>
      </c>
      <c r="F87" s="22">
        <f>IFERROR(E87/D87*100,"")</f>
        <v>0</v>
      </c>
      <c r="G87" s="23">
        <f>IFERROR(INDEX(Population_by_Province_Year!$B$5:$J$29,MATCH($A87,Population_by_Province_Year!$A$5:$A$29,0),MATCH($B87,Population_by_Province_Year!$B$4:$J$4,0)),"")</f>
        <v>877925</v>
      </c>
      <c r="H87" s="22">
        <f>IFERROR(D87/G87*100000,"")</f>
        <v>4.1005780676025854</v>
      </c>
    </row>
    <row r="88" spans="1:8" ht="15" customHeight="1" x14ac:dyDescent="0.3">
      <c r="A88" s="20" t="s">
        <v>4</v>
      </c>
      <c r="B88" s="20">
        <v>2018</v>
      </c>
      <c r="C88" s="20" t="s">
        <v>104</v>
      </c>
      <c r="D88" s="20">
        <v>18</v>
      </c>
      <c r="E88" s="20">
        <v>0</v>
      </c>
      <c r="F88" s="22">
        <f>IFERROR(E88/D88*100,"")</f>
        <v>0</v>
      </c>
      <c r="G88" s="23">
        <f>IFERROR(INDEX(Population_by_Province_Year!$B$5:$J$29,MATCH($A88,Population_by_Province_Year!$A$5:$A$29,0),MATCH($B88,Population_by_Province_Year!$B$4:$J$4,0)),"")</f>
        <v>1015729</v>
      </c>
      <c r="H88" s="22">
        <f>IFERROR(D88/G88*100000,"")</f>
        <v>1.7721262265820903</v>
      </c>
    </row>
    <row r="89" spans="1:8" ht="15" customHeight="1" x14ac:dyDescent="0.3">
      <c r="A89" s="20" t="s">
        <v>5</v>
      </c>
      <c r="B89" s="20">
        <v>2018</v>
      </c>
      <c r="C89" s="20" t="s">
        <v>104</v>
      </c>
      <c r="D89" s="20">
        <v>76</v>
      </c>
      <c r="E89" s="20">
        <v>0</v>
      </c>
      <c r="F89" s="22">
        <f>IFERROR(E89/D89*100,"")</f>
        <v>0</v>
      </c>
      <c r="G89" s="23">
        <f>IFERROR(INDEX(Population_by_Province_Year!$B$5:$J$29,MATCH($A89,Population_by_Province_Year!$A$5:$A$29,0),MATCH($B89,Population_by_Province_Year!$B$4:$J$4,0)),"")</f>
        <v>916540</v>
      </c>
      <c r="H89" s="22">
        <f>IFERROR(D89/G89*100000,"")</f>
        <v>8.2920549021319303</v>
      </c>
    </row>
    <row r="90" spans="1:8" ht="15" customHeight="1" x14ac:dyDescent="0.3">
      <c r="A90" s="20" t="s">
        <v>6</v>
      </c>
      <c r="B90" s="20">
        <v>2018</v>
      </c>
      <c r="C90" s="20" t="s">
        <v>104</v>
      </c>
      <c r="D90" s="20">
        <v>124</v>
      </c>
      <c r="E90" s="20">
        <v>0</v>
      </c>
      <c r="F90" s="22">
        <f>IFERROR(E90/D90*100,"")</f>
        <v>0</v>
      </c>
      <c r="G90" s="23">
        <f>IFERROR(INDEX(Population_by_Province_Year!$B$5:$J$29,MATCH($A90,Population_by_Province_Year!$A$5:$A$29,0),MATCH($B90,Population_by_Province_Year!$B$4:$J$4,0)),"")</f>
        <v>536836</v>
      </c>
      <c r="H90" s="22">
        <f>IFERROR(D90/G90*100000,"")</f>
        <v>23.098301902256928</v>
      </c>
    </row>
    <row r="91" spans="1:8" ht="15" customHeight="1" x14ac:dyDescent="0.3">
      <c r="A91" s="20" t="s">
        <v>7</v>
      </c>
      <c r="B91" s="20">
        <v>2018</v>
      </c>
      <c r="C91" s="20" t="s">
        <v>104</v>
      </c>
      <c r="D91" s="20">
        <v>38</v>
      </c>
      <c r="E91" s="20">
        <v>0</v>
      </c>
      <c r="F91" s="22">
        <f>IFERROR(E91/D91*100,"")</f>
        <v>0</v>
      </c>
      <c r="G91" s="23">
        <f>IFERROR(INDEX(Population_by_Province_Year!$B$5:$J$29,MATCH($A91,Population_by_Province_Year!$A$5:$A$29,0),MATCH($B91,Population_by_Province_Year!$B$4:$J$4,0)),"")</f>
        <v>893858</v>
      </c>
      <c r="H91" s="22">
        <f>IFERROR(D91/G91*100000,"")</f>
        <v>4.2512345361343744</v>
      </c>
    </row>
    <row r="92" spans="1:8" ht="15" customHeight="1" x14ac:dyDescent="0.3">
      <c r="A92" s="20" t="s">
        <v>8</v>
      </c>
      <c r="B92" s="20">
        <v>2018</v>
      </c>
      <c r="C92" s="20" t="s">
        <v>104</v>
      </c>
      <c r="D92" s="20">
        <v>63</v>
      </c>
      <c r="E92" s="20">
        <v>0</v>
      </c>
      <c r="F92" s="22">
        <f>IFERROR(E92/D92*100,"")</f>
        <v>0</v>
      </c>
      <c r="G92" s="23">
        <f>IFERROR(INDEX(Population_by_Province_Year!$B$5:$J$29,MATCH($A92,Population_by_Province_Year!$A$5:$A$29,0),MATCH($B92,Population_by_Province_Year!$B$4:$J$4,0)),"")</f>
        <v>694235</v>
      </c>
      <c r="H92" s="22">
        <f>IFERROR(D92/G92*100000,"")</f>
        <v>9.0747369406613032</v>
      </c>
    </row>
    <row r="93" spans="1:8" ht="15" customHeight="1" x14ac:dyDescent="0.3">
      <c r="A93" s="20" t="s">
        <v>9</v>
      </c>
      <c r="B93" s="20">
        <v>2018</v>
      </c>
      <c r="C93" s="20" t="s">
        <v>104</v>
      </c>
      <c r="D93" s="20">
        <v>26</v>
      </c>
      <c r="E93" s="20">
        <v>0</v>
      </c>
      <c r="F93" s="22">
        <f>IFERROR(E93/D93*100,"")</f>
        <v>0</v>
      </c>
      <c r="G93" s="23">
        <f>IFERROR(INDEX(Population_by_Province_Year!$B$5:$J$29,MATCH($A93,Population_by_Province_Year!$A$5:$A$29,0),MATCH($B93,Population_by_Province_Year!$B$4:$J$4,0)),"")</f>
        <v>604881</v>
      </c>
      <c r="H93" s="22">
        <f>IFERROR(D93/G93*100000,"")</f>
        <v>4.2983661249072131</v>
      </c>
    </row>
    <row r="94" spans="1:8" ht="15" customHeight="1" x14ac:dyDescent="0.3">
      <c r="A94" s="20" t="s">
        <v>10</v>
      </c>
      <c r="B94" s="20">
        <v>2018</v>
      </c>
      <c r="C94" s="20" t="s">
        <v>104</v>
      </c>
      <c r="D94" s="20">
        <v>121</v>
      </c>
      <c r="E94" s="20">
        <v>0</v>
      </c>
      <c r="F94" s="22">
        <f>IFERROR(E94/D94*100,"")</f>
        <v>0</v>
      </c>
      <c r="G94" s="23">
        <f>IFERROR(INDEX(Population_by_Province_Year!$B$5:$J$29,MATCH($A94,Population_by_Province_Year!$A$5:$A$29,0),MATCH($B94,Population_by_Province_Year!$B$4:$J$4,0)),"")</f>
        <v>1223947</v>
      </c>
      <c r="H94" s="22">
        <f>IFERROR(D94/G94*100000,"")</f>
        <v>9.8860489874153039</v>
      </c>
    </row>
    <row r="95" spans="1:8" ht="15" customHeight="1" x14ac:dyDescent="0.3">
      <c r="A95" s="20" t="s">
        <v>11</v>
      </c>
      <c r="B95" s="20">
        <v>2018</v>
      </c>
      <c r="C95" s="20" t="s">
        <v>104</v>
      </c>
      <c r="D95" s="20">
        <v>7</v>
      </c>
      <c r="E95" s="20">
        <v>0</v>
      </c>
      <c r="F95" s="22">
        <f>IFERROR(E95/D95*100,"")</f>
        <v>0</v>
      </c>
      <c r="G95" s="23">
        <f>IFERROR(INDEX(Population_by_Province_Year!$B$5:$J$29,MATCH($A95,Population_by_Province_Year!$A$5:$A$29,0),MATCH($B95,Population_by_Province_Year!$B$4:$J$4,0)),"")</f>
        <v>43459</v>
      </c>
      <c r="H95" s="22">
        <f>IFERROR(D95/G95*100000,"")</f>
        <v>16.107135461009229</v>
      </c>
    </row>
    <row r="96" spans="1:8" ht="15" customHeight="1" x14ac:dyDescent="0.3">
      <c r="A96" s="20" t="s">
        <v>12</v>
      </c>
      <c r="B96" s="20">
        <v>2018</v>
      </c>
      <c r="C96" s="20" t="s">
        <v>104</v>
      </c>
      <c r="D96" s="20">
        <v>9</v>
      </c>
      <c r="E96" s="20">
        <v>0</v>
      </c>
      <c r="F96" s="22">
        <f>IFERROR(E96/D96*100,"")</f>
        <v>0</v>
      </c>
      <c r="G96" s="23">
        <f>IFERROR(INDEX(Population_by_Province_Year!$B$5:$J$29,MATCH($A96,Population_by_Province_Year!$A$5:$A$29,0),MATCH($B96,Population_by_Province_Year!$B$4:$J$4,0)),"")</f>
        <v>128245</v>
      </c>
      <c r="H96" s="22">
        <f>IFERROR(D96/G96*100000,"")</f>
        <v>7.017817458770323</v>
      </c>
    </row>
    <row r="97" spans="1:8" ht="15" customHeight="1" x14ac:dyDescent="0.3">
      <c r="A97" s="20" t="s">
        <v>13</v>
      </c>
      <c r="B97" s="20">
        <v>2018</v>
      </c>
      <c r="C97" s="20" t="s">
        <v>104</v>
      </c>
      <c r="D97" s="20">
        <v>44</v>
      </c>
      <c r="E97" s="20">
        <v>1</v>
      </c>
      <c r="F97" s="22">
        <f>IFERROR(E97/D97*100,"")</f>
        <v>2.2727272727272729</v>
      </c>
      <c r="G97" s="23">
        <f>IFERROR(INDEX(Population_by_Province_Year!$B$5:$J$29,MATCH($A97,Population_by_Province_Year!$A$5:$A$29,0),MATCH($B97,Population_by_Province_Year!$B$4:$J$4,0)),"")</f>
        <v>381732</v>
      </c>
      <c r="H97" s="22">
        <f>IFERROR(D97/G97*100000,"")</f>
        <v>11.526411199480263</v>
      </c>
    </row>
    <row r="98" spans="1:8" ht="15" customHeight="1" x14ac:dyDescent="0.3">
      <c r="A98" s="20" t="s">
        <v>15</v>
      </c>
      <c r="B98" s="20">
        <v>2018</v>
      </c>
      <c r="C98" s="20" t="s">
        <v>104</v>
      </c>
      <c r="D98" s="20">
        <v>33</v>
      </c>
      <c r="E98" s="20">
        <v>0</v>
      </c>
      <c r="F98" s="22">
        <f>IFERROR(E98/D98*100,"")</f>
        <v>0</v>
      </c>
      <c r="G98" s="23">
        <f>IFERROR(INDEX(Population_by_Province_Year!$B$5:$J$29,MATCH($A98,Population_by_Province_Year!$A$5:$A$29,0),MATCH($B98,Population_by_Province_Year!$B$4:$J$4,0)),"")</f>
        <v>281177</v>
      </c>
      <c r="H98" s="22">
        <f>IFERROR(D98/G98*100000,"")</f>
        <v>11.736379575854356</v>
      </c>
    </row>
    <row r="99" spans="1:8" ht="15" customHeight="1" x14ac:dyDescent="0.3">
      <c r="A99" s="20" t="s">
        <v>16</v>
      </c>
      <c r="B99" s="20">
        <v>2018</v>
      </c>
      <c r="C99" s="20" t="s">
        <v>104</v>
      </c>
      <c r="D99" s="20">
        <v>1</v>
      </c>
      <c r="E99" s="20">
        <v>0</v>
      </c>
      <c r="F99" s="22">
        <f>IFERROR(E99/D99*100,"")</f>
        <v>0</v>
      </c>
      <c r="G99" s="23">
        <f>IFERROR(INDEX(Population_by_Province_Year!$B$5:$J$29,MATCH($A99,Population_by_Province_Year!$A$5:$A$29,0),MATCH($B99,Population_by_Province_Year!$B$4:$J$4,0)),"")</f>
        <v>76512</v>
      </c>
      <c r="H99" s="22">
        <f>IFERROR(D99/G99*100000,"")</f>
        <v>1.3069845253032204</v>
      </c>
    </row>
    <row r="100" spans="1:8" ht="15" customHeight="1" x14ac:dyDescent="0.3">
      <c r="A100" s="20" t="s">
        <v>17</v>
      </c>
      <c r="B100" s="20">
        <v>2018</v>
      </c>
      <c r="C100" s="20" t="s">
        <v>104</v>
      </c>
      <c r="D100" s="20">
        <v>247</v>
      </c>
      <c r="E100" s="20">
        <v>1</v>
      </c>
      <c r="F100" s="22">
        <f>IFERROR(E100/D100*100,"")</f>
        <v>0.40485829959514169</v>
      </c>
      <c r="G100" s="23">
        <f>IFERROR(INDEX(Population_by_Province_Year!$B$5:$J$29,MATCH($A100,Population_by_Province_Year!$A$5:$A$29,0),MATCH($B100,Population_by_Province_Year!$B$4:$J$4,0)),"")</f>
        <v>2324424</v>
      </c>
      <c r="H100" s="22">
        <f>IFERROR(D100/G100*100000,"")</f>
        <v>10.626288491256329</v>
      </c>
    </row>
    <row r="101" spans="1:8" ht="15" customHeight="1" x14ac:dyDescent="0.3">
      <c r="A101" s="20" t="s">
        <v>18</v>
      </c>
      <c r="B101" s="20">
        <v>2018</v>
      </c>
      <c r="C101" s="20" t="s">
        <v>104</v>
      </c>
      <c r="D101" s="20">
        <v>20</v>
      </c>
      <c r="E101" s="20">
        <v>0</v>
      </c>
      <c r="F101" s="22">
        <f>IFERROR(E101/D101*100,"")</f>
        <v>0</v>
      </c>
      <c r="G101" s="23">
        <f>IFERROR(INDEX(Population_by_Province_Year!$B$5:$J$29,MATCH($A101,Population_by_Province_Year!$A$5:$A$29,0),MATCH($B101,Population_by_Province_Year!$B$4:$J$4,0)),"")</f>
        <v>315842</v>
      </c>
      <c r="H101" s="22">
        <f>IFERROR(D101/G101*100000,"")</f>
        <v>6.3322800640826733</v>
      </c>
    </row>
    <row r="102" spans="1:8" ht="15" customHeight="1" x14ac:dyDescent="0.3">
      <c r="A102" s="20" t="s">
        <v>19</v>
      </c>
      <c r="B102" s="20">
        <v>2018</v>
      </c>
      <c r="C102" s="20" t="s">
        <v>104</v>
      </c>
      <c r="D102" s="20">
        <v>26</v>
      </c>
      <c r="E102" s="20">
        <v>0</v>
      </c>
      <c r="F102" s="22">
        <f>IFERROR(E102/D102*100,"")</f>
        <v>0</v>
      </c>
      <c r="G102" s="23">
        <f>IFERROR(INDEX(Population_by_Province_Year!$B$5:$J$29,MATCH($A102,Population_by_Province_Year!$A$5:$A$29,0),MATCH($B102,Population_by_Province_Year!$B$4:$J$4,0)),"")</f>
        <v>259570</v>
      </c>
      <c r="H102" s="22">
        <f>IFERROR(D102/G102*100000,"")</f>
        <v>10.016565858920522</v>
      </c>
    </row>
    <row r="103" spans="1:8" ht="15" customHeight="1" x14ac:dyDescent="0.3">
      <c r="A103" s="20" t="s">
        <v>20</v>
      </c>
      <c r="B103" s="20">
        <v>2018</v>
      </c>
      <c r="C103" s="20" t="s">
        <v>104</v>
      </c>
      <c r="D103" s="20">
        <v>40</v>
      </c>
      <c r="E103" s="20">
        <v>0</v>
      </c>
      <c r="F103" s="22">
        <f>IFERROR(E103/D103*100,"")</f>
        <v>0</v>
      </c>
      <c r="G103" s="23">
        <f>IFERROR(INDEX(Population_by_Province_Year!$B$5:$J$29,MATCH($A103,Population_by_Province_Year!$A$5:$A$29,0),MATCH($B103,Population_by_Province_Year!$B$4:$J$4,0)),"")</f>
        <v>1077407</v>
      </c>
      <c r="H103" s="22">
        <f>IFERROR(D103/G103*100000,"")</f>
        <v>3.7126174231279356</v>
      </c>
    </row>
    <row r="104" spans="1:8" ht="15" customHeight="1" x14ac:dyDescent="0.3">
      <c r="A104" s="20" t="s">
        <v>21</v>
      </c>
      <c r="B104" s="20">
        <v>2018</v>
      </c>
      <c r="C104" s="20" t="s">
        <v>104</v>
      </c>
      <c r="D104" s="20">
        <v>5</v>
      </c>
      <c r="E104" s="20">
        <v>0</v>
      </c>
      <c r="F104" s="22">
        <f>IFERROR(E104/D104*100,"")</f>
        <v>0</v>
      </c>
      <c r="G104" s="23">
        <f>IFERROR(INDEX(Population_by_Province_Year!$B$5:$J$29,MATCH($A104,Population_by_Province_Year!$A$5:$A$29,0),MATCH($B104,Population_by_Province_Year!$B$4:$J$4,0)),"")</f>
        <v>427768</v>
      </c>
      <c r="H104" s="22">
        <f>IFERROR(D104/G104*100000,"")</f>
        <v>1.1688578855828393</v>
      </c>
    </row>
    <row r="105" spans="1:8" ht="15" customHeight="1" x14ac:dyDescent="0.3">
      <c r="A105" s="20" t="s">
        <v>22</v>
      </c>
      <c r="B105" s="20">
        <v>2018</v>
      </c>
      <c r="C105" s="20" t="s">
        <v>104</v>
      </c>
      <c r="D105" s="20">
        <v>2</v>
      </c>
      <c r="E105" s="20">
        <v>0</v>
      </c>
      <c r="F105" s="22">
        <f>IFERROR(E105/D105*100,"")</f>
        <v>0</v>
      </c>
      <c r="G105" s="23">
        <f>IFERROR(INDEX(Population_by_Province_Year!$B$5:$J$29,MATCH($A105,Population_by_Province_Year!$A$5:$A$29,0),MATCH($B105,Population_by_Province_Year!$B$4:$J$4,0)),"")</f>
        <v>221499</v>
      </c>
      <c r="H105" s="22">
        <f>IFERROR(D105/G105*100000,"")</f>
        <v>0.90293861371834638</v>
      </c>
    </row>
    <row r="106" spans="1:8" ht="15" customHeight="1" x14ac:dyDescent="0.3">
      <c r="A106" s="20" t="s">
        <v>23</v>
      </c>
      <c r="B106" s="20">
        <v>2018</v>
      </c>
      <c r="C106" s="20" t="s">
        <v>104</v>
      </c>
      <c r="D106" s="20">
        <v>88</v>
      </c>
      <c r="E106" s="20">
        <v>0</v>
      </c>
      <c r="F106" s="22">
        <f>IFERROR(E106/D106*100,"")</f>
        <v>0</v>
      </c>
      <c r="G106" s="23">
        <f>IFERROR(INDEX(Population_by_Province_Year!$B$5:$J$29,MATCH($A106,Population_by_Province_Year!$A$5:$A$29,0),MATCH($B106,Population_by_Province_Year!$B$4:$J$4,0)),"")</f>
        <v>1033114</v>
      </c>
      <c r="H106" s="22">
        <f>IFERROR(D106/G106*100000,"")</f>
        <v>8.517937033086378</v>
      </c>
    </row>
    <row r="107" spans="1:8" ht="15" customHeight="1" x14ac:dyDescent="0.3">
      <c r="A107" s="20" t="s">
        <v>24</v>
      </c>
      <c r="B107" s="20">
        <v>2018</v>
      </c>
      <c r="C107" s="20" t="s">
        <v>104</v>
      </c>
      <c r="D107" s="20">
        <v>1</v>
      </c>
      <c r="E107" s="20">
        <v>0</v>
      </c>
      <c r="F107" s="22">
        <f>IFERROR(E107/D107*100,"")</f>
        <v>0</v>
      </c>
      <c r="G107" s="23">
        <f>IFERROR(INDEX(Population_by_Province_Year!$B$5:$J$29,MATCH($A107,Population_by_Province_Year!$A$5:$A$29,0),MATCH($B107,Population_by_Province_Year!$B$4:$J$4,0)),"")</f>
        <v>168798</v>
      </c>
      <c r="H107" s="22">
        <f>IFERROR(D107/G107*100000,"")</f>
        <v>0.59242408085403853</v>
      </c>
    </row>
    <row r="108" spans="1:8" ht="15" customHeight="1" x14ac:dyDescent="0.3">
      <c r="A108" s="20" t="s">
        <v>25</v>
      </c>
      <c r="B108" s="20">
        <v>2018</v>
      </c>
      <c r="C108" s="20" t="s">
        <v>104</v>
      </c>
      <c r="D108" s="20">
        <v>9</v>
      </c>
      <c r="E108" s="20">
        <v>0</v>
      </c>
      <c r="F108" s="22">
        <f>IFERROR(E108/D108*100,"")</f>
        <v>0</v>
      </c>
      <c r="G108" s="23">
        <f>IFERROR(INDEX(Population_by_Province_Year!$B$5:$J$29,MATCH($A108,Population_by_Province_Year!$A$5:$A$29,0),MATCH($B108,Population_by_Province_Year!$B$4:$J$4,0)),"")</f>
        <v>535277</v>
      </c>
      <c r="H108" s="22">
        <f>IFERROR(D108/G108*100000,"")</f>
        <v>1.6813724482837857</v>
      </c>
    </row>
    <row r="109" spans="1:8" ht="15" customHeight="1" x14ac:dyDescent="0.3">
      <c r="A109" s="20" t="s">
        <v>26</v>
      </c>
      <c r="B109" s="20">
        <v>2018</v>
      </c>
      <c r="C109" s="20" t="s">
        <v>104</v>
      </c>
      <c r="D109" s="20">
        <v>14</v>
      </c>
      <c r="E109" s="20">
        <v>0</v>
      </c>
      <c r="F109" s="22">
        <f>IFERROR(E109/D109*100,"")</f>
        <v>0</v>
      </c>
      <c r="G109" s="23">
        <f>IFERROR(INDEX(Population_by_Province_Year!$B$5:$J$29,MATCH($A109,Population_by_Province_Year!$A$5:$A$29,0),MATCH($B109,Population_by_Province_Year!$B$4:$J$4,0)),"")</f>
        <v>917685</v>
      </c>
      <c r="H109" s="22">
        <f>IFERROR(D109/G109*100000,"")</f>
        <v>1.5255779488604477</v>
      </c>
    </row>
    <row r="110" spans="1:8" ht="15" customHeight="1" x14ac:dyDescent="0.3">
      <c r="A110" s="20" t="s">
        <v>27</v>
      </c>
      <c r="B110" s="20">
        <v>2018</v>
      </c>
      <c r="C110" s="20" t="s">
        <v>104</v>
      </c>
      <c r="D110" s="20">
        <v>29</v>
      </c>
      <c r="E110" s="20">
        <v>0</v>
      </c>
      <c r="F110" s="22">
        <f>IFERROR(E110/D110*100,"")</f>
        <v>0</v>
      </c>
      <c r="G110" s="23">
        <f>IFERROR(INDEX(Population_by_Province_Year!$B$5:$J$29,MATCH($A110,Population_by_Province_Year!$A$5:$A$29,0),MATCH($B110,Population_by_Province_Year!$B$4:$J$4,0)),"")</f>
        <v>791301</v>
      </c>
      <c r="H110" s="22">
        <f>IFERROR(D110/G110*100000,"")</f>
        <v>3.6648506699726147</v>
      </c>
    </row>
    <row r="111" spans="1:8" ht="15" customHeight="1" x14ac:dyDescent="0.3">
      <c r="A111" s="20" t="s">
        <v>3</v>
      </c>
      <c r="B111" s="20">
        <v>2018</v>
      </c>
      <c r="C111" s="20" t="s">
        <v>102</v>
      </c>
      <c r="D111" s="20">
        <v>86</v>
      </c>
      <c r="E111" s="20">
        <v>0</v>
      </c>
      <c r="F111" s="22">
        <f>IFERROR(E111/D111*100,"")</f>
        <v>0</v>
      </c>
      <c r="G111" s="23">
        <f>IFERROR(INDEX(Population_by_Province_Year!$B$5:$J$29,MATCH($A111,Population_by_Province_Year!$A$5:$A$29,0),MATCH($B111,Population_by_Province_Year!$B$4:$J$4,0)),"")</f>
        <v>877925</v>
      </c>
      <c r="H111" s="22">
        <f>IFERROR(D111/G111*100000,"")</f>
        <v>9.7958253837172879</v>
      </c>
    </row>
    <row r="112" spans="1:8" ht="15" customHeight="1" x14ac:dyDescent="0.3">
      <c r="A112" s="20" t="s">
        <v>4</v>
      </c>
      <c r="B112" s="20">
        <v>2018</v>
      </c>
      <c r="C112" s="20" t="s">
        <v>102</v>
      </c>
      <c r="D112" s="20">
        <v>46</v>
      </c>
      <c r="E112" s="20">
        <v>0</v>
      </c>
      <c r="F112" s="22">
        <f>IFERROR(E112/D112*100,"")</f>
        <v>0</v>
      </c>
      <c r="G112" s="23">
        <f>IFERROR(INDEX(Population_by_Province_Year!$B$5:$J$29,MATCH($A112,Population_by_Province_Year!$A$5:$A$29,0),MATCH($B112,Population_by_Province_Year!$B$4:$J$4,0)),"")</f>
        <v>1015729</v>
      </c>
      <c r="H112" s="22">
        <f>IFERROR(D112/G112*100000,"")</f>
        <v>4.5287670234875641</v>
      </c>
    </row>
    <row r="113" spans="1:8" ht="15" customHeight="1" x14ac:dyDescent="0.3">
      <c r="A113" s="20" t="s">
        <v>5</v>
      </c>
      <c r="B113" s="20">
        <v>2018</v>
      </c>
      <c r="C113" s="20" t="s">
        <v>102</v>
      </c>
      <c r="D113" s="20">
        <v>162</v>
      </c>
      <c r="E113" s="20">
        <v>1</v>
      </c>
      <c r="F113" s="22">
        <f>IFERROR(E113/D113*100,"")</f>
        <v>0.61728395061728392</v>
      </c>
      <c r="G113" s="23">
        <f>IFERROR(INDEX(Population_by_Province_Year!$B$5:$J$29,MATCH($A113,Population_by_Province_Year!$A$5:$A$29,0),MATCH($B113,Population_by_Province_Year!$B$4:$J$4,0)),"")</f>
        <v>916540</v>
      </c>
      <c r="H113" s="22">
        <f>IFERROR(D113/G113*100000,"")</f>
        <v>17.675169659807537</v>
      </c>
    </row>
    <row r="114" spans="1:8" ht="15" customHeight="1" x14ac:dyDescent="0.3">
      <c r="A114" s="20" t="s">
        <v>6</v>
      </c>
      <c r="B114" s="20">
        <v>2018</v>
      </c>
      <c r="C114" s="20" t="s">
        <v>102</v>
      </c>
      <c r="D114" s="20">
        <v>246</v>
      </c>
      <c r="E114" s="20">
        <v>0</v>
      </c>
      <c r="F114" s="22">
        <f>IFERROR(E114/D114*100,"")</f>
        <v>0</v>
      </c>
      <c r="G114" s="23">
        <f>IFERROR(INDEX(Population_by_Province_Year!$B$5:$J$29,MATCH($A114,Population_by_Province_Year!$A$5:$A$29,0),MATCH($B114,Population_by_Province_Year!$B$4:$J$4,0)),"")</f>
        <v>536836</v>
      </c>
      <c r="H114" s="22">
        <f>IFERROR(D114/G114*100000,"")</f>
        <v>45.824050548025838</v>
      </c>
    </row>
    <row r="115" spans="1:8" ht="15" customHeight="1" x14ac:dyDescent="0.3">
      <c r="A115" s="20" t="s">
        <v>7</v>
      </c>
      <c r="B115" s="20">
        <v>2018</v>
      </c>
      <c r="C115" s="20" t="s">
        <v>102</v>
      </c>
      <c r="D115" s="20">
        <v>67</v>
      </c>
      <c r="E115" s="20">
        <v>0</v>
      </c>
      <c r="F115" s="22">
        <f>IFERROR(E115/D115*100,"")</f>
        <v>0</v>
      </c>
      <c r="G115" s="23">
        <f>IFERROR(INDEX(Population_by_Province_Year!$B$5:$J$29,MATCH($A115,Population_by_Province_Year!$A$5:$A$29,0),MATCH($B115,Population_by_Province_Year!$B$4:$J$4,0)),"")</f>
        <v>893858</v>
      </c>
      <c r="H115" s="22">
        <f>IFERROR(D115/G115*100000,"")</f>
        <v>7.4955977347632397</v>
      </c>
    </row>
    <row r="116" spans="1:8" ht="15" customHeight="1" x14ac:dyDescent="0.3">
      <c r="A116" s="20" t="s">
        <v>8</v>
      </c>
      <c r="B116" s="20">
        <v>2018</v>
      </c>
      <c r="C116" s="20" t="s">
        <v>102</v>
      </c>
      <c r="D116" s="20">
        <v>201</v>
      </c>
      <c r="E116" s="20">
        <v>0</v>
      </c>
      <c r="F116" s="22">
        <f>IFERROR(E116/D116*100,"")</f>
        <v>0</v>
      </c>
      <c r="G116" s="23">
        <f>IFERROR(INDEX(Population_by_Province_Year!$B$5:$J$29,MATCH($A116,Population_by_Province_Year!$A$5:$A$29,0),MATCH($B116,Population_by_Province_Year!$B$4:$J$4,0)),"")</f>
        <v>694235</v>
      </c>
      <c r="H116" s="22">
        <f>IFERROR(D116/G116*100000,"")</f>
        <v>28.952732144014636</v>
      </c>
    </row>
    <row r="117" spans="1:8" ht="15" customHeight="1" x14ac:dyDescent="0.3">
      <c r="A117" s="20" t="s">
        <v>9</v>
      </c>
      <c r="B117" s="20">
        <v>2018</v>
      </c>
      <c r="C117" s="20" t="s">
        <v>102</v>
      </c>
      <c r="D117" s="20">
        <v>46</v>
      </c>
      <c r="E117" s="20">
        <v>0</v>
      </c>
      <c r="F117" s="22">
        <f>IFERROR(E117/D117*100,"")</f>
        <v>0</v>
      </c>
      <c r="G117" s="23">
        <f>IFERROR(INDEX(Population_by_Province_Year!$B$5:$J$29,MATCH($A117,Population_by_Province_Year!$A$5:$A$29,0),MATCH($B117,Population_by_Province_Year!$B$4:$J$4,0)),"")</f>
        <v>604881</v>
      </c>
      <c r="H117" s="22">
        <f>IFERROR(D117/G117*100000,"")</f>
        <v>7.6048016056050693</v>
      </c>
    </row>
    <row r="118" spans="1:8" ht="15" customHeight="1" x14ac:dyDescent="0.3">
      <c r="A118" s="20" t="s">
        <v>10</v>
      </c>
      <c r="B118" s="20">
        <v>2018</v>
      </c>
      <c r="C118" s="20" t="s">
        <v>102</v>
      </c>
      <c r="D118" s="20">
        <v>293</v>
      </c>
      <c r="E118" s="20">
        <v>0</v>
      </c>
      <c r="F118" s="22">
        <f>IFERROR(E118/D118*100,"")</f>
        <v>0</v>
      </c>
      <c r="G118" s="23">
        <f>IFERROR(INDEX(Population_by_Province_Year!$B$5:$J$29,MATCH($A118,Population_by_Province_Year!$A$5:$A$29,0),MATCH($B118,Population_by_Province_Year!$B$4:$J$4,0)),"")</f>
        <v>1223947</v>
      </c>
      <c r="H118" s="22">
        <f>IFERROR(D118/G118*100000,"")</f>
        <v>23.938945068699873</v>
      </c>
    </row>
    <row r="119" spans="1:8" ht="15" customHeight="1" x14ac:dyDescent="0.3">
      <c r="A119" s="20" t="s">
        <v>11</v>
      </c>
      <c r="B119" s="20">
        <v>2018</v>
      </c>
      <c r="C119" s="20" t="s">
        <v>102</v>
      </c>
      <c r="D119" s="20">
        <v>6</v>
      </c>
      <c r="E119" s="20">
        <v>0</v>
      </c>
      <c r="F119" s="22">
        <f>IFERROR(E119/D119*100,"")</f>
        <v>0</v>
      </c>
      <c r="G119" s="23">
        <f>IFERROR(INDEX(Population_by_Province_Year!$B$5:$J$29,MATCH($A119,Population_by_Province_Year!$A$5:$A$29,0),MATCH($B119,Population_by_Province_Year!$B$4:$J$4,0)),"")</f>
        <v>43459</v>
      </c>
      <c r="H119" s="22">
        <f>IFERROR(D119/G119*100000,"")</f>
        <v>13.806116109436479</v>
      </c>
    </row>
    <row r="120" spans="1:8" ht="15" customHeight="1" x14ac:dyDescent="0.3">
      <c r="A120" s="20" t="s">
        <v>12</v>
      </c>
      <c r="B120" s="20">
        <v>2018</v>
      </c>
      <c r="C120" s="20" t="s">
        <v>102</v>
      </c>
      <c r="D120" s="20">
        <v>5</v>
      </c>
      <c r="E120" s="20">
        <v>0</v>
      </c>
      <c r="F120" s="22">
        <f>IFERROR(E120/D120*100,"")</f>
        <v>0</v>
      </c>
      <c r="G120" s="23">
        <f>IFERROR(INDEX(Population_by_Province_Year!$B$5:$J$29,MATCH($A120,Population_by_Province_Year!$A$5:$A$29,0),MATCH($B120,Population_by_Province_Year!$B$4:$J$4,0)),"")</f>
        <v>128245</v>
      </c>
      <c r="H120" s="22">
        <f>IFERROR(D120/G120*100000,"")</f>
        <v>3.8987874770946238</v>
      </c>
    </row>
    <row r="121" spans="1:8" ht="15" customHeight="1" x14ac:dyDescent="0.3">
      <c r="A121" s="20" t="s">
        <v>13</v>
      </c>
      <c r="B121" s="20">
        <v>2018</v>
      </c>
      <c r="C121" s="20" t="s">
        <v>102</v>
      </c>
      <c r="D121" s="20">
        <v>44</v>
      </c>
      <c r="E121" s="20">
        <v>0</v>
      </c>
      <c r="F121" s="22">
        <f>IFERROR(E121/D121*100,"")</f>
        <v>0</v>
      </c>
      <c r="G121" s="23">
        <f>IFERROR(INDEX(Population_by_Province_Year!$B$5:$J$29,MATCH($A121,Population_by_Province_Year!$A$5:$A$29,0),MATCH($B121,Population_by_Province_Year!$B$4:$J$4,0)),"")</f>
        <v>381732</v>
      </c>
      <c r="H121" s="22">
        <f>IFERROR(D121/G121*100000,"")</f>
        <v>11.526411199480263</v>
      </c>
    </row>
    <row r="122" spans="1:8" ht="15" customHeight="1" x14ac:dyDescent="0.3">
      <c r="A122" s="20" t="s">
        <v>14</v>
      </c>
      <c r="B122" s="20">
        <v>2018</v>
      </c>
      <c r="C122" s="20" t="s">
        <v>102</v>
      </c>
      <c r="D122" s="20">
        <v>5</v>
      </c>
      <c r="E122" s="20">
        <v>0</v>
      </c>
      <c r="F122" s="22">
        <f>IFERROR(E122/D122*100,"")</f>
        <v>0</v>
      </c>
      <c r="G122" s="23">
        <f>IFERROR(INDEX(Population_by_Province_Year!$B$5:$J$29,MATCH($A122,Population_by_Province_Year!$A$5:$A$29,0),MATCH($B122,Population_by_Province_Year!$B$4:$J$4,0)),"")</f>
        <v>93930</v>
      </c>
      <c r="H122" s="22">
        <f>IFERROR(D122/G122*100000,"")</f>
        <v>5.3231129564569359</v>
      </c>
    </row>
    <row r="123" spans="1:8" ht="15" customHeight="1" x14ac:dyDescent="0.3">
      <c r="A123" s="20" t="s">
        <v>15</v>
      </c>
      <c r="B123" s="20">
        <v>2018</v>
      </c>
      <c r="C123" s="20" t="s">
        <v>102</v>
      </c>
      <c r="D123" s="20">
        <v>78</v>
      </c>
      <c r="E123" s="20">
        <v>0</v>
      </c>
      <c r="F123" s="22">
        <f>IFERROR(E123/D123*100,"")</f>
        <v>0</v>
      </c>
      <c r="G123" s="23">
        <f>IFERROR(INDEX(Population_by_Province_Year!$B$5:$J$29,MATCH($A123,Population_by_Province_Year!$A$5:$A$29,0),MATCH($B123,Population_by_Province_Year!$B$4:$J$4,0)),"")</f>
        <v>281177</v>
      </c>
      <c r="H123" s="22">
        <f>IFERROR(D123/G123*100000,"")</f>
        <v>27.740533542928475</v>
      </c>
    </row>
    <row r="124" spans="1:8" ht="15" customHeight="1" x14ac:dyDescent="0.3">
      <c r="A124" s="20" t="s">
        <v>16</v>
      </c>
      <c r="B124" s="20">
        <v>2018</v>
      </c>
      <c r="C124" s="20" t="s">
        <v>102</v>
      </c>
      <c r="D124" s="20">
        <v>11</v>
      </c>
      <c r="E124" s="20">
        <v>0</v>
      </c>
      <c r="F124" s="22">
        <f>IFERROR(E124/D124*100,"")</f>
        <v>0</v>
      </c>
      <c r="G124" s="23">
        <f>IFERROR(INDEX(Population_by_Province_Year!$B$5:$J$29,MATCH($A124,Population_by_Province_Year!$A$5:$A$29,0),MATCH($B124,Population_by_Province_Year!$B$4:$J$4,0)),"")</f>
        <v>76512</v>
      </c>
      <c r="H124" s="22">
        <f>IFERROR(D124/G124*100000,"")</f>
        <v>14.376829778335425</v>
      </c>
    </row>
    <row r="125" spans="1:8" ht="15" customHeight="1" x14ac:dyDescent="0.3">
      <c r="A125" s="20" t="s">
        <v>17</v>
      </c>
      <c r="B125" s="20">
        <v>2018</v>
      </c>
      <c r="C125" s="20" t="s">
        <v>102</v>
      </c>
      <c r="D125" s="20">
        <v>664</v>
      </c>
      <c r="E125" s="20">
        <v>0</v>
      </c>
      <c r="F125" s="22">
        <f>IFERROR(E125/D125*100,"")</f>
        <v>0</v>
      </c>
      <c r="G125" s="23">
        <f>IFERROR(INDEX(Population_by_Province_Year!$B$5:$J$29,MATCH($A125,Population_by_Province_Year!$A$5:$A$29,0),MATCH($B125,Population_by_Province_Year!$B$4:$J$4,0)),"")</f>
        <v>2324424</v>
      </c>
      <c r="H125" s="22">
        <f>IFERROR(D125/G125*100000,"")</f>
        <v>28.566216834794339</v>
      </c>
    </row>
    <row r="126" spans="1:8" ht="15" customHeight="1" x14ac:dyDescent="0.3">
      <c r="A126" s="20" t="s">
        <v>18</v>
      </c>
      <c r="B126" s="20">
        <v>2018</v>
      </c>
      <c r="C126" s="20" t="s">
        <v>102</v>
      </c>
      <c r="D126" s="20">
        <v>13</v>
      </c>
      <c r="E126" s="20">
        <v>0</v>
      </c>
      <c r="F126" s="22">
        <f>IFERROR(E126/D126*100,"")</f>
        <v>0</v>
      </c>
      <c r="G126" s="23">
        <f>IFERROR(INDEX(Population_by_Province_Year!$B$5:$J$29,MATCH($A126,Population_by_Province_Year!$A$5:$A$29,0),MATCH($B126,Population_by_Province_Year!$B$4:$J$4,0)),"")</f>
        <v>315842</v>
      </c>
      <c r="H126" s="22">
        <f>IFERROR(D126/G126*100000,"")</f>
        <v>4.115982041653738</v>
      </c>
    </row>
    <row r="127" spans="1:8" ht="15" customHeight="1" x14ac:dyDescent="0.3">
      <c r="A127" s="20" t="s">
        <v>19</v>
      </c>
      <c r="B127" s="20">
        <v>2018</v>
      </c>
      <c r="C127" s="20" t="s">
        <v>102</v>
      </c>
      <c r="D127" s="20">
        <v>90</v>
      </c>
      <c r="E127" s="20">
        <v>0</v>
      </c>
      <c r="F127" s="22">
        <f>IFERROR(E127/D127*100,"")</f>
        <v>0</v>
      </c>
      <c r="G127" s="23">
        <f>IFERROR(INDEX(Population_by_Province_Year!$B$5:$J$29,MATCH($A127,Population_by_Province_Year!$A$5:$A$29,0),MATCH($B127,Population_by_Province_Year!$B$4:$J$4,0)),"")</f>
        <v>259570</v>
      </c>
      <c r="H127" s="22">
        <f>IFERROR(D127/G127*100000,"")</f>
        <v>34.672727973186426</v>
      </c>
    </row>
    <row r="128" spans="1:8" ht="15" customHeight="1" x14ac:dyDescent="0.3">
      <c r="A128" s="20" t="s">
        <v>20</v>
      </c>
      <c r="B128" s="20">
        <v>2018</v>
      </c>
      <c r="C128" s="20" t="s">
        <v>102</v>
      </c>
      <c r="D128" s="20">
        <v>86</v>
      </c>
      <c r="E128" s="20">
        <v>0</v>
      </c>
      <c r="F128" s="22">
        <f>IFERROR(E128/D128*100,"")</f>
        <v>0</v>
      </c>
      <c r="G128" s="23">
        <f>IFERROR(INDEX(Population_by_Province_Year!$B$5:$J$29,MATCH($A128,Population_by_Province_Year!$A$5:$A$29,0),MATCH($B128,Population_by_Province_Year!$B$4:$J$4,0)),"")</f>
        <v>1077407</v>
      </c>
      <c r="H128" s="22">
        <f>IFERROR(D128/G128*100000,"")</f>
        <v>7.9821274597250627</v>
      </c>
    </row>
    <row r="129" spans="1:8" ht="15" customHeight="1" x14ac:dyDescent="0.3">
      <c r="A129" s="20" t="s">
        <v>21</v>
      </c>
      <c r="B129" s="20">
        <v>2018</v>
      </c>
      <c r="C129" s="20" t="s">
        <v>102</v>
      </c>
      <c r="D129" s="20">
        <v>7</v>
      </c>
      <c r="E129" s="20">
        <v>0</v>
      </c>
      <c r="F129" s="22">
        <f>IFERROR(E129/D129*100,"")</f>
        <v>0</v>
      </c>
      <c r="G129" s="23">
        <f>IFERROR(INDEX(Population_by_Province_Year!$B$5:$J$29,MATCH($A129,Population_by_Province_Year!$A$5:$A$29,0),MATCH($B129,Population_by_Province_Year!$B$4:$J$4,0)),"")</f>
        <v>427768</v>
      </c>
      <c r="H129" s="22">
        <f>IFERROR(D129/G129*100000,"")</f>
        <v>1.6364010398159752</v>
      </c>
    </row>
    <row r="130" spans="1:8" ht="15" customHeight="1" x14ac:dyDescent="0.3">
      <c r="A130" s="20" t="s">
        <v>22</v>
      </c>
      <c r="B130" s="20">
        <v>2018</v>
      </c>
      <c r="C130" s="20" t="s">
        <v>102</v>
      </c>
      <c r="D130" s="20">
        <v>4</v>
      </c>
      <c r="E130" s="20">
        <v>0</v>
      </c>
      <c r="F130" s="22">
        <f>IFERROR(E130/D130*100,"")</f>
        <v>0</v>
      </c>
      <c r="G130" s="23">
        <f>IFERROR(INDEX(Population_by_Province_Year!$B$5:$J$29,MATCH($A130,Population_by_Province_Year!$A$5:$A$29,0),MATCH($B130,Population_by_Province_Year!$B$4:$J$4,0)),"")</f>
        <v>221499</v>
      </c>
      <c r="H130" s="22">
        <f>IFERROR(D130/G130*100000,"")</f>
        <v>1.8058772274366928</v>
      </c>
    </row>
    <row r="131" spans="1:8" ht="15" customHeight="1" x14ac:dyDescent="0.3">
      <c r="A131" s="20" t="s">
        <v>23</v>
      </c>
      <c r="B131" s="20">
        <v>2018</v>
      </c>
      <c r="C131" s="20" t="s">
        <v>102</v>
      </c>
      <c r="D131" s="20">
        <v>237</v>
      </c>
      <c r="E131" s="20">
        <v>0</v>
      </c>
      <c r="F131" s="22">
        <f>IFERROR(E131/D131*100,"")</f>
        <v>0</v>
      </c>
      <c r="G131" s="23">
        <f>IFERROR(INDEX(Population_by_Province_Year!$B$5:$J$29,MATCH($A131,Population_by_Province_Year!$A$5:$A$29,0),MATCH($B131,Population_by_Province_Year!$B$4:$J$4,0)),"")</f>
        <v>1033114</v>
      </c>
      <c r="H131" s="22">
        <f>IFERROR(D131/G131*100000,"")</f>
        <v>22.940353145925812</v>
      </c>
    </row>
    <row r="132" spans="1:8" ht="15" customHeight="1" x14ac:dyDescent="0.3">
      <c r="A132" s="20" t="s">
        <v>24</v>
      </c>
      <c r="B132" s="20">
        <v>2018</v>
      </c>
      <c r="C132" s="20" t="s">
        <v>102</v>
      </c>
      <c r="D132" s="20">
        <v>3</v>
      </c>
      <c r="E132" s="20">
        <v>0</v>
      </c>
      <c r="F132" s="22">
        <f>IFERROR(E132/D132*100,"")</f>
        <v>0</v>
      </c>
      <c r="G132" s="23">
        <f>IFERROR(INDEX(Population_by_Province_Year!$B$5:$J$29,MATCH($A132,Population_by_Province_Year!$A$5:$A$29,0),MATCH($B132,Population_by_Province_Year!$B$4:$J$4,0)),"")</f>
        <v>168798</v>
      </c>
      <c r="H132" s="22">
        <f>IFERROR(D132/G132*100000,"")</f>
        <v>1.7772722425621157</v>
      </c>
    </row>
    <row r="133" spans="1:8" ht="15" customHeight="1" x14ac:dyDescent="0.3">
      <c r="A133" s="20" t="s">
        <v>25</v>
      </c>
      <c r="B133" s="20">
        <v>2018</v>
      </c>
      <c r="C133" s="20" t="s">
        <v>102</v>
      </c>
      <c r="D133" s="20">
        <v>22</v>
      </c>
      <c r="E133" s="20">
        <v>0</v>
      </c>
      <c r="F133" s="22">
        <f>IFERROR(E133/D133*100,"")</f>
        <v>0</v>
      </c>
      <c r="G133" s="23">
        <f>IFERROR(INDEX(Population_by_Province_Year!$B$5:$J$29,MATCH($A133,Population_by_Province_Year!$A$5:$A$29,0),MATCH($B133,Population_by_Province_Year!$B$4:$J$4,0)),"")</f>
        <v>535277</v>
      </c>
      <c r="H133" s="22">
        <f>IFERROR(D133/G133*100000,"")</f>
        <v>4.1100215402492548</v>
      </c>
    </row>
    <row r="134" spans="1:8" ht="15" customHeight="1" x14ac:dyDescent="0.3">
      <c r="A134" s="20" t="s">
        <v>26</v>
      </c>
      <c r="B134" s="20">
        <v>2018</v>
      </c>
      <c r="C134" s="20" t="s">
        <v>102</v>
      </c>
      <c r="D134" s="20">
        <v>30</v>
      </c>
      <c r="E134" s="20">
        <v>0</v>
      </c>
      <c r="F134" s="22">
        <f>IFERROR(E134/D134*100,"")</f>
        <v>0</v>
      </c>
      <c r="G134" s="23">
        <f>IFERROR(INDEX(Population_by_Province_Year!$B$5:$J$29,MATCH($A134,Population_by_Province_Year!$A$5:$A$29,0),MATCH($B134,Population_by_Province_Year!$B$4:$J$4,0)),"")</f>
        <v>917685</v>
      </c>
      <c r="H134" s="22">
        <f>IFERROR(D134/G134*100000,"")</f>
        <v>3.2690956047009592</v>
      </c>
    </row>
    <row r="135" spans="1:8" ht="15" customHeight="1" x14ac:dyDescent="0.3">
      <c r="A135" s="20" t="s">
        <v>27</v>
      </c>
      <c r="B135" s="20">
        <v>2018</v>
      </c>
      <c r="C135" s="20" t="s">
        <v>102</v>
      </c>
      <c r="D135" s="20">
        <v>59</v>
      </c>
      <c r="E135" s="20">
        <v>0</v>
      </c>
      <c r="F135" s="22">
        <f>IFERROR(E135/D135*100,"")</f>
        <v>0</v>
      </c>
      <c r="G135" s="23">
        <f>IFERROR(INDEX(Population_by_Province_Year!$B$5:$J$29,MATCH($A135,Population_by_Province_Year!$A$5:$A$29,0),MATCH($B135,Population_by_Province_Year!$B$4:$J$4,0)),"")</f>
        <v>791301</v>
      </c>
      <c r="H135" s="22">
        <f>IFERROR(D135/G135*100000,"")</f>
        <v>7.4560755009787671</v>
      </c>
    </row>
    <row r="136" spans="1:8" ht="15" customHeight="1" x14ac:dyDescent="0.3">
      <c r="A136" s="20" t="s">
        <v>3</v>
      </c>
      <c r="B136" s="20">
        <v>2018</v>
      </c>
      <c r="C136" s="20" t="s">
        <v>101</v>
      </c>
      <c r="D136" s="20">
        <v>112</v>
      </c>
      <c r="E136" s="20">
        <v>0</v>
      </c>
      <c r="F136" s="22">
        <f>IFERROR(E136/D136*100,"")</f>
        <v>0</v>
      </c>
      <c r="G136" s="23">
        <f>IFERROR(INDEX(Population_by_Province_Year!$B$5:$J$29,MATCH($A136,Population_by_Province_Year!$A$5:$A$29,0),MATCH($B136,Population_by_Province_Year!$B$4:$J$4,0)),"")</f>
        <v>877925</v>
      </c>
      <c r="H136" s="22">
        <f>IFERROR(D136/G136*100000,"")</f>
        <v>12.757353988096932</v>
      </c>
    </row>
    <row r="137" spans="1:8" ht="15" customHeight="1" x14ac:dyDescent="0.3">
      <c r="A137" s="20" t="s">
        <v>4</v>
      </c>
      <c r="B137" s="20">
        <v>2018</v>
      </c>
      <c r="C137" s="20" t="s">
        <v>101</v>
      </c>
      <c r="D137" s="20">
        <v>70</v>
      </c>
      <c r="E137" s="20">
        <v>0</v>
      </c>
      <c r="F137" s="22">
        <f>IFERROR(E137/D137*100,"")</f>
        <v>0</v>
      </c>
      <c r="G137" s="23">
        <f>IFERROR(INDEX(Population_by_Province_Year!$B$5:$J$29,MATCH($A137,Population_by_Province_Year!$A$5:$A$29,0),MATCH($B137,Population_by_Province_Year!$B$4:$J$4,0)),"")</f>
        <v>1015729</v>
      </c>
      <c r="H137" s="22">
        <f>IFERROR(D137/G137*100000,"")</f>
        <v>6.8916019922636842</v>
      </c>
    </row>
    <row r="138" spans="1:8" ht="15" customHeight="1" x14ac:dyDescent="0.3">
      <c r="A138" s="20" t="s">
        <v>5</v>
      </c>
      <c r="B138" s="20">
        <v>2018</v>
      </c>
      <c r="C138" s="20" t="s">
        <v>101</v>
      </c>
      <c r="D138" s="20">
        <v>146</v>
      </c>
      <c r="E138" s="20">
        <v>0</v>
      </c>
      <c r="F138" s="22">
        <f>IFERROR(E138/D138*100,"")</f>
        <v>0</v>
      </c>
      <c r="G138" s="23">
        <f>IFERROR(INDEX(Population_by_Province_Year!$B$5:$J$29,MATCH($A138,Population_by_Province_Year!$A$5:$A$29,0),MATCH($B138,Population_by_Province_Year!$B$4:$J$4,0)),"")</f>
        <v>916540</v>
      </c>
      <c r="H138" s="22">
        <f>IFERROR(D138/G138*100000,"")</f>
        <v>15.929473890937656</v>
      </c>
    </row>
    <row r="139" spans="1:8" ht="15" customHeight="1" x14ac:dyDescent="0.3">
      <c r="A139" s="20" t="s">
        <v>6</v>
      </c>
      <c r="B139" s="20">
        <v>2018</v>
      </c>
      <c r="C139" s="20" t="s">
        <v>101</v>
      </c>
      <c r="D139" s="20">
        <v>260</v>
      </c>
      <c r="E139" s="20">
        <v>0</v>
      </c>
      <c r="F139" s="22">
        <f>IFERROR(E139/D139*100,"")</f>
        <v>0</v>
      </c>
      <c r="G139" s="23">
        <f>IFERROR(INDEX(Population_by_Province_Year!$B$5:$J$29,MATCH($A139,Population_by_Province_Year!$A$5:$A$29,0),MATCH($B139,Population_by_Province_Year!$B$4:$J$4,0)),"")</f>
        <v>536836</v>
      </c>
      <c r="H139" s="22">
        <f>IFERROR(D139/G139*100000,"")</f>
        <v>48.431923343441944</v>
      </c>
    </row>
    <row r="140" spans="1:8" ht="15" customHeight="1" x14ac:dyDescent="0.3">
      <c r="A140" s="20" t="s">
        <v>7</v>
      </c>
      <c r="B140" s="20">
        <v>2018</v>
      </c>
      <c r="C140" s="20" t="s">
        <v>101</v>
      </c>
      <c r="D140" s="20">
        <v>123</v>
      </c>
      <c r="E140" s="20">
        <v>0</v>
      </c>
      <c r="F140" s="22">
        <f>IFERROR(E140/D140*100,"")</f>
        <v>0</v>
      </c>
      <c r="G140" s="23">
        <f>IFERROR(INDEX(Population_by_Province_Year!$B$5:$J$29,MATCH($A140,Population_by_Province_Year!$A$5:$A$29,0),MATCH($B140,Population_by_Province_Year!$B$4:$J$4,0)),"")</f>
        <v>893858</v>
      </c>
      <c r="H140" s="22">
        <f>IFERROR(D140/G140*100000,"")</f>
        <v>13.760574945908635</v>
      </c>
    </row>
    <row r="141" spans="1:8" ht="15" customHeight="1" x14ac:dyDescent="0.3">
      <c r="A141" s="20" t="s">
        <v>8</v>
      </c>
      <c r="B141" s="20">
        <v>2018</v>
      </c>
      <c r="C141" s="20" t="s">
        <v>101</v>
      </c>
      <c r="D141" s="20">
        <v>229</v>
      </c>
      <c r="E141" s="20">
        <v>0</v>
      </c>
      <c r="F141" s="22">
        <f>IFERROR(E141/D141*100,"")</f>
        <v>0</v>
      </c>
      <c r="G141" s="23">
        <f>IFERROR(INDEX(Population_by_Province_Year!$B$5:$J$29,MATCH($A141,Population_by_Province_Year!$A$5:$A$29,0),MATCH($B141,Population_by_Province_Year!$B$4:$J$4,0)),"")</f>
        <v>694235</v>
      </c>
      <c r="H141" s="22">
        <f>IFERROR(D141/G141*100000,"")</f>
        <v>32.985948562086321</v>
      </c>
    </row>
    <row r="142" spans="1:8" ht="15" customHeight="1" x14ac:dyDescent="0.3">
      <c r="A142" s="20" t="s">
        <v>9</v>
      </c>
      <c r="B142" s="20">
        <v>2018</v>
      </c>
      <c r="C142" s="20" t="s">
        <v>101</v>
      </c>
      <c r="D142" s="20">
        <v>52</v>
      </c>
      <c r="E142" s="20">
        <v>0</v>
      </c>
      <c r="F142" s="22">
        <f>IFERROR(E142/D142*100,"")</f>
        <v>0</v>
      </c>
      <c r="G142" s="23">
        <f>IFERROR(INDEX(Population_by_Province_Year!$B$5:$J$29,MATCH($A142,Population_by_Province_Year!$A$5:$A$29,0),MATCH($B142,Population_by_Province_Year!$B$4:$J$4,0)),"")</f>
        <v>604881</v>
      </c>
      <c r="H142" s="22">
        <f>IFERROR(D142/G142*100000,"")</f>
        <v>8.5967322498144263</v>
      </c>
    </row>
    <row r="143" spans="1:8" ht="15" customHeight="1" x14ac:dyDescent="0.3">
      <c r="A143" s="20" t="s">
        <v>10</v>
      </c>
      <c r="B143" s="20">
        <v>2018</v>
      </c>
      <c r="C143" s="20" t="s">
        <v>101</v>
      </c>
      <c r="D143" s="20">
        <v>570</v>
      </c>
      <c r="E143" s="20">
        <v>3</v>
      </c>
      <c r="F143" s="22">
        <f>IFERROR(E143/D143*100,"")</f>
        <v>0.52631578947368418</v>
      </c>
      <c r="G143" s="23">
        <f>IFERROR(INDEX(Population_by_Province_Year!$B$5:$J$29,MATCH($A143,Population_by_Province_Year!$A$5:$A$29,0),MATCH($B143,Population_by_Province_Year!$B$4:$J$4,0)),"")</f>
        <v>1223947</v>
      </c>
      <c r="H143" s="22">
        <f>IFERROR(D143/G143*100000,"")</f>
        <v>46.570643990303502</v>
      </c>
    </row>
    <row r="144" spans="1:8" ht="15" customHeight="1" x14ac:dyDescent="0.3">
      <c r="A144" s="20" t="s">
        <v>11</v>
      </c>
      <c r="B144" s="20">
        <v>2018</v>
      </c>
      <c r="C144" s="20" t="s">
        <v>101</v>
      </c>
      <c r="D144" s="20">
        <v>5</v>
      </c>
      <c r="E144" s="20">
        <v>0</v>
      </c>
      <c r="F144" s="22">
        <f>IFERROR(E144/D144*100,"")</f>
        <v>0</v>
      </c>
      <c r="G144" s="23">
        <f>IFERROR(INDEX(Population_by_Province_Year!$B$5:$J$29,MATCH($A144,Population_by_Province_Year!$A$5:$A$29,0),MATCH($B144,Population_by_Province_Year!$B$4:$J$4,0)),"")</f>
        <v>43459</v>
      </c>
      <c r="H144" s="22">
        <f>IFERROR(D144/G144*100000,"")</f>
        <v>11.505096757863733</v>
      </c>
    </row>
    <row r="145" spans="1:8" ht="15" customHeight="1" x14ac:dyDescent="0.3">
      <c r="A145" s="20" t="s">
        <v>12</v>
      </c>
      <c r="B145" s="20">
        <v>2018</v>
      </c>
      <c r="C145" s="20" t="s">
        <v>101</v>
      </c>
      <c r="D145" s="20">
        <v>6</v>
      </c>
      <c r="E145" s="20">
        <v>0</v>
      </c>
      <c r="F145" s="22">
        <f>IFERROR(E145/D145*100,"")</f>
        <v>0</v>
      </c>
      <c r="G145" s="23">
        <f>IFERROR(INDEX(Population_by_Province_Year!$B$5:$J$29,MATCH($A145,Population_by_Province_Year!$A$5:$A$29,0),MATCH($B145,Population_by_Province_Year!$B$4:$J$4,0)),"")</f>
        <v>128245</v>
      </c>
      <c r="H145" s="22">
        <f>IFERROR(D145/G145*100000,"")</f>
        <v>4.6785449725135484</v>
      </c>
    </row>
    <row r="146" spans="1:8" ht="15" customHeight="1" x14ac:dyDescent="0.3">
      <c r="A146" s="20" t="s">
        <v>13</v>
      </c>
      <c r="B146" s="20">
        <v>2018</v>
      </c>
      <c r="C146" s="20" t="s">
        <v>101</v>
      </c>
      <c r="D146" s="20">
        <v>60</v>
      </c>
      <c r="E146" s="20">
        <v>0</v>
      </c>
      <c r="F146" s="22">
        <f>IFERROR(E146/D146*100,"")</f>
        <v>0</v>
      </c>
      <c r="G146" s="23">
        <f>IFERROR(INDEX(Population_by_Province_Year!$B$5:$J$29,MATCH($A146,Population_by_Province_Year!$A$5:$A$29,0),MATCH($B146,Population_by_Province_Year!$B$4:$J$4,0)),"")</f>
        <v>381732</v>
      </c>
      <c r="H146" s="22">
        <f>IFERROR(D146/G146*100000,"")</f>
        <v>15.717833453836723</v>
      </c>
    </row>
    <row r="147" spans="1:8" ht="15" customHeight="1" x14ac:dyDescent="0.3">
      <c r="A147" s="20" t="s">
        <v>15</v>
      </c>
      <c r="B147" s="20">
        <v>2018</v>
      </c>
      <c r="C147" s="20" t="s">
        <v>101</v>
      </c>
      <c r="D147" s="20">
        <v>95</v>
      </c>
      <c r="E147" s="20">
        <v>0</v>
      </c>
      <c r="F147" s="22">
        <f>IFERROR(E147/D147*100,"")</f>
        <v>0</v>
      </c>
      <c r="G147" s="23">
        <f>IFERROR(INDEX(Population_by_Province_Year!$B$5:$J$29,MATCH($A147,Population_by_Province_Year!$A$5:$A$29,0),MATCH($B147,Population_by_Province_Year!$B$4:$J$4,0)),"")</f>
        <v>281177</v>
      </c>
      <c r="H147" s="22">
        <f>IFERROR(D147/G147*100000,"")</f>
        <v>33.786547263823138</v>
      </c>
    </row>
    <row r="148" spans="1:8" ht="15" customHeight="1" x14ac:dyDescent="0.3">
      <c r="A148" s="20" t="s">
        <v>16</v>
      </c>
      <c r="B148" s="20">
        <v>2018</v>
      </c>
      <c r="C148" s="20" t="s">
        <v>101</v>
      </c>
      <c r="D148" s="20">
        <v>15</v>
      </c>
      <c r="E148" s="20">
        <v>0</v>
      </c>
      <c r="F148" s="22">
        <f>IFERROR(E148/D148*100,"")</f>
        <v>0</v>
      </c>
      <c r="G148" s="23">
        <f>IFERROR(INDEX(Population_by_Province_Year!$B$5:$J$29,MATCH($A148,Population_by_Province_Year!$A$5:$A$29,0),MATCH($B148,Population_by_Province_Year!$B$4:$J$4,0)),"")</f>
        <v>76512</v>
      </c>
      <c r="H148" s="22">
        <f>IFERROR(D148/G148*100000,"")</f>
        <v>19.604767879548305</v>
      </c>
    </row>
    <row r="149" spans="1:8" ht="15" customHeight="1" x14ac:dyDescent="0.3">
      <c r="A149" s="20" t="s">
        <v>17</v>
      </c>
      <c r="B149" s="20">
        <v>2018</v>
      </c>
      <c r="C149" s="20" t="s">
        <v>101</v>
      </c>
      <c r="D149" s="20">
        <v>1308</v>
      </c>
      <c r="E149" s="20">
        <v>2</v>
      </c>
      <c r="F149" s="22">
        <f>IFERROR(E149/D149*100,"")</f>
        <v>0.1529051987767584</v>
      </c>
      <c r="G149" s="23">
        <f>IFERROR(INDEX(Population_by_Province_Year!$B$5:$J$29,MATCH($A149,Population_by_Province_Year!$A$5:$A$29,0),MATCH($B149,Population_by_Province_Year!$B$4:$J$4,0)),"")</f>
        <v>2324424</v>
      </c>
      <c r="H149" s="22">
        <f>IFERROR(D149/G149*100000,"")</f>
        <v>56.272005451673188</v>
      </c>
    </row>
    <row r="150" spans="1:8" ht="15" customHeight="1" x14ac:dyDescent="0.3">
      <c r="A150" s="20" t="s">
        <v>18</v>
      </c>
      <c r="B150" s="20">
        <v>2018</v>
      </c>
      <c r="C150" s="20" t="s">
        <v>101</v>
      </c>
      <c r="D150" s="20">
        <v>19</v>
      </c>
      <c r="E150" s="20">
        <v>0</v>
      </c>
      <c r="F150" s="22">
        <f>IFERROR(E150/D150*100,"")</f>
        <v>0</v>
      </c>
      <c r="G150" s="23">
        <f>IFERROR(INDEX(Population_by_Province_Year!$B$5:$J$29,MATCH($A150,Population_by_Province_Year!$A$5:$A$29,0),MATCH($B150,Population_by_Province_Year!$B$4:$J$4,0)),"")</f>
        <v>315842</v>
      </c>
      <c r="H150" s="22">
        <f>IFERROR(D150/G150*100000,"")</f>
        <v>6.0156660608785408</v>
      </c>
    </row>
    <row r="151" spans="1:8" ht="15" customHeight="1" x14ac:dyDescent="0.3">
      <c r="A151" s="20" t="s">
        <v>19</v>
      </c>
      <c r="B151" s="20">
        <v>2018</v>
      </c>
      <c r="C151" s="20" t="s">
        <v>101</v>
      </c>
      <c r="D151" s="20">
        <v>116</v>
      </c>
      <c r="E151" s="20">
        <v>0</v>
      </c>
      <c r="F151" s="22">
        <f>IFERROR(E151/D151*100,"")</f>
        <v>0</v>
      </c>
      <c r="G151" s="23">
        <f>IFERROR(INDEX(Population_by_Province_Year!$B$5:$J$29,MATCH($A151,Population_by_Province_Year!$A$5:$A$29,0),MATCH($B151,Population_by_Province_Year!$B$4:$J$4,0)),"")</f>
        <v>259570</v>
      </c>
      <c r="H151" s="22">
        <f>IFERROR(D151/G151*100000,"")</f>
        <v>44.689293832106948</v>
      </c>
    </row>
    <row r="152" spans="1:8" ht="15" customHeight="1" x14ac:dyDescent="0.3">
      <c r="A152" s="20" t="s">
        <v>20</v>
      </c>
      <c r="B152" s="20">
        <v>2018</v>
      </c>
      <c r="C152" s="20" t="s">
        <v>101</v>
      </c>
      <c r="D152" s="20">
        <v>145</v>
      </c>
      <c r="E152" s="20">
        <v>0</v>
      </c>
      <c r="F152" s="22">
        <f>IFERROR(E152/D152*100,"")</f>
        <v>0</v>
      </c>
      <c r="G152" s="23">
        <f>IFERROR(INDEX(Population_by_Province_Year!$B$5:$J$29,MATCH($A152,Population_by_Province_Year!$A$5:$A$29,0),MATCH($B152,Population_by_Province_Year!$B$4:$J$4,0)),"")</f>
        <v>1077407</v>
      </c>
      <c r="H152" s="22">
        <f>IFERROR(D152/G152*100000,"")</f>
        <v>13.458238158838768</v>
      </c>
    </row>
    <row r="153" spans="1:8" ht="15" customHeight="1" x14ac:dyDescent="0.3">
      <c r="A153" s="20" t="s">
        <v>21</v>
      </c>
      <c r="B153" s="20">
        <v>2018</v>
      </c>
      <c r="C153" s="20" t="s">
        <v>101</v>
      </c>
      <c r="D153" s="20">
        <v>24</v>
      </c>
      <c r="E153" s="20">
        <v>0</v>
      </c>
      <c r="F153" s="22">
        <f>IFERROR(E153/D153*100,"")</f>
        <v>0</v>
      </c>
      <c r="G153" s="23">
        <f>IFERROR(INDEX(Population_by_Province_Year!$B$5:$J$29,MATCH($A153,Population_by_Province_Year!$A$5:$A$29,0),MATCH($B153,Population_by_Province_Year!$B$4:$J$4,0)),"")</f>
        <v>427768</v>
      </c>
      <c r="H153" s="22">
        <f>IFERROR(D153/G153*100000,"")</f>
        <v>5.6105178507976285</v>
      </c>
    </row>
    <row r="154" spans="1:8" ht="15" customHeight="1" x14ac:dyDescent="0.3">
      <c r="A154" s="20" t="s">
        <v>22</v>
      </c>
      <c r="B154" s="20">
        <v>2018</v>
      </c>
      <c r="C154" s="20" t="s">
        <v>101</v>
      </c>
      <c r="D154" s="20">
        <v>6</v>
      </c>
      <c r="E154" s="20">
        <v>0</v>
      </c>
      <c r="F154" s="22">
        <f>IFERROR(E154/D154*100,"")</f>
        <v>0</v>
      </c>
      <c r="G154" s="23">
        <f>IFERROR(INDEX(Population_by_Province_Year!$B$5:$J$29,MATCH($A154,Population_by_Province_Year!$A$5:$A$29,0),MATCH($B154,Population_by_Province_Year!$B$4:$J$4,0)),"")</f>
        <v>221499</v>
      </c>
      <c r="H154" s="22">
        <f>IFERROR(D154/G154*100000,"")</f>
        <v>2.7088158411550389</v>
      </c>
    </row>
    <row r="155" spans="1:8" ht="15" customHeight="1" x14ac:dyDescent="0.3">
      <c r="A155" s="20" t="s">
        <v>23</v>
      </c>
      <c r="B155" s="20">
        <v>2018</v>
      </c>
      <c r="C155" s="20" t="s">
        <v>101</v>
      </c>
      <c r="D155" s="20">
        <v>429</v>
      </c>
      <c r="E155" s="20">
        <v>1</v>
      </c>
      <c r="F155" s="22">
        <f>IFERROR(E155/D155*100,"")</f>
        <v>0.23310023310023309</v>
      </c>
      <c r="G155" s="23">
        <f>IFERROR(INDEX(Population_by_Province_Year!$B$5:$J$29,MATCH($A155,Population_by_Province_Year!$A$5:$A$29,0),MATCH($B155,Population_by_Province_Year!$B$4:$J$4,0)),"")</f>
        <v>1033114</v>
      </c>
      <c r="H155" s="22">
        <f>IFERROR(D155/G155*100000,"")</f>
        <v>41.524943036296087</v>
      </c>
    </row>
    <row r="156" spans="1:8" ht="15" customHeight="1" x14ac:dyDescent="0.3">
      <c r="A156" s="20" t="s">
        <v>24</v>
      </c>
      <c r="B156" s="20">
        <v>2018</v>
      </c>
      <c r="C156" s="20" t="s">
        <v>101</v>
      </c>
      <c r="D156" s="20">
        <v>6</v>
      </c>
      <c r="E156" s="20">
        <v>0</v>
      </c>
      <c r="F156" s="22">
        <f>IFERROR(E156/D156*100,"")</f>
        <v>0</v>
      </c>
      <c r="G156" s="23">
        <f>IFERROR(INDEX(Population_by_Province_Year!$B$5:$J$29,MATCH($A156,Population_by_Province_Year!$A$5:$A$29,0),MATCH($B156,Population_by_Province_Year!$B$4:$J$4,0)),"")</f>
        <v>168798</v>
      </c>
      <c r="H156" s="22">
        <f>IFERROR(D156/G156*100000,"")</f>
        <v>3.5545444851242314</v>
      </c>
    </row>
    <row r="157" spans="1:8" ht="15" customHeight="1" x14ac:dyDescent="0.3">
      <c r="A157" s="20" t="s">
        <v>25</v>
      </c>
      <c r="B157" s="20">
        <v>2018</v>
      </c>
      <c r="C157" s="20" t="s">
        <v>101</v>
      </c>
      <c r="D157" s="20">
        <v>44</v>
      </c>
      <c r="E157" s="20">
        <v>0</v>
      </c>
      <c r="F157" s="22">
        <f>IFERROR(E157/D157*100,"")</f>
        <v>0</v>
      </c>
      <c r="G157" s="23">
        <f>IFERROR(INDEX(Population_by_Province_Year!$B$5:$J$29,MATCH($A157,Population_by_Province_Year!$A$5:$A$29,0),MATCH($B157,Population_by_Province_Year!$B$4:$J$4,0)),"")</f>
        <v>535277</v>
      </c>
      <c r="H157" s="22">
        <f>IFERROR(D157/G157*100000,"")</f>
        <v>8.2200430804985096</v>
      </c>
    </row>
    <row r="158" spans="1:8" ht="15" customHeight="1" x14ac:dyDescent="0.3">
      <c r="A158" s="20" t="s">
        <v>26</v>
      </c>
      <c r="B158" s="20">
        <v>2018</v>
      </c>
      <c r="C158" s="20" t="s">
        <v>101</v>
      </c>
      <c r="D158" s="20">
        <v>77</v>
      </c>
      <c r="E158" s="20">
        <v>0</v>
      </c>
      <c r="F158" s="22">
        <f>IFERROR(E158/D158*100,"")</f>
        <v>0</v>
      </c>
      <c r="G158" s="23">
        <f>IFERROR(INDEX(Population_by_Province_Year!$B$5:$J$29,MATCH($A158,Population_by_Province_Year!$A$5:$A$29,0),MATCH($B158,Population_by_Province_Year!$B$4:$J$4,0)),"")</f>
        <v>917685</v>
      </c>
      <c r="H158" s="22">
        <f>IFERROR(D158/G158*100000,"")</f>
        <v>8.3906787187324614</v>
      </c>
    </row>
    <row r="159" spans="1:8" ht="15" customHeight="1" x14ac:dyDescent="0.3">
      <c r="A159" s="20" t="s">
        <v>27</v>
      </c>
      <c r="B159" s="20">
        <v>2018</v>
      </c>
      <c r="C159" s="20" t="s">
        <v>101</v>
      </c>
      <c r="D159" s="20">
        <v>55</v>
      </c>
      <c r="E159" s="20">
        <v>0</v>
      </c>
      <c r="F159" s="22">
        <f>IFERROR(E159/D159*100,"")</f>
        <v>0</v>
      </c>
      <c r="G159" s="23">
        <f>IFERROR(INDEX(Population_by_Province_Year!$B$5:$J$29,MATCH($A159,Population_by_Province_Year!$A$5:$A$29,0),MATCH($B159,Population_by_Province_Year!$B$4:$J$4,0)),"")</f>
        <v>791301</v>
      </c>
      <c r="H159" s="22">
        <f>IFERROR(D159/G159*100000,"")</f>
        <v>6.9505788568446141</v>
      </c>
    </row>
    <row r="160" spans="1:8" ht="15" customHeight="1" x14ac:dyDescent="0.3">
      <c r="A160" s="20" t="s">
        <v>3</v>
      </c>
      <c r="B160" s="20">
        <v>2018</v>
      </c>
      <c r="C160" s="20" t="s">
        <v>97</v>
      </c>
      <c r="D160" s="20">
        <v>100</v>
      </c>
      <c r="E160" s="20">
        <v>0</v>
      </c>
      <c r="F160" s="22">
        <f>IFERROR(E160/D160*100,"")</f>
        <v>0</v>
      </c>
      <c r="G160" s="23">
        <f>IFERROR(INDEX(Population_by_Province_Year!$B$5:$J$29,MATCH($A160,Population_by_Province_Year!$A$5:$A$29,0),MATCH($B160,Population_by_Province_Year!$B$4:$J$4,0)),"")</f>
        <v>877925</v>
      </c>
      <c r="H160" s="22">
        <f>IFERROR(D160/G160*100000,"")</f>
        <v>11.390494632229405</v>
      </c>
    </row>
    <row r="161" spans="1:8" ht="15" customHeight="1" x14ac:dyDescent="0.3">
      <c r="A161" s="20" t="s">
        <v>4</v>
      </c>
      <c r="B161" s="20">
        <v>2018</v>
      </c>
      <c r="C161" s="20" t="s">
        <v>97</v>
      </c>
      <c r="D161" s="20">
        <v>77</v>
      </c>
      <c r="E161" s="20">
        <v>0</v>
      </c>
      <c r="F161" s="22">
        <f>IFERROR(E161/D161*100,"")</f>
        <v>0</v>
      </c>
      <c r="G161" s="23">
        <f>IFERROR(INDEX(Population_by_Province_Year!$B$5:$J$29,MATCH($A161,Population_by_Province_Year!$A$5:$A$29,0),MATCH($B161,Population_by_Province_Year!$B$4:$J$4,0)),"")</f>
        <v>1015729</v>
      </c>
      <c r="H161" s="22">
        <f>IFERROR(D161/G161*100000,"")</f>
        <v>7.5807621914900531</v>
      </c>
    </row>
    <row r="162" spans="1:8" ht="15" customHeight="1" x14ac:dyDescent="0.3">
      <c r="A162" s="20" t="s">
        <v>5</v>
      </c>
      <c r="B162" s="20">
        <v>2018</v>
      </c>
      <c r="C162" s="20" t="s">
        <v>97</v>
      </c>
      <c r="D162" s="20">
        <v>159</v>
      </c>
      <c r="E162" s="20">
        <v>0</v>
      </c>
      <c r="F162" s="22">
        <f>IFERROR(E162/D162*100,"")</f>
        <v>0</v>
      </c>
      <c r="G162" s="23">
        <f>IFERROR(INDEX(Population_by_Province_Year!$B$5:$J$29,MATCH($A162,Population_by_Province_Year!$A$5:$A$29,0),MATCH($B162,Population_by_Province_Year!$B$4:$J$4,0)),"")</f>
        <v>916540</v>
      </c>
      <c r="H162" s="22">
        <f>IFERROR(D162/G162*100000,"")</f>
        <v>17.347851703144435</v>
      </c>
    </row>
    <row r="163" spans="1:8" ht="15" customHeight="1" x14ac:dyDescent="0.3">
      <c r="A163" s="20" t="s">
        <v>6</v>
      </c>
      <c r="B163" s="20">
        <v>2018</v>
      </c>
      <c r="C163" s="20" t="s">
        <v>97</v>
      </c>
      <c r="D163" s="20">
        <v>124</v>
      </c>
      <c r="E163" s="20">
        <v>0</v>
      </c>
      <c r="F163" s="22">
        <f>IFERROR(E163/D163*100,"")</f>
        <v>0</v>
      </c>
      <c r="G163" s="23">
        <f>IFERROR(INDEX(Population_by_Province_Year!$B$5:$J$29,MATCH($A163,Population_by_Province_Year!$A$5:$A$29,0),MATCH($B163,Population_by_Province_Year!$B$4:$J$4,0)),"")</f>
        <v>536836</v>
      </c>
      <c r="H163" s="22">
        <f>IFERROR(D163/G163*100000,"")</f>
        <v>23.098301902256928</v>
      </c>
    </row>
    <row r="164" spans="1:8" ht="15" customHeight="1" x14ac:dyDescent="0.3">
      <c r="A164" s="20" t="s">
        <v>7</v>
      </c>
      <c r="B164" s="20">
        <v>2018</v>
      </c>
      <c r="C164" s="20" t="s">
        <v>97</v>
      </c>
      <c r="D164" s="20">
        <v>94</v>
      </c>
      <c r="E164" s="20">
        <v>0</v>
      </c>
      <c r="F164" s="22">
        <f>IFERROR(E164/D164*100,"")</f>
        <v>0</v>
      </c>
      <c r="G164" s="23">
        <f>IFERROR(INDEX(Population_by_Province_Year!$B$5:$J$29,MATCH($A164,Population_by_Province_Year!$A$5:$A$29,0),MATCH($B164,Population_by_Province_Year!$B$4:$J$4,0)),"")</f>
        <v>893858</v>
      </c>
      <c r="H164" s="22">
        <f>IFERROR(D164/G164*100000,"")</f>
        <v>10.516211747279769</v>
      </c>
    </row>
    <row r="165" spans="1:8" ht="15" customHeight="1" x14ac:dyDescent="0.3">
      <c r="A165" s="20" t="s">
        <v>8</v>
      </c>
      <c r="B165" s="20">
        <v>2018</v>
      </c>
      <c r="C165" s="20" t="s">
        <v>97</v>
      </c>
      <c r="D165" s="20">
        <v>180</v>
      </c>
      <c r="E165" s="20">
        <v>0</v>
      </c>
      <c r="F165" s="22">
        <f>IFERROR(E165/D165*100,"")</f>
        <v>0</v>
      </c>
      <c r="G165" s="23">
        <f>IFERROR(INDEX(Population_by_Province_Year!$B$5:$J$29,MATCH($A165,Population_by_Province_Year!$A$5:$A$29,0),MATCH($B165,Population_by_Province_Year!$B$4:$J$4,0)),"")</f>
        <v>694235</v>
      </c>
      <c r="H165" s="22">
        <f>IFERROR(D165/G165*100000,"")</f>
        <v>25.927819830460866</v>
      </c>
    </row>
    <row r="166" spans="1:8" ht="15" customHeight="1" x14ac:dyDescent="0.3">
      <c r="A166" s="20" t="s">
        <v>9</v>
      </c>
      <c r="B166" s="20">
        <v>2018</v>
      </c>
      <c r="C166" s="20" t="s">
        <v>97</v>
      </c>
      <c r="D166" s="20">
        <v>70</v>
      </c>
      <c r="E166" s="20">
        <v>0</v>
      </c>
      <c r="F166" s="22">
        <f>IFERROR(E166/D166*100,"")</f>
        <v>0</v>
      </c>
      <c r="G166" s="23">
        <f>IFERROR(INDEX(Population_by_Province_Year!$B$5:$J$29,MATCH($A166,Population_by_Province_Year!$A$5:$A$29,0),MATCH($B166,Population_by_Province_Year!$B$4:$J$4,0)),"")</f>
        <v>604881</v>
      </c>
      <c r="H166" s="22">
        <f>IFERROR(D166/G166*100000,"")</f>
        <v>11.572524182442496</v>
      </c>
    </row>
    <row r="167" spans="1:8" ht="15" customHeight="1" x14ac:dyDescent="0.3">
      <c r="A167" s="20" t="s">
        <v>10</v>
      </c>
      <c r="B167" s="20">
        <v>2018</v>
      </c>
      <c r="C167" s="20" t="s">
        <v>97</v>
      </c>
      <c r="D167" s="20">
        <v>642</v>
      </c>
      <c r="E167" s="20">
        <v>0</v>
      </c>
      <c r="F167" s="22">
        <f>IFERROR(E167/D167*100,"")</f>
        <v>0</v>
      </c>
      <c r="G167" s="23">
        <f>IFERROR(INDEX(Population_by_Province_Year!$B$5:$J$29,MATCH($A167,Population_by_Province_Year!$A$5:$A$29,0),MATCH($B167,Population_by_Province_Year!$B$4:$J$4,0)),"")</f>
        <v>1223947</v>
      </c>
      <c r="H167" s="22">
        <f>IFERROR(D167/G167*100000,"")</f>
        <v>52.453251652236574</v>
      </c>
    </row>
    <row r="168" spans="1:8" ht="15" customHeight="1" x14ac:dyDescent="0.3">
      <c r="A168" s="20" t="s">
        <v>11</v>
      </c>
      <c r="B168" s="20">
        <v>2018</v>
      </c>
      <c r="C168" s="20" t="s">
        <v>97</v>
      </c>
      <c r="D168" s="20">
        <v>2</v>
      </c>
      <c r="E168" s="20">
        <v>0</v>
      </c>
      <c r="F168" s="22">
        <f>IFERROR(E168/D168*100,"")</f>
        <v>0</v>
      </c>
      <c r="G168" s="23">
        <f>IFERROR(INDEX(Population_by_Province_Year!$B$5:$J$29,MATCH($A168,Population_by_Province_Year!$A$5:$A$29,0),MATCH($B168,Population_by_Province_Year!$B$4:$J$4,0)),"")</f>
        <v>43459</v>
      </c>
      <c r="H168" s="22">
        <f>IFERROR(D168/G168*100000,"")</f>
        <v>4.6020387031454932</v>
      </c>
    </row>
    <row r="169" spans="1:8" ht="15" customHeight="1" x14ac:dyDescent="0.3">
      <c r="A169" s="20" t="s">
        <v>12</v>
      </c>
      <c r="B169" s="20">
        <v>2018</v>
      </c>
      <c r="C169" s="20" t="s">
        <v>97</v>
      </c>
      <c r="D169" s="20">
        <v>7</v>
      </c>
      <c r="E169" s="20">
        <v>0</v>
      </c>
      <c r="F169" s="22">
        <f>IFERROR(E169/D169*100,"")</f>
        <v>0</v>
      </c>
      <c r="G169" s="23">
        <f>IFERROR(INDEX(Population_by_Province_Year!$B$5:$J$29,MATCH($A169,Population_by_Province_Year!$A$5:$A$29,0),MATCH($B169,Population_by_Province_Year!$B$4:$J$4,0)),"")</f>
        <v>128245</v>
      </c>
      <c r="H169" s="22">
        <f>IFERROR(D169/G169*100000,"")</f>
        <v>5.458302467932473</v>
      </c>
    </row>
    <row r="170" spans="1:8" ht="15" customHeight="1" x14ac:dyDescent="0.3">
      <c r="A170" s="20" t="s">
        <v>13</v>
      </c>
      <c r="B170" s="20">
        <v>2018</v>
      </c>
      <c r="C170" s="20" t="s">
        <v>97</v>
      </c>
      <c r="D170" s="20">
        <v>48</v>
      </c>
      <c r="E170" s="20">
        <v>0</v>
      </c>
      <c r="F170" s="22">
        <f>IFERROR(E170/D170*100,"")</f>
        <v>0</v>
      </c>
      <c r="G170" s="23">
        <f>IFERROR(INDEX(Population_by_Province_Year!$B$5:$J$29,MATCH($A170,Population_by_Province_Year!$A$5:$A$29,0),MATCH($B170,Population_by_Province_Year!$B$4:$J$4,0)),"")</f>
        <v>381732</v>
      </c>
      <c r="H170" s="22">
        <f>IFERROR(D170/G170*100000,"")</f>
        <v>12.574266763069378</v>
      </c>
    </row>
    <row r="171" spans="1:8" ht="15" customHeight="1" x14ac:dyDescent="0.3">
      <c r="A171" s="20" t="s">
        <v>14</v>
      </c>
      <c r="B171" s="20">
        <v>2018</v>
      </c>
      <c r="C171" s="20" t="s">
        <v>97</v>
      </c>
      <c r="D171" s="20">
        <v>9</v>
      </c>
      <c r="E171" s="20">
        <v>0</v>
      </c>
      <c r="F171" s="22">
        <f>IFERROR(E171/D171*100,"")</f>
        <v>0</v>
      </c>
      <c r="G171" s="23">
        <f>IFERROR(INDEX(Population_by_Province_Year!$B$5:$J$29,MATCH($A171,Population_by_Province_Year!$A$5:$A$29,0),MATCH($B171,Population_by_Province_Year!$B$4:$J$4,0)),"")</f>
        <v>93930</v>
      </c>
      <c r="H171" s="22">
        <f>IFERROR(D171/G171*100000,"")</f>
        <v>9.5816033216224845</v>
      </c>
    </row>
    <row r="172" spans="1:8" ht="15" customHeight="1" x14ac:dyDescent="0.3">
      <c r="A172" s="20" t="s">
        <v>15</v>
      </c>
      <c r="B172" s="20">
        <v>2018</v>
      </c>
      <c r="C172" s="20" t="s">
        <v>97</v>
      </c>
      <c r="D172" s="20">
        <v>69</v>
      </c>
      <c r="E172" s="20">
        <v>0</v>
      </c>
      <c r="F172" s="22">
        <f>IFERROR(E172/D172*100,"")</f>
        <v>0</v>
      </c>
      <c r="G172" s="23">
        <f>IFERROR(INDEX(Population_by_Province_Year!$B$5:$J$29,MATCH($A172,Population_by_Province_Year!$A$5:$A$29,0),MATCH($B172,Population_by_Province_Year!$B$4:$J$4,0)),"")</f>
        <v>281177</v>
      </c>
      <c r="H172" s="22">
        <f>IFERROR(D172/G172*100000,"")</f>
        <v>24.539702749513648</v>
      </c>
    </row>
    <row r="173" spans="1:8" ht="15" customHeight="1" x14ac:dyDescent="0.3">
      <c r="A173" s="20" t="s">
        <v>16</v>
      </c>
      <c r="B173" s="20">
        <v>2018</v>
      </c>
      <c r="C173" s="20" t="s">
        <v>97</v>
      </c>
      <c r="D173" s="20">
        <v>16</v>
      </c>
      <c r="E173" s="20">
        <v>0</v>
      </c>
      <c r="F173" s="22">
        <f>IFERROR(E173/D173*100,"")</f>
        <v>0</v>
      </c>
      <c r="G173" s="23">
        <f>IFERROR(INDEX(Population_by_Province_Year!$B$5:$J$29,MATCH($A173,Population_by_Province_Year!$A$5:$A$29,0),MATCH($B173,Population_by_Province_Year!$B$4:$J$4,0)),"")</f>
        <v>76512</v>
      </c>
      <c r="H173" s="22">
        <f>IFERROR(D173/G173*100000,"")</f>
        <v>20.911752404851526</v>
      </c>
    </row>
    <row r="174" spans="1:8" ht="15" customHeight="1" x14ac:dyDescent="0.3">
      <c r="A174" s="20" t="s">
        <v>17</v>
      </c>
      <c r="B174" s="20">
        <v>2018</v>
      </c>
      <c r="C174" s="20" t="s">
        <v>97</v>
      </c>
      <c r="D174" s="20">
        <v>1447</v>
      </c>
      <c r="E174" s="20">
        <v>0</v>
      </c>
      <c r="F174" s="22">
        <f>IFERROR(E174/D174*100,"")</f>
        <v>0</v>
      </c>
      <c r="G174" s="23">
        <f>IFERROR(INDEX(Population_by_Province_Year!$B$5:$J$29,MATCH($A174,Population_by_Province_Year!$A$5:$A$29,0),MATCH($B174,Population_by_Province_Year!$B$4:$J$4,0)),"")</f>
        <v>2324424</v>
      </c>
      <c r="H174" s="22">
        <f>IFERROR(D174/G174*100000,"")</f>
        <v>62.251981566185854</v>
      </c>
    </row>
    <row r="175" spans="1:8" ht="15" customHeight="1" x14ac:dyDescent="0.3">
      <c r="A175" s="20" t="s">
        <v>18</v>
      </c>
      <c r="B175" s="20">
        <v>2018</v>
      </c>
      <c r="C175" s="20" t="s">
        <v>97</v>
      </c>
      <c r="D175" s="20">
        <v>24</v>
      </c>
      <c r="E175" s="20">
        <v>0</v>
      </c>
      <c r="F175" s="22">
        <f>IFERROR(E175/D175*100,"")</f>
        <v>0</v>
      </c>
      <c r="G175" s="23">
        <f>IFERROR(INDEX(Population_by_Province_Year!$B$5:$J$29,MATCH($A175,Population_by_Province_Year!$A$5:$A$29,0),MATCH($B175,Population_by_Province_Year!$B$4:$J$4,0)),"")</f>
        <v>315842</v>
      </c>
      <c r="H175" s="22">
        <f>IFERROR(D175/G175*100000,"")</f>
        <v>7.5987360768992085</v>
      </c>
    </row>
    <row r="176" spans="1:8" ht="15" customHeight="1" x14ac:dyDescent="0.3">
      <c r="A176" s="20" t="s">
        <v>19</v>
      </c>
      <c r="B176" s="20">
        <v>2018</v>
      </c>
      <c r="C176" s="20" t="s">
        <v>97</v>
      </c>
      <c r="D176" s="20">
        <v>68</v>
      </c>
      <c r="E176" s="20">
        <v>0</v>
      </c>
      <c r="F176" s="22">
        <f>IFERROR(E176/D176*100,"")</f>
        <v>0</v>
      </c>
      <c r="G176" s="23">
        <f>IFERROR(INDEX(Population_by_Province_Year!$B$5:$J$29,MATCH($A176,Population_by_Province_Year!$A$5:$A$29,0),MATCH($B176,Population_by_Province_Year!$B$4:$J$4,0)),"")</f>
        <v>259570</v>
      </c>
      <c r="H176" s="22">
        <f>IFERROR(D176/G176*100000,"")</f>
        <v>26.197172246407522</v>
      </c>
    </row>
    <row r="177" spans="1:8" ht="15" customHeight="1" x14ac:dyDescent="0.3">
      <c r="A177" s="20" t="s">
        <v>20</v>
      </c>
      <c r="B177" s="20">
        <v>2018</v>
      </c>
      <c r="C177" s="20" t="s">
        <v>97</v>
      </c>
      <c r="D177" s="20">
        <v>176</v>
      </c>
      <c r="E177" s="20">
        <v>0</v>
      </c>
      <c r="F177" s="22">
        <f>IFERROR(E177/D177*100,"")</f>
        <v>0</v>
      </c>
      <c r="G177" s="23">
        <f>IFERROR(INDEX(Population_by_Province_Year!$B$5:$J$29,MATCH($A177,Population_by_Province_Year!$A$5:$A$29,0),MATCH($B177,Population_by_Province_Year!$B$4:$J$4,0)),"")</f>
        <v>1077407</v>
      </c>
      <c r="H177" s="22">
        <f>IFERROR(D177/G177*100000,"")</f>
        <v>16.335516661762917</v>
      </c>
    </row>
    <row r="178" spans="1:8" ht="15" customHeight="1" x14ac:dyDescent="0.3">
      <c r="A178" s="20" t="s">
        <v>21</v>
      </c>
      <c r="B178" s="20">
        <v>2018</v>
      </c>
      <c r="C178" s="20" t="s">
        <v>97</v>
      </c>
      <c r="D178" s="20">
        <v>33</v>
      </c>
      <c r="E178" s="20">
        <v>0</v>
      </c>
      <c r="F178" s="22">
        <f>IFERROR(E178/D178*100,"")</f>
        <v>0</v>
      </c>
      <c r="G178" s="23">
        <f>IFERROR(INDEX(Population_by_Province_Year!$B$5:$J$29,MATCH($A178,Population_by_Province_Year!$A$5:$A$29,0),MATCH($B178,Population_by_Province_Year!$B$4:$J$4,0)),"")</f>
        <v>427768</v>
      </c>
      <c r="H178" s="22">
        <f>IFERROR(D178/G178*100000,"")</f>
        <v>7.7144620448467389</v>
      </c>
    </row>
    <row r="179" spans="1:8" ht="15" customHeight="1" x14ac:dyDescent="0.3">
      <c r="A179" s="20" t="s">
        <v>22</v>
      </c>
      <c r="B179" s="20">
        <v>2018</v>
      </c>
      <c r="C179" s="20" t="s">
        <v>97</v>
      </c>
      <c r="D179" s="20">
        <v>8</v>
      </c>
      <c r="E179" s="20">
        <v>0</v>
      </c>
      <c r="F179" s="22">
        <f>IFERROR(E179/D179*100,"")</f>
        <v>0</v>
      </c>
      <c r="G179" s="23">
        <f>IFERROR(INDEX(Population_by_Province_Year!$B$5:$J$29,MATCH($A179,Population_by_Province_Year!$A$5:$A$29,0),MATCH($B179,Population_by_Province_Year!$B$4:$J$4,0)),"")</f>
        <v>221499</v>
      </c>
      <c r="H179" s="22">
        <f>IFERROR(D179/G179*100000,"")</f>
        <v>3.6117544548733855</v>
      </c>
    </row>
    <row r="180" spans="1:8" ht="15" customHeight="1" x14ac:dyDescent="0.3">
      <c r="A180" s="20" t="s">
        <v>23</v>
      </c>
      <c r="B180" s="20">
        <v>2018</v>
      </c>
      <c r="C180" s="20" t="s">
        <v>97</v>
      </c>
      <c r="D180" s="20">
        <v>472</v>
      </c>
      <c r="E180" s="20">
        <v>0</v>
      </c>
      <c r="F180" s="22">
        <f>IFERROR(E180/D180*100,"")</f>
        <v>0</v>
      </c>
      <c r="G180" s="23">
        <f>IFERROR(INDEX(Population_by_Province_Year!$B$5:$J$29,MATCH($A180,Population_by_Province_Year!$A$5:$A$29,0),MATCH($B180,Population_by_Province_Year!$B$4:$J$4,0)),"")</f>
        <v>1033114</v>
      </c>
      <c r="H180" s="22">
        <f>IFERROR(D180/G180*100000,"")</f>
        <v>45.687116813826933</v>
      </c>
    </row>
    <row r="181" spans="1:8" ht="15" customHeight="1" x14ac:dyDescent="0.3">
      <c r="A181" s="20" t="s">
        <v>24</v>
      </c>
      <c r="B181" s="20">
        <v>2018</v>
      </c>
      <c r="C181" s="20" t="s">
        <v>97</v>
      </c>
      <c r="D181" s="20">
        <v>4</v>
      </c>
      <c r="E181" s="20">
        <v>0</v>
      </c>
      <c r="F181" s="22">
        <f>IFERROR(E181/D181*100,"")</f>
        <v>0</v>
      </c>
      <c r="G181" s="23">
        <f>IFERROR(INDEX(Population_by_Province_Year!$B$5:$J$29,MATCH($A181,Population_by_Province_Year!$A$5:$A$29,0),MATCH($B181,Population_by_Province_Year!$B$4:$J$4,0)),"")</f>
        <v>168798</v>
      </c>
      <c r="H181" s="22">
        <f>IFERROR(D181/G181*100000,"")</f>
        <v>2.3696963234161541</v>
      </c>
    </row>
    <row r="182" spans="1:8" ht="15" customHeight="1" x14ac:dyDescent="0.3">
      <c r="A182" s="20" t="s">
        <v>25</v>
      </c>
      <c r="B182" s="20">
        <v>2018</v>
      </c>
      <c r="C182" s="20" t="s">
        <v>97</v>
      </c>
      <c r="D182" s="20">
        <v>43</v>
      </c>
      <c r="E182" s="20">
        <v>0</v>
      </c>
      <c r="F182" s="22">
        <f>IFERROR(E182/D182*100,"")</f>
        <v>0</v>
      </c>
      <c r="G182" s="23">
        <f>IFERROR(INDEX(Population_by_Province_Year!$B$5:$J$29,MATCH($A182,Population_by_Province_Year!$A$5:$A$29,0),MATCH($B182,Population_by_Province_Year!$B$4:$J$4,0)),"")</f>
        <v>535277</v>
      </c>
      <c r="H182" s="22">
        <f>IFERROR(D182/G182*100000,"")</f>
        <v>8.0332239195780879</v>
      </c>
    </row>
    <row r="183" spans="1:8" ht="15" customHeight="1" x14ac:dyDescent="0.3">
      <c r="A183" s="20" t="s">
        <v>26</v>
      </c>
      <c r="B183" s="20">
        <v>2018</v>
      </c>
      <c r="C183" s="20" t="s">
        <v>97</v>
      </c>
      <c r="D183" s="20">
        <v>67</v>
      </c>
      <c r="E183" s="20">
        <v>0</v>
      </c>
      <c r="F183" s="22">
        <f>IFERROR(E183/D183*100,"")</f>
        <v>0</v>
      </c>
      <c r="G183" s="23">
        <f>IFERROR(INDEX(Population_by_Province_Year!$B$5:$J$29,MATCH($A183,Population_by_Province_Year!$A$5:$A$29,0),MATCH($B183,Population_by_Province_Year!$B$4:$J$4,0)),"")</f>
        <v>917685</v>
      </c>
      <c r="H183" s="22">
        <f>IFERROR(D183/G183*100000,"")</f>
        <v>7.3009801838321424</v>
      </c>
    </row>
    <row r="184" spans="1:8" ht="15" customHeight="1" x14ac:dyDescent="0.3">
      <c r="A184" s="20" t="s">
        <v>27</v>
      </c>
      <c r="B184" s="20">
        <v>2018</v>
      </c>
      <c r="C184" s="20" t="s">
        <v>97</v>
      </c>
      <c r="D184" s="20">
        <v>63</v>
      </c>
      <c r="E184" s="20">
        <v>0</v>
      </c>
      <c r="F184" s="22">
        <f>IFERROR(E184/D184*100,"")</f>
        <v>0</v>
      </c>
      <c r="G184" s="23">
        <f>IFERROR(INDEX(Population_by_Province_Year!$B$5:$J$29,MATCH($A184,Population_by_Province_Year!$A$5:$A$29,0),MATCH($B184,Population_by_Province_Year!$B$4:$J$4,0)),"")</f>
        <v>791301</v>
      </c>
      <c r="H184" s="22">
        <f>IFERROR(D184/G184*100000,"")</f>
        <v>7.9615721451129211</v>
      </c>
    </row>
    <row r="185" spans="1:8" ht="15" customHeight="1" x14ac:dyDescent="0.3">
      <c r="A185" s="20" t="s">
        <v>3</v>
      </c>
      <c r="B185" s="20">
        <v>2018</v>
      </c>
      <c r="C185" s="20" t="s">
        <v>107</v>
      </c>
      <c r="D185" s="20">
        <v>119</v>
      </c>
      <c r="E185" s="20">
        <v>0</v>
      </c>
      <c r="F185" s="22">
        <f>IFERROR(E185/D185*100,"")</f>
        <v>0</v>
      </c>
      <c r="G185" s="23">
        <f>IFERROR(INDEX(Population_by_Province_Year!$B$5:$J$29,MATCH($A185,Population_by_Province_Year!$A$5:$A$29,0),MATCH($B185,Population_by_Province_Year!$B$4:$J$4,0)),"")</f>
        <v>877925</v>
      </c>
      <c r="H185" s="22">
        <f>IFERROR(D185/G185*100000,"")</f>
        <v>13.554688612352992</v>
      </c>
    </row>
    <row r="186" spans="1:8" ht="15" customHeight="1" x14ac:dyDescent="0.3">
      <c r="A186" s="20" t="s">
        <v>4</v>
      </c>
      <c r="B186" s="20">
        <v>2018</v>
      </c>
      <c r="C186" s="20" t="s">
        <v>107</v>
      </c>
      <c r="D186" s="20">
        <v>81</v>
      </c>
      <c r="E186" s="20">
        <v>1</v>
      </c>
      <c r="F186" s="22">
        <f>IFERROR(E186/D186*100,"")</f>
        <v>1.2345679012345678</v>
      </c>
      <c r="G186" s="23">
        <f>IFERROR(INDEX(Population_by_Province_Year!$B$5:$J$29,MATCH($A186,Population_by_Province_Year!$A$5:$A$29,0),MATCH($B186,Population_by_Province_Year!$B$4:$J$4,0)),"")</f>
        <v>1015729</v>
      </c>
      <c r="H186" s="22">
        <f>IFERROR(D186/G186*100000,"")</f>
        <v>7.9745680196194062</v>
      </c>
    </row>
    <row r="187" spans="1:8" ht="15" customHeight="1" x14ac:dyDescent="0.3">
      <c r="A187" s="20" t="s">
        <v>5</v>
      </c>
      <c r="B187" s="20">
        <v>2018</v>
      </c>
      <c r="C187" s="20" t="s">
        <v>107</v>
      </c>
      <c r="D187" s="20">
        <v>154</v>
      </c>
      <c r="E187" s="20">
        <v>0</v>
      </c>
      <c r="F187" s="22">
        <f>IFERROR(E187/D187*100,"")</f>
        <v>0</v>
      </c>
      <c r="G187" s="23">
        <f>IFERROR(INDEX(Population_by_Province_Year!$B$5:$J$29,MATCH($A187,Population_by_Province_Year!$A$5:$A$29,0),MATCH($B187,Population_by_Province_Year!$B$4:$J$4,0)),"")</f>
        <v>916540</v>
      </c>
      <c r="H187" s="22">
        <f>IFERROR(D187/G187*100000,"")</f>
        <v>16.802321775372597</v>
      </c>
    </row>
    <row r="188" spans="1:8" ht="15" customHeight="1" x14ac:dyDescent="0.3">
      <c r="A188" s="20" t="s">
        <v>6</v>
      </c>
      <c r="B188" s="20">
        <v>2018</v>
      </c>
      <c r="C188" s="20" t="s">
        <v>107</v>
      </c>
      <c r="D188" s="20">
        <v>70</v>
      </c>
      <c r="E188" s="20">
        <v>1</v>
      </c>
      <c r="F188" s="22">
        <f>IFERROR(E188/D188*100,"")</f>
        <v>1.4285714285714286</v>
      </c>
      <c r="G188" s="23">
        <f>IFERROR(INDEX(Population_by_Province_Year!$B$5:$J$29,MATCH($A188,Population_by_Province_Year!$A$5:$A$29,0),MATCH($B188,Population_by_Province_Year!$B$4:$J$4,0)),"")</f>
        <v>536836</v>
      </c>
      <c r="H188" s="22">
        <f>IFERROR(D188/G188*100000,"")</f>
        <v>13.039363977080523</v>
      </c>
    </row>
    <row r="189" spans="1:8" ht="15" customHeight="1" x14ac:dyDescent="0.3">
      <c r="A189" s="20" t="s">
        <v>7</v>
      </c>
      <c r="B189" s="20">
        <v>2018</v>
      </c>
      <c r="C189" s="20" t="s">
        <v>107</v>
      </c>
      <c r="D189" s="20">
        <v>98</v>
      </c>
      <c r="E189" s="20">
        <v>0</v>
      </c>
      <c r="F189" s="22">
        <f>IFERROR(E189/D189*100,"")</f>
        <v>0</v>
      </c>
      <c r="G189" s="23">
        <f>IFERROR(INDEX(Population_by_Province_Year!$B$5:$J$29,MATCH($A189,Population_by_Province_Year!$A$5:$A$29,0),MATCH($B189,Population_by_Province_Year!$B$4:$J$4,0)),"")</f>
        <v>893858</v>
      </c>
      <c r="H189" s="22">
        <f>IFERROR(D189/G189*100000,"")</f>
        <v>10.963710119504441</v>
      </c>
    </row>
    <row r="190" spans="1:8" ht="15" customHeight="1" x14ac:dyDescent="0.3">
      <c r="A190" s="20" t="s">
        <v>8</v>
      </c>
      <c r="B190" s="20">
        <v>2018</v>
      </c>
      <c r="C190" s="20" t="s">
        <v>107</v>
      </c>
      <c r="D190" s="20">
        <v>82</v>
      </c>
      <c r="E190" s="20">
        <v>0</v>
      </c>
      <c r="F190" s="22">
        <f>IFERROR(E190/D190*100,"")</f>
        <v>0</v>
      </c>
      <c r="G190" s="23">
        <f>IFERROR(INDEX(Population_by_Province_Year!$B$5:$J$29,MATCH($A190,Population_by_Province_Year!$A$5:$A$29,0),MATCH($B190,Population_by_Province_Year!$B$4:$J$4,0)),"")</f>
        <v>694235</v>
      </c>
      <c r="H190" s="22">
        <f>IFERROR(D190/G190*100000,"")</f>
        <v>11.811562367209952</v>
      </c>
    </row>
    <row r="191" spans="1:8" ht="15" customHeight="1" x14ac:dyDescent="0.3">
      <c r="A191" s="20" t="s">
        <v>9</v>
      </c>
      <c r="B191" s="20">
        <v>2018</v>
      </c>
      <c r="C191" s="20" t="s">
        <v>107</v>
      </c>
      <c r="D191" s="20">
        <v>40</v>
      </c>
      <c r="E191" s="20">
        <v>0</v>
      </c>
      <c r="F191" s="22">
        <f>IFERROR(E191/D191*100,"")</f>
        <v>0</v>
      </c>
      <c r="G191" s="23">
        <f>IFERROR(INDEX(Population_by_Province_Year!$B$5:$J$29,MATCH($A191,Population_by_Province_Year!$A$5:$A$29,0),MATCH($B191,Population_by_Province_Year!$B$4:$J$4,0)),"")</f>
        <v>604881</v>
      </c>
      <c r="H191" s="22">
        <f>IFERROR(D191/G191*100000,"")</f>
        <v>6.6128709613957124</v>
      </c>
    </row>
    <row r="192" spans="1:8" ht="15" customHeight="1" x14ac:dyDescent="0.3">
      <c r="A192" s="20" t="s">
        <v>10</v>
      </c>
      <c r="B192" s="20">
        <v>2018</v>
      </c>
      <c r="C192" s="20" t="s">
        <v>107</v>
      </c>
      <c r="D192" s="20">
        <v>479</v>
      </c>
      <c r="E192" s="20">
        <v>0</v>
      </c>
      <c r="F192" s="22">
        <f>IFERROR(E192/D192*100,"")</f>
        <v>0</v>
      </c>
      <c r="G192" s="23">
        <f>IFERROR(INDEX(Population_by_Province_Year!$B$5:$J$29,MATCH($A192,Population_by_Province_Year!$A$5:$A$29,0),MATCH($B192,Population_by_Province_Year!$B$4:$J$4,0)),"")</f>
        <v>1223947</v>
      </c>
      <c r="H192" s="22">
        <f>IFERROR(D192/G192*100000,"")</f>
        <v>39.135681528693645</v>
      </c>
    </row>
    <row r="193" spans="1:8" ht="15" customHeight="1" x14ac:dyDescent="0.3">
      <c r="A193" s="20" t="s">
        <v>11</v>
      </c>
      <c r="B193" s="20">
        <v>2018</v>
      </c>
      <c r="C193" s="20" t="s">
        <v>107</v>
      </c>
      <c r="D193" s="20">
        <v>3</v>
      </c>
      <c r="E193" s="20">
        <v>0</v>
      </c>
      <c r="F193" s="22">
        <f>IFERROR(E193/D193*100,"")</f>
        <v>0</v>
      </c>
      <c r="G193" s="23">
        <f>IFERROR(INDEX(Population_by_Province_Year!$B$5:$J$29,MATCH($A193,Population_by_Province_Year!$A$5:$A$29,0),MATCH($B193,Population_by_Province_Year!$B$4:$J$4,0)),"")</f>
        <v>43459</v>
      </c>
      <c r="H193" s="22">
        <f>IFERROR(D193/G193*100000,"")</f>
        <v>6.9030580547182394</v>
      </c>
    </row>
    <row r="194" spans="1:8" ht="15" customHeight="1" x14ac:dyDescent="0.3">
      <c r="A194" s="20" t="s">
        <v>12</v>
      </c>
      <c r="B194" s="20">
        <v>2018</v>
      </c>
      <c r="C194" s="20" t="s">
        <v>107</v>
      </c>
      <c r="D194" s="20">
        <v>3</v>
      </c>
      <c r="E194" s="20">
        <v>0</v>
      </c>
      <c r="F194" s="22">
        <f>IFERROR(E194/D194*100,"")</f>
        <v>0</v>
      </c>
      <c r="G194" s="23">
        <f>IFERROR(INDEX(Population_by_Province_Year!$B$5:$J$29,MATCH($A194,Population_by_Province_Year!$A$5:$A$29,0),MATCH($B194,Population_by_Province_Year!$B$4:$J$4,0)),"")</f>
        <v>128245</v>
      </c>
      <c r="H194" s="22">
        <f>IFERROR(D194/G194*100000,"")</f>
        <v>2.3392724862567742</v>
      </c>
    </row>
    <row r="195" spans="1:8" ht="15" customHeight="1" x14ac:dyDescent="0.3">
      <c r="A195" s="20" t="s">
        <v>13</v>
      </c>
      <c r="B195" s="20">
        <v>2018</v>
      </c>
      <c r="C195" s="20" t="s">
        <v>107</v>
      </c>
      <c r="D195" s="20">
        <v>29</v>
      </c>
      <c r="E195" s="20">
        <v>0</v>
      </c>
      <c r="F195" s="22">
        <f>IFERROR(E195/D195*100,"")</f>
        <v>0</v>
      </c>
      <c r="G195" s="23">
        <f>IFERROR(INDEX(Population_by_Province_Year!$B$5:$J$29,MATCH($A195,Population_by_Province_Year!$A$5:$A$29,0),MATCH($B195,Population_by_Province_Year!$B$4:$J$4,0)),"")</f>
        <v>381732</v>
      </c>
      <c r="H195" s="22">
        <f>IFERROR(D195/G195*100000,"")</f>
        <v>7.5969528360210825</v>
      </c>
    </row>
    <row r="196" spans="1:8" ht="15" customHeight="1" x14ac:dyDescent="0.3">
      <c r="A196" s="20" t="s">
        <v>14</v>
      </c>
      <c r="B196" s="20">
        <v>2018</v>
      </c>
      <c r="C196" s="20" t="s">
        <v>107</v>
      </c>
      <c r="D196" s="20">
        <v>3</v>
      </c>
      <c r="E196" s="20">
        <v>0</v>
      </c>
      <c r="F196" s="22">
        <f>IFERROR(E196/D196*100,"")</f>
        <v>0</v>
      </c>
      <c r="G196" s="23">
        <f>IFERROR(INDEX(Population_by_Province_Year!$B$5:$J$29,MATCH($A196,Population_by_Province_Year!$A$5:$A$29,0),MATCH($B196,Population_by_Province_Year!$B$4:$J$4,0)),"")</f>
        <v>93930</v>
      </c>
      <c r="H196" s="22">
        <f>IFERROR(D196/G196*100000,"")</f>
        <v>3.1938677738741617</v>
      </c>
    </row>
    <row r="197" spans="1:8" ht="15" customHeight="1" x14ac:dyDescent="0.3">
      <c r="A197" s="20" t="s">
        <v>15</v>
      </c>
      <c r="B197" s="20">
        <v>2018</v>
      </c>
      <c r="C197" s="20" t="s">
        <v>107</v>
      </c>
      <c r="D197" s="20">
        <v>28</v>
      </c>
      <c r="E197" s="20">
        <v>0</v>
      </c>
      <c r="F197" s="22">
        <f>IFERROR(E197/D197*100,"")</f>
        <v>0</v>
      </c>
      <c r="G197" s="23">
        <f>IFERROR(INDEX(Population_by_Province_Year!$B$5:$J$29,MATCH($A197,Population_by_Province_Year!$A$5:$A$29,0),MATCH($B197,Population_by_Province_Year!$B$4:$J$4,0)),"")</f>
        <v>281177</v>
      </c>
      <c r="H197" s="22">
        <f>IFERROR(D197/G197*100000,"")</f>
        <v>9.9581402461794521</v>
      </c>
    </row>
    <row r="198" spans="1:8" ht="15" customHeight="1" x14ac:dyDescent="0.3">
      <c r="A198" s="20" t="s">
        <v>16</v>
      </c>
      <c r="B198" s="20">
        <v>2018</v>
      </c>
      <c r="C198" s="20" t="s">
        <v>107</v>
      </c>
      <c r="D198" s="20">
        <v>7</v>
      </c>
      <c r="E198" s="20">
        <v>0</v>
      </c>
      <c r="F198" s="22">
        <f>IFERROR(E198/D198*100,"")</f>
        <v>0</v>
      </c>
      <c r="G198" s="23">
        <f>IFERROR(INDEX(Population_by_Province_Year!$B$5:$J$29,MATCH($A198,Population_by_Province_Year!$A$5:$A$29,0),MATCH($B198,Population_by_Province_Year!$B$4:$J$4,0)),"")</f>
        <v>76512</v>
      </c>
      <c r="H198" s="22">
        <f>IFERROR(D198/G198*100000,"")</f>
        <v>9.1488916771225419</v>
      </c>
    </row>
    <row r="199" spans="1:8" ht="15" customHeight="1" x14ac:dyDescent="0.3">
      <c r="A199" s="20" t="s">
        <v>17</v>
      </c>
      <c r="B199" s="20">
        <v>2018</v>
      </c>
      <c r="C199" s="20" t="s">
        <v>107</v>
      </c>
      <c r="D199" s="20">
        <v>1201</v>
      </c>
      <c r="E199" s="20">
        <v>0</v>
      </c>
      <c r="F199" s="22">
        <f>IFERROR(E199/D199*100,"")</f>
        <v>0</v>
      </c>
      <c r="G199" s="23">
        <f>IFERROR(INDEX(Population_by_Province_Year!$B$5:$J$29,MATCH($A199,Population_by_Province_Year!$A$5:$A$29,0),MATCH($B199,Population_by_Province_Year!$B$4:$J$4,0)),"")</f>
        <v>2324424</v>
      </c>
      <c r="H199" s="22">
        <f>IFERROR(D199/G199*100000,"")</f>
        <v>51.668714485825305</v>
      </c>
    </row>
    <row r="200" spans="1:8" ht="15" customHeight="1" x14ac:dyDescent="0.3">
      <c r="A200" s="20" t="s">
        <v>18</v>
      </c>
      <c r="B200" s="20">
        <v>2018</v>
      </c>
      <c r="C200" s="20" t="s">
        <v>107</v>
      </c>
      <c r="D200" s="20">
        <v>14</v>
      </c>
      <c r="E200" s="20">
        <v>0</v>
      </c>
      <c r="F200" s="22">
        <f>IFERROR(E200/D200*100,"")</f>
        <v>0</v>
      </c>
      <c r="G200" s="23">
        <f>IFERROR(INDEX(Population_by_Province_Year!$B$5:$J$29,MATCH($A200,Population_by_Province_Year!$A$5:$A$29,0),MATCH($B200,Population_by_Province_Year!$B$4:$J$4,0)),"")</f>
        <v>315842</v>
      </c>
      <c r="H200" s="22">
        <f>IFERROR(D200/G200*100000,"")</f>
        <v>4.4325960448578723</v>
      </c>
    </row>
    <row r="201" spans="1:8" ht="15" customHeight="1" x14ac:dyDescent="0.3">
      <c r="A201" s="20" t="s">
        <v>19</v>
      </c>
      <c r="B201" s="20">
        <v>2018</v>
      </c>
      <c r="C201" s="20" t="s">
        <v>107</v>
      </c>
      <c r="D201" s="20">
        <v>50</v>
      </c>
      <c r="E201" s="20">
        <v>0</v>
      </c>
      <c r="F201" s="22">
        <f>IFERROR(E201/D201*100,"")</f>
        <v>0</v>
      </c>
      <c r="G201" s="23">
        <f>IFERROR(INDEX(Population_by_Province_Year!$B$5:$J$29,MATCH($A201,Population_by_Province_Year!$A$5:$A$29,0),MATCH($B201,Population_by_Province_Year!$B$4:$J$4,0)),"")</f>
        <v>259570</v>
      </c>
      <c r="H201" s="22">
        <f>IFERROR(D201/G201*100000,"")</f>
        <v>19.262626651770237</v>
      </c>
    </row>
    <row r="202" spans="1:8" ht="15" customHeight="1" x14ac:dyDescent="0.3">
      <c r="A202" s="20" t="s">
        <v>20</v>
      </c>
      <c r="B202" s="20">
        <v>2018</v>
      </c>
      <c r="C202" s="20" t="s">
        <v>107</v>
      </c>
      <c r="D202" s="20">
        <v>131</v>
      </c>
      <c r="E202" s="20">
        <v>2</v>
      </c>
      <c r="F202" s="22">
        <f>IFERROR(E202/D202*100,"")</f>
        <v>1.5267175572519083</v>
      </c>
      <c r="G202" s="23">
        <f>IFERROR(INDEX(Population_by_Province_Year!$B$5:$J$29,MATCH($A202,Population_by_Province_Year!$A$5:$A$29,0),MATCH($B202,Population_by_Province_Year!$B$4:$J$4,0)),"")</f>
        <v>1077407</v>
      </c>
      <c r="H202" s="22">
        <f>IFERROR(D202/G202*100000,"")</f>
        <v>12.15882206074399</v>
      </c>
    </row>
    <row r="203" spans="1:8" ht="15" customHeight="1" x14ac:dyDescent="0.3">
      <c r="A203" s="20" t="s">
        <v>21</v>
      </c>
      <c r="B203" s="20">
        <v>2018</v>
      </c>
      <c r="C203" s="20" t="s">
        <v>107</v>
      </c>
      <c r="D203" s="20">
        <v>28</v>
      </c>
      <c r="E203" s="20">
        <v>0</v>
      </c>
      <c r="F203" s="22">
        <f>IFERROR(E203/D203*100,"")</f>
        <v>0</v>
      </c>
      <c r="G203" s="23">
        <f>IFERROR(INDEX(Population_by_Province_Year!$B$5:$J$29,MATCH($A203,Population_by_Province_Year!$A$5:$A$29,0),MATCH($B203,Population_by_Province_Year!$B$4:$J$4,0)),"")</f>
        <v>427768</v>
      </c>
      <c r="H203" s="22">
        <f>IFERROR(D203/G203*100000,"")</f>
        <v>6.5456041592639007</v>
      </c>
    </row>
    <row r="204" spans="1:8" ht="15" customHeight="1" x14ac:dyDescent="0.3">
      <c r="A204" s="20" t="s">
        <v>22</v>
      </c>
      <c r="B204" s="20">
        <v>2018</v>
      </c>
      <c r="C204" s="20" t="s">
        <v>107</v>
      </c>
      <c r="D204" s="20">
        <v>4</v>
      </c>
      <c r="E204" s="20">
        <v>0</v>
      </c>
      <c r="F204" s="22">
        <f>IFERROR(E204/D204*100,"")</f>
        <v>0</v>
      </c>
      <c r="G204" s="23">
        <f>IFERROR(INDEX(Population_by_Province_Year!$B$5:$J$29,MATCH($A204,Population_by_Province_Year!$A$5:$A$29,0),MATCH($B204,Population_by_Province_Year!$B$4:$J$4,0)),"")</f>
        <v>221499</v>
      </c>
      <c r="H204" s="22">
        <f>IFERROR(D204/G204*100000,"")</f>
        <v>1.8058772274366928</v>
      </c>
    </row>
    <row r="205" spans="1:8" ht="15" customHeight="1" x14ac:dyDescent="0.3">
      <c r="A205" s="20" t="s">
        <v>23</v>
      </c>
      <c r="B205" s="20">
        <v>2018</v>
      </c>
      <c r="C205" s="20" t="s">
        <v>107</v>
      </c>
      <c r="D205" s="20">
        <v>433</v>
      </c>
      <c r="E205" s="20">
        <v>0</v>
      </c>
      <c r="F205" s="22">
        <f>IFERROR(E205/D205*100,"")</f>
        <v>0</v>
      </c>
      <c r="G205" s="23">
        <f>IFERROR(INDEX(Population_by_Province_Year!$B$5:$J$29,MATCH($A205,Population_by_Province_Year!$A$5:$A$29,0),MATCH($B205,Population_by_Province_Year!$B$4:$J$4,0)),"")</f>
        <v>1033114</v>
      </c>
      <c r="H205" s="22">
        <f>IFERROR(D205/G205*100000,"")</f>
        <v>41.912121992345469</v>
      </c>
    </row>
    <row r="206" spans="1:8" ht="15" customHeight="1" x14ac:dyDescent="0.3">
      <c r="A206" s="20" t="s">
        <v>24</v>
      </c>
      <c r="B206" s="20">
        <v>2018</v>
      </c>
      <c r="C206" s="20" t="s">
        <v>107</v>
      </c>
      <c r="D206" s="20">
        <v>1</v>
      </c>
      <c r="E206" s="20">
        <v>0</v>
      </c>
      <c r="F206" s="22">
        <f>IFERROR(E206/D206*100,"")</f>
        <v>0</v>
      </c>
      <c r="G206" s="23">
        <f>IFERROR(INDEX(Population_by_Province_Year!$B$5:$J$29,MATCH($A206,Population_by_Province_Year!$A$5:$A$29,0),MATCH($B206,Population_by_Province_Year!$B$4:$J$4,0)),"")</f>
        <v>168798</v>
      </c>
      <c r="H206" s="22">
        <f>IFERROR(D206/G206*100000,"")</f>
        <v>0.59242408085403853</v>
      </c>
    </row>
    <row r="207" spans="1:8" ht="15" customHeight="1" x14ac:dyDescent="0.3">
      <c r="A207" s="20" t="s">
        <v>25</v>
      </c>
      <c r="B207" s="20">
        <v>2018</v>
      </c>
      <c r="C207" s="20" t="s">
        <v>107</v>
      </c>
      <c r="D207" s="20">
        <v>42</v>
      </c>
      <c r="E207" s="20">
        <v>1</v>
      </c>
      <c r="F207" s="22">
        <f>IFERROR(E207/D207*100,"")</f>
        <v>2.3809523809523809</v>
      </c>
      <c r="G207" s="23">
        <f>IFERROR(INDEX(Population_by_Province_Year!$B$5:$J$29,MATCH($A207,Population_by_Province_Year!$A$5:$A$29,0),MATCH($B207,Population_by_Province_Year!$B$4:$J$4,0)),"")</f>
        <v>535277</v>
      </c>
      <c r="H207" s="22">
        <f>IFERROR(D207/G207*100000,"")</f>
        <v>7.8464047586576671</v>
      </c>
    </row>
    <row r="208" spans="1:8" ht="15" customHeight="1" x14ac:dyDescent="0.3">
      <c r="A208" s="20" t="s">
        <v>26</v>
      </c>
      <c r="B208" s="20">
        <v>2018</v>
      </c>
      <c r="C208" s="20" t="s">
        <v>107</v>
      </c>
      <c r="D208" s="20">
        <v>62</v>
      </c>
      <c r="E208" s="20">
        <v>0</v>
      </c>
      <c r="F208" s="22">
        <f>IFERROR(E208/D208*100,"")</f>
        <v>0</v>
      </c>
      <c r="G208" s="23">
        <f>IFERROR(INDEX(Population_by_Province_Year!$B$5:$J$29,MATCH($A208,Population_by_Province_Year!$A$5:$A$29,0),MATCH($B208,Population_by_Province_Year!$B$4:$J$4,0)),"")</f>
        <v>917685</v>
      </c>
      <c r="H208" s="22">
        <f>IFERROR(D208/G208*100000,"")</f>
        <v>6.7561309163819825</v>
      </c>
    </row>
    <row r="209" spans="1:8" ht="15" customHeight="1" x14ac:dyDescent="0.3">
      <c r="A209" s="20" t="s">
        <v>27</v>
      </c>
      <c r="B209" s="20">
        <v>2018</v>
      </c>
      <c r="C209" s="20" t="s">
        <v>107</v>
      </c>
      <c r="D209" s="20">
        <v>43</v>
      </c>
      <c r="E209" s="20">
        <v>0</v>
      </c>
      <c r="F209" s="22">
        <f>IFERROR(E209/D209*100,"")</f>
        <v>0</v>
      </c>
      <c r="G209" s="23">
        <f>IFERROR(INDEX(Population_by_Province_Year!$B$5:$J$29,MATCH($A209,Population_by_Province_Year!$A$5:$A$29,0),MATCH($B209,Population_by_Province_Year!$B$4:$J$4,0)),"")</f>
        <v>791301</v>
      </c>
      <c r="H209" s="22">
        <f>IFERROR(D209/G209*100000,"")</f>
        <v>5.4340889244421531</v>
      </c>
    </row>
    <row r="210" spans="1:8" ht="15" customHeight="1" x14ac:dyDescent="0.3">
      <c r="A210" s="20" t="s">
        <v>3</v>
      </c>
      <c r="B210" s="20">
        <v>2018</v>
      </c>
      <c r="C210" s="20" t="s">
        <v>106</v>
      </c>
      <c r="D210" s="20">
        <v>126</v>
      </c>
      <c r="E210" s="20">
        <v>0</v>
      </c>
      <c r="F210" s="22">
        <f>IFERROR(E210/D210*100,"")</f>
        <v>0</v>
      </c>
      <c r="G210" s="23">
        <f>IFERROR(INDEX(Population_by_Province_Year!$B$5:$J$29,MATCH($A210,Population_by_Province_Year!$A$5:$A$29,0),MATCH($B210,Population_by_Province_Year!$B$4:$J$4,0)),"")</f>
        <v>877925</v>
      </c>
      <c r="H210" s="22">
        <f>IFERROR(D210/G210*100000,"")</f>
        <v>14.35202323660905</v>
      </c>
    </row>
    <row r="211" spans="1:8" ht="15" customHeight="1" x14ac:dyDescent="0.3">
      <c r="A211" s="20" t="s">
        <v>4</v>
      </c>
      <c r="B211" s="20">
        <v>2018</v>
      </c>
      <c r="C211" s="20" t="s">
        <v>106</v>
      </c>
      <c r="D211" s="20">
        <v>71</v>
      </c>
      <c r="E211" s="20">
        <v>0</v>
      </c>
      <c r="F211" s="22">
        <f>IFERROR(E211/D211*100,"")</f>
        <v>0</v>
      </c>
      <c r="G211" s="23">
        <f>IFERROR(INDEX(Population_by_Province_Year!$B$5:$J$29,MATCH($A211,Population_by_Province_Year!$A$5:$A$29,0),MATCH($B211,Population_by_Province_Year!$B$4:$J$4,0)),"")</f>
        <v>1015729</v>
      </c>
      <c r="H211" s="22">
        <f>IFERROR(D211/G211*100000,"")</f>
        <v>6.9900534492960231</v>
      </c>
    </row>
    <row r="212" spans="1:8" ht="15" customHeight="1" x14ac:dyDescent="0.3">
      <c r="A212" s="20" t="s">
        <v>5</v>
      </c>
      <c r="B212" s="20">
        <v>2018</v>
      </c>
      <c r="C212" s="20" t="s">
        <v>106</v>
      </c>
      <c r="D212" s="20">
        <v>98</v>
      </c>
      <c r="E212" s="20">
        <v>0</v>
      </c>
      <c r="F212" s="22">
        <f>IFERROR(E212/D212*100,"")</f>
        <v>0</v>
      </c>
      <c r="G212" s="23">
        <f>IFERROR(INDEX(Population_by_Province_Year!$B$5:$J$29,MATCH($A212,Population_by_Province_Year!$A$5:$A$29,0),MATCH($B212,Population_by_Province_Year!$B$4:$J$4,0)),"")</f>
        <v>916540</v>
      </c>
      <c r="H212" s="22">
        <f>IFERROR(D212/G212*100000,"")</f>
        <v>10.692386584328016</v>
      </c>
    </row>
    <row r="213" spans="1:8" ht="15" customHeight="1" x14ac:dyDescent="0.3">
      <c r="A213" s="20" t="s">
        <v>6</v>
      </c>
      <c r="B213" s="20">
        <v>2018</v>
      </c>
      <c r="C213" s="20" t="s">
        <v>106</v>
      </c>
      <c r="D213" s="20">
        <v>42</v>
      </c>
      <c r="E213" s="20">
        <v>0</v>
      </c>
      <c r="F213" s="22">
        <f>IFERROR(E213/D213*100,"")</f>
        <v>0</v>
      </c>
      <c r="G213" s="23">
        <f>IFERROR(INDEX(Population_by_Province_Year!$B$5:$J$29,MATCH($A213,Population_by_Province_Year!$A$5:$A$29,0),MATCH($B213,Population_by_Province_Year!$B$4:$J$4,0)),"")</f>
        <v>536836</v>
      </c>
      <c r="H213" s="22">
        <f>IFERROR(D213/G213*100000,"")</f>
        <v>7.823618386248314</v>
      </c>
    </row>
    <row r="214" spans="1:8" ht="15" customHeight="1" x14ac:dyDescent="0.3">
      <c r="A214" s="20" t="s">
        <v>7</v>
      </c>
      <c r="B214" s="20">
        <v>2018</v>
      </c>
      <c r="C214" s="20" t="s">
        <v>106</v>
      </c>
      <c r="D214" s="20">
        <v>101</v>
      </c>
      <c r="E214" s="20">
        <v>1</v>
      </c>
      <c r="F214" s="22">
        <f>IFERROR(E214/D214*100,"")</f>
        <v>0.99009900990099009</v>
      </c>
      <c r="G214" s="23">
        <f>IFERROR(INDEX(Population_by_Province_Year!$B$5:$J$29,MATCH($A214,Population_by_Province_Year!$A$5:$A$29,0),MATCH($B214,Population_by_Province_Year!$B$4:$J$4,0)),"")</f>
        <v>893858</v>
      </c>
      <c r="H214" s="22">
        <f>IFERROR(D214/G214*100000,"")</f>
        <v>11.299333898672945</v>
      </c>
    </row>
    <row r="215" spans="1:8" ht="15" customHeight="1" x14ac:dyDescent="0.3">
      <c r="A215" s="20" t="s">
        <v>8</v>
      </c>
      <c r="B215" s="20">
        <v>2018</v>
      </c>
      <c r="C215" s="20" t="s">
        <v>106</v>
      </c>
      <c r="D215" s="20">
        <v>72</v>
      </c>
      <c r="E215" s="20">
        <v>0</v>
      </c>
      <c r="F215" s="22">
        <f>IFERROR(E215/D215*100,"")</f>
        <v>0</v>
      </c>
      <c r="G215" s="23">
        <f>IFERROR(INDEX(Population_by_Province_Year!$B$5:$J$29,MATCH($A215,Population_by_Province_Year!$A$5:$A$29,0),MATCH($B215,Population_by_Province_Year!$B$4:$J$4,0)),"")</f>
        <v>694235</v>
      </c>
      <c r="H215" s="22">
        <f>IFERROR(D215/G215*100000,"")</f>
        <v>10.371127932184347</v>
      </c>
    </row>
    <row r="216" spans="1:8" ht="15" customHeight="1" x14ac:dyDescent="0.3">
      <c r="A216" s="20" t="s">
        <v>9</v>
      </c>
      <c r="B216" s="20">
        <v>2018</v>
      </c>
      <c r="C216" s="20" t="s">
        <v>106</v>
      </c>
      <c r="D216" s="20">
        <v>40</v>
      </c>
      <c r="E216" s="20">
        <v>0</v>
      </c>
      <c r="F216" s="22">
        <f>IFERROR(E216/D216*100,"")</f>
        <v>0</v>
      </c>
      <c r="G216" s="23">
        <f>IFERROR(INDEX(Population_by_Province_Year!$B$5:$J$29,MATCH($A216,Population_by_Province_Year!$A$5:$A$29,0),MATCH($B216,Population_by_Province_Year!$B$4:$J$4,0)),"")</f>
        <v>604881</v>
      </c>
      <c r="H216" s="22">
        <f>IFERROR(D216/G216*100000,"")</f>
        <v>6.6128709613957124</v>
      </c>
    </row>
    <row r="217" spans="1:8" ht="15" customHeight="1" x14ac:dyDescent="0.3">
      <c r="A217" s="20" t="s">
        <v>10</v>
      </c>
      <c r="B217" s="20">
        <v>2018</v>
      </c>
      <c r="C217" s="20" t="s">
        <v>106</v>
      </c>
      <c r="D217" s="20">
        <v>397</v>
      </c>
      <c r="E217" s="20">
        <v>0</v>
      </c>
      <c r="F217" s="22">
        <f>IFERROR(E217/D217*100,"")</f>
        <v>0</v>
      </c>
      <c r="G217" s="23">
        <f>IFERROR(INDEX(Population_by_Province_Year!$B$5:$J$29,MATCH($A217,Population_by_Province_Year!$A$5:$A$29,0),MATCH($B217,Population_by_Province_Year!$B$4:$J$4,0)),"")</f>
        <v>1223947</v>
      </c>
      <c r="H217" s="22">
        <f>IFERROR(D217/G217*100000,"")</f>
        <v>32.436045024825418</v>
      </c>
    </row>
    <row r="218" spans="1:8" ht="15" customHeight="1" x14ac:dyDescent="0.3">
      <c r="A218" s="20" t="s">
        <v>11</v>
      </c>
      <c r="B218" s="20">
        <v>2018</v>
      </c>
      <c r="C218" s="20" t="s">
        <v>106</v>
      </c>
      <c r="D218" s="20">
        <v>2</v>
      </c>
      <c r="E218" s="20">
        <v>0</v>
      </c>
      <c r="F218" s="22">
        <f>IFERROR(E218/D218*100,"")</f>
        <v>0</v>
      </c>
      <c r="G218" s="23">
        <f>IFERROR(INDEX(Population_by_Province_Year!$B$5:$J$29,MATCH($A218,Population_by_Province_Year!$A$5:$A$29,0),MATCH($B218,Population_by_Province_Year!$B$4:$J$4,0)),"")</f>
        <v>43459</v>
      </c>
      <c r="H218" s="22">
        <f>IFERROR(D218/G218*100000,"")</f>
        <v>4.6020387031454932</v>
      </c>
    </row>
    <row r="219" spans="1:8" ht="15" customHeight="1" x14ac:dyDescent="0.3">
      <c r="A219" s="20" t="s">
        <v>12</v>
      </c>
      <c r="B219" s="20">
        <v>2018</v>
      </c>
      <c r="C219" s="20" t="s">
        <v>106</v>
      </c>
      <c r="D219" s="20">
        <v>4</v>
      </c>
      <c r="E219" s="20">
        <v>0</v>
      </c>
      <c r="F219" s="22">
        <f>IFERROR(E219/D219*100,"")</f>
        <v>0</v>
      </c>
      <c r="G219" s="23">
        <f>IFERROR(INDEX(Population_by_Province_Year!$B$5:$J$29,MATCH($A219,Population_by_Province_Year!$A$5:$A$29,0),MATCH($B219,Population_by_Province_Year!$B$4:$J$4,0)),"")</f>
        <v>128245</v>
      </c>
      <c r="H219" s="22">
        <f>IFERROR(D219/G219*100000,"")</f>
        <v>3.1190299816756992</v>
      </c>
    </row>
    <row r="220" spans="1:8" ht="15" customHeight="1" x14ac:dyDescent="0.3">
      <c r="A220" s="20" t="s">
        <v>13</v>
      </c>
      <c r="B220" s="20">
        <v>2018</v>
      </c>
      <c r="C220" s="20" t="s">
        <v>106</v>
      </c>
      <c r="D220" s="20">
        <v>11</v>
      </c>
      <c r="E220" s="20">
        <v>0</v>
      </c>
      <c r="F220" s="22">
        <f>IFERROR(E220/D220*100,"")</f>
        <v>0</v>
      </c>
      <c r="G220" s="23">
        <f>IFERROR(INDEX(Population_by_Province_Year!$B$5:$J$29,MATCH($A220,Population_by_Province_Year!$A$5:$A$29,0),MATCH($B220,Population_by_Province_Year!$B$4:$J$4,0)),"")</f>
        <v>381732</v>
      </c>
      <c r="H220" s="22">
        <f>IFERROR(D220/G220*100000,"")</f>
        <v>2.8816027998700657</v>
      </c>
    </row>
    <row r="221" spans="1:8" ht="15" customHeight="1" x14ac:dyDescent="0.3">
      <c r="A221" s="20" t="s">
        <v>14</v>
      </c>
      <c r="B221" s="20">
        <v>2018</v>
      </c>
      <c r="C221" s="20" t="s">
        <v>106</v>
      </c>
      <c r="D221" s="20">
        <v>2</v>
      </c>
      <c r="E221" s="20">
        <v>0</v>
      </c>
      <c r="F221" s="22">
        <f>IFERROR(E221/D221*100,"")</f>
        <v>0</v>
      </c>
      <c r="G221" s="23">
        <f>IFERROR(INDEX(Population_by_Province_Year!$B$5:$J$29,MATCH($A221,Population_by_Province_Year!$A$5:$A$29,0),MATCH($B221,Population_by_Province_Year!$B$4:$J$4,0)),"")</f>
        <v>93930</v>
      </c>
      <c r="H221" s="22">
        <f>IFERROR(D221/G221*100000,"")</f>
        <v>2.1292451825827743</v>
      </c>
    </row>
    <row r="222" spans="1:8" ht="15" customHeight="1" x14ac:dyDescent="0.3">
      <c r="A222" s="20" t="s">
        <v>15</v>
      </c>
      <c r="B222" s="20">
        <v>2018</v>
      </c>
      <c r="C222" s="20" t="s">
        <v>106</v>
      </c>
      <c r="D222" s="20">
        <v>31</v>
      </c>
      <c r="E222" s="20">
        <v>0</v>
      </c>
      <c r="F222" s="22">
        <f>IFERROR(E222/D222*100,"")</f>
        <v>0</v>
      </c>
      <c r="G222" s="23">
        <f>IFERROR(INDEX(Population_by_Province_Year!$B$5:$J$29,MATCH($A222,Population_by_Province_Year!$A$5:$A$29,0),MATCH($B222,Population_by_Province_Year!$B$4:$J$4,0)),"")</f>
        <v>281177</v>
      </c>
      <c r="H222" s="22">
        <f>IFERROR(D222/G222*100000,"")</f>
        <v>11.025083843984394</v>
      </c>
    </row>
    <row r="223" spans="1:8" ht="15" customHeight="1" x14ac:dyDescent="0.3">
      <c r="A223" s="20" t="s">
        <v>16</v>
      </c>
      <c r="B223" s="20">
        <v>2018</v>
      </c>
      <c r="C223" s="20" t="s">
        <v>106</v>
      </c>
      <c r="D223" s="20">
        <v>6</v>
      </c>
      <c r="E223" s="20">
        <v>0</v>
      </c>
      <c r="F223" s="22">
        <f>IFERROR(E223/D223*100,"")</f>
        <v>0</v>
      </c>
      <c r="G223" s="23">
        <f>IFERROR(INDEX(Population_by_Province_Year!$B$5:$J$29,MATCH($A223,Population_by_Province_Year!$A$5:$A$29,0),MATCH($B223,Population_by_Province_Year!$B$4:$J$4,0)),"")</f>
        <v>76512</v>
      </c>
      <c r="H223" s="22">
        <f>IFERROR(D223/G223*100000,"")</f>
        <v>7.8419071518193215</v>
      </c>
    </row>
    <row r="224" spans="1:8" ht="15" customHeight="1" x14ac:dyDescent="0.3">
      <c r="A224" s="20" t="s">
        <v>17</v>
      </c>
      <c r="B224" s="20">
        <v>2018</v>
      </c>
      <c r="C224" s="20" t="s">
        <v>106</v>
      </c>
      <c r="D224" s="20">
        <v>1260</v>
      </c>
      <c r="E224" s="20">
        <v>0</v>
      </c>
      <c r="F224" s="22">
        <f>IFERROR(E224/D224*100,"")</f>
        <v>0</v>
      </c>
      <c r="G224" s="23">
        <f>IFERROR(INDEX(Population_by_Province_Year!$B$5:$J$29,MATCH($A224,Population_by_Province_Year!$A$5:$A$29,0),MATCH($B224,Population_by_Province_Year!$B$4:$J$4,0)),"")</f>
        <v>2324424</v>
      </c>
      <c r="H224" s="22">
        <f>IFERROR(D224/G224*100000,"")</f>
        <v>54.206977728676009</v>
      </c>
    </row>
    <row r="225" spans="1:8" ht="15" customHeight="1" x14ac:dyDescent="0.3">
      <c r="A225" s="20" t="s">
        <v>18</v>
      </c>
      <c r="B225" s="20">
        <v>2018</v>
      </c>
      <c r="C225" s="20" t="s">
        <v>106</v>
      </c>
      <c r="D225" s="20">
        <v>21</v>
      </c>
      <c r="E225" s="20">
        <v>0</v>
      </c>
      <c r="F225" s="22">
        <f>IFERROR(E225/D225*100,"")</f>
        <v>0</v>
      </c>
      <c r="G225" s="23">
        <f>IFERROR(INDEX(Population_by_Province_Year!$B$5:$J$29,MATCH($A225,Population_by_Province_Year!$A$5:$A$29,0),MATCH($B225,Population_by_Province_Year!$B$4:$J$4,0)),"")</f>
        <v>315842</v>
      </c>
      <c r="H225" s="22">
        <f>IFERROR(D225/G225*100000,"")</f>
        <v>6.6488940672868084</v>
      </c>
    </row>
    <row r="226" spans="1:8" ht="15" customHeight="1" x14ac:dyDescent="0.3">
      <c r="A226" s="20" t="s">
        <v>19</v>
      </c>
      <c r="B226" s="20">
        <v>2018</v>
      </c>
      <c r="C226" s="20" t="s">
        <v>106</v>
      </c>
      <c r="D226" s="20">
        <v>29</v>
      </c>
      <c r="E226" s="20">
        <v>0</v>
      </c>
      <c r="F226" s="22">
        <f>IFERROR(E226/D226*100,"")</f>
        <v>0</v>
      </c>
      <c r="G226" s="23">
        <f>IFERROR(INDEX(Population_by_Province_Year!$B$5:$J$29,MATCH($A226,Population_by_Province_Year!$A$5:$A$29,0),MATCH($B226,Population_by_Province_Year!$B$4:$J$4,0)),"")</f>
        <v>259570</v>
      </c>
      <c r="H226" s="22">
        <f>IFERROR(D226/G226*100000,"")</f>
        <v>11.172323458026737</v>
      </c>
    </row>
    <row r="227" spans="1:8" ht="15" customHeight="1" x14ac:dyDescent="0.3">
      <c r="A227" s="20" t="s">
        <v>20</v>
      </c>
      <c r="B227" s="20">
        <v>2018</v>
      </c>
      <c r="C227" s="20" t="s">
        <v>106</v>
      </c>
      <c r="D227" s="20">
        <v>90</v>
      </c>
      <c r="E227" s="20">
        <v>0</v>
      </c>
      <c r="F227" s="22">
        <f>IFERROR(E227/D227*100,"")</f>
        <v>0</v>
      </c>
      <c r="G227" s="23">
        <f>IFERROR(INDEX(Population_by_Province_Year!$B$5:$J$29,MATCH($A227,Population_by_Province_Year!$A$5:$A$29,0),MATCH($B227,Population_by_Province_Year!$B$4:$J$4,0)),"")</f>
        <v>1077407</v>
      </c>
      <c r="H227" s="22">
        <f>IFERROR(D227/G227*100000,"")</f>
        <v>8.3533892020378548</v>
      </c>
    </row>
    <row r="228" spans="1:8" ht="15" customHeight="1" x14ac:dyDescent="0.3">
      <c r="A228" s="20" t="s">
        <v>21</v>
      </c>
      <c r="B228" s="20">
        <v>2018</v>
      </c>
      <c r="C228" s="20" t="s">
        <v>106</v>
      </c>
      <c r="D228" s="20">
        <v>22</v>
      </c>
      <c r="E228" s="20">
        <v>0</v>
      </c>
      <c r="F228" s="22">
        <f>IFERROR(E228/D228*100,"")</f>
        <v>0</v>
      </c>
      <c r="G228" s="23">
        <f>IFERROR(INDEX(Population_by_Province_Year!$B$5:$J$29,MATCH($A228,Population_by_Province_Year!$A$5:$A$29,0),MATCH($B228,Population_by_Province_Year!$B$4:$J$4,0)),"")</f>
        <v>427768</v>
      </c>
      <c r="H228" s="22">
        <f>IFERROR(D228/G228*100000,"")</f>
        <v>5.1429746965644929</v>
      </c>
    </row>
    <row r="229" spans="1:8" ht="15" customHeight="1" x14ac:dyDescent="0.3">
      <c r="A229" s="20" t="s">
        <v>22</v>
      </c>
      <c r="B229" s="20">
        <v>2018</v>
      </c>
      <c r="C229" s="20" t="s">
        <v>106</v>
      </c>
      <c r="D229" s="20">
        <v>4</v>
      </c>
      <c r="E229" s="20">
        <v>0</v>
      </c>
      <c r="F229" s="22">
        <f>IFERROR(E229/D229*100,"")</f>
        <v>0</v>
      </c>
      <c r="G229" s="23">
        <f>IFERROR(INDEX(Population_by_Province_Year!$B$5:$J$29,MATCH($A229,Population_by_Province_Year!$A$5:$A$29,0),MATCH($B229,Population_by_Province_Year!$B$4:$J$4,0)),"")</f>
        <v>221499</v>
      </c>
      <c r="H229" s="22">
        <f>IFERROR(D229/G229*100000,"")</f>
        <v>1.8058772274366928</v>
      </c>
    </row>
    <row r="230" spans="1:8" ht="15" customHeight="1" x14ac:dyDescent="0.3">
      <c r="A230" s="20" t="s">
        <v>23</v>
      </c>
      <c r="B230" s="20">
        <v>2018</v>
      </c>
      <c r="C230" s="20" t="s">
        <v>106</v>
      </c>
      <c r="D230" s="20">
        <v>329</v>
      </c>
      <c r="E230" s="20">
        <v>0</v>
      </c>
      <c r="F230" s="22">
        <f>IFERROR(E230/D230*100,"")</f>
        <v>0</v>
      </c>
      <c r="G230" s="23">
        <f>IFERROR(INDEX(Population_by_Province_Year!$B$5:$J$29,MATCH($A230,Population_by_Province_Year!$A$5:$A$29,0),MATCH($B230,Population_by_Province_Year!$B$4:$J$4,0)),"")</f>
        <v>1033114</v>
      </c>
      <c r="H230" s="22">
        <f>IFERROR(D230/G230*100000,"")</f>
        <v>31.845469135061574</v>
      </c>
    </row>
    <row r="231" spans="1:8" ht="15" customHeight="1" x14ac:dyDescent="0.3">
      <c r="A231" s="20" t="s">
        <v>24</v>
      </c>
      <c r="B231" s="20">
        <v>2018</v>
      </c>
      <c r="C231" s="20" t="s">
        <v>106</v>
      </c>
      <c r="D231" s="20">
        <v>2</v>
      </c>
      <c r="E231" s="20">
        <v>0</v>
      </c>
      <c r="F231" s="22">
        <f>IFERROR(E231/D231*100,"")</f>
        <v>0</v>
      </c>
      <c r="G231" s="23">
        <f>IFERROR(INDEX(Population_by_Province_Year!$B$5:$J$29,MATCH($A231,Population_by_Province_Year!$A$5:$A$29,0),MATCH($B231,Population_by_Province_Year!$B$4:$J$4,0)),"")</f>
        <v>168798</v>
      </c>
      <c r="H231" s="22">
        <f>IFERROR(D231/G231*100000,"")</f>
        <v>1.1848481617080771</v>
      </c>
    </row>
    <row r="232" spans="1:8" ht="15" customHeight="1" x14ac:dyDescent="0.3">
      <c r="A232" s="20" t="s">
        <v>25</v>
      </c>
      <c r="B232" s="20">
        <v>2018</v>
      </c>
      <c r="C232" s="20" t="s">
        <v>106</v>
      </c>
      <c r="D232" s="20">
        <v>27</v>
      </c>
      <c r="E232" s="20">
        <v>0</v>
      </c>
      <c r="F232" s="22">
        <f>IFERROR(E232/D232*100,"")</f>
        <v>0</v>
      </c>
      <c r="G232" s="23">
        <f>IFERROR(INDEX(Population_by_Province_Year!$B$5:$J$29,MATCH($A232,Population_by_Province_Year!$A$5:$A$29,0),MATCH($B232,Population_by_Province_Year!$B$4:$J$4,0)),"")</f>
        <v>535277</v>
      </c>
      <c r="H232" s="22">
        <f>IFERROR(D232/G232*100000,"")</f>
        <v>5.0441173448513572</v>
      </c>
    </row>
    <row r="233" spans="1:8" ht="15" customHeight="1" x14ac:dyDescent="0.3">
      <c r="A233" s="20" t="s">
        <v>26</v>
      </c>
      <c r="B233" s="20">
        <v>2018</v>
      </c>
      <c r="C233" s="20" t="s">
        <v>106</v>
      </c>
      <c r="D233" s="20">
        <v>63</v>
      </c>
      <c r="E233" s="20">
        <v>0</v>
      </c>
      <c r="F233" s="22">
        <f>IFERROR(E233/D233*100,"")</f>
        <v>0</v>
      </c>
      <c r="G233" s="23">
        <f>IFERROR(INDEX(Population_by_Province_Year!$B$5:$J$29,MATCH($A233,Population_by_Province_Year!$A$5:$A$29,0),MATCH($B233,Population_by_Province_Year!$B$4:$J$4,0)),"")</f>
        <v>917685</v>
      </c>
      <c r="H233" s="22">
        <f>IFERROR(D233/G233*100000,"")</f>
        <v>6.865100769872015</v>
      </c>
    </row>
    <row r="234" spans="1:8" ht="15" customHeight="1" x14ac:dyDescent="0.3">
      <c r="A234" s="20" t="s">
        <v>27</v>
      </c>
      <c r="B234" s="20">
        <v>2018</v>
      </c>
      <c r="C234" s="20" t="s">
        <v>106</v>
      </c>
      <c r="D234" s="20">
        <v>28</v>
      </c>
      <c r="E234" s="20">
        <v>0</v>
      </c>
      <c r="F234" s="22">
        <f>IFERROR(E234/D234*100,"")</f>
        <v>0</v>
      </c>
      <c r="G234" s="23">
        <f>IFERROR(INDEX(Population_by_Province_Year!$B$5:$J$29,MATCH($A234,Population_by_Province_Year!$A$5:$A$29,0),MATCH($B234,Population_by_Province_Year!$B$4:$J$4,0)),"")</f>
        <v>791301</v>
      </c>
      <c r="H234" s="22">
        <f>IFERROR(D234/G234*100000,"")</f>
        <v>3.5384765089390759</v>
      </c>
    </row>
    <row r="235" spans="1:8" ht="15" customHeight="1" x14ac:dyDescent="0.3">
      <c r="A235" s="20" t="s">
        <v>3</v>
      </c>
      <c r="B235" s="20">
        <v>2018</v>
      </c>
      <c r="C235" s="20" t="s">
        <v>105</v>
      </c>
      <c r="D235" s="20">
        <v>97</v>
      </c>
      <c r="E235" s="20">
        <v>0</v>
      </c>
      <c r="F235" s="22">
        <f>IFERROR(E235/D235*100,"")</f>
        <v>0</v>
      </c>
      <c r="G235" s="23">
        <f>IFERROR(INDEX(Population_by_Province_Year!$B$5:$J$29,MATCH($A235,Population_by_Province_Year!$A$5:$A$29,0),MATCH($B235,Population_by_Province_Year!$B$4:$J$4,0)),"")</f>
        <v>877925</v>
      </c>
      <c r="H235" s="22">
        <f>IFERROR(D235/G235*100000,"")</f>
        <v>11.048779793262522</v>
      </c>
    </row>
    <row r="236" spans="1:8" ht="15" customHeight="1" x14ac:dyDescent="0.3">
      <c r="A236" s="20" t="s">
        <v>4</v>
      </c>
      <c r="B236" s="20">
        <v>2018</v>
      </c>
      <c r="C236" s="20" t="s">
        <v>105</v>
      </c>
      <c r="D236" s="20">
        <v>66</v>
      </c>
      <c r="E236" s="20">
        <v>0</v>
      </c>
      <c r="F236" s="22">
        <f>IFERROR(E236/D236*100,"")</f>
        <v>0</v>
      </c>
      <c r="G236" s="23">
        <f>IFERROR(INDEX(Population_by_Province_Year!$B$5:$J$29,MATCH($A236,Population_by_Province_Year!$A$5:$A$29,0),MATCH($B236,Population_by_Province_Year!$B$4:$J$4,0)),"")</f>
        <v>1015729</v>
      </c>
      <c r="H236" s="22">
        <f>IFERROR(D236/G236*100000,"")</f>
        <v>6.4977961641343311</v>
      </c>
    </row>
    <row r="237" spans="1:8" ht="15" customHeight="1" x14ac:dyDescent="0.3">
      <c r="A237" s="20" t="s">
        <v>5</v>
      </c>
      <c r="B237" s="20">
        <v>2018</v>
      </c>
      <c r="C237" s="20" t="s">
        <v>105</v>
      </c>
      <c r="D237" s="20">
        <v>113</v>
      </c>
      <c r="E237" s="20">
        <v>0</v>
      </c>
      <c r="F237" s="22">
        <f>IFERROR(E237/D237*100,"")</f>
        <v>0</v>
      </c>
      <c r="G237" s="23">
        <f>IFERROR(INDEX(Population_by_Province_Year!$B$5:$J$29,MATCH($A237,Population_by_Province_Year!$A$5:$A$29,0),MATCH($B237,Population_by_Province_Year!$B$4:$J$4,0)),"")</f>
        <v>916540</v>
      </c>
      <c r="H237" s="22">
        <f>IFERROR(D237/G237*100000,"")</f>
        <v>12.328976367643531</v>
      </c>
    </row>
    <row r="238" spans="1:8" ht="15" customHeight="1" x14ac:dyDescent="0.3">
      <c r="A238" s="20" t="s">
        <v>6</v>
      </c>
      <c r="B238" s="20">
        <v>2018</v>
      </c>
      <c r="C238" s="20" t="s">
        <v>105</v>
      </c>
      <c r="D238" s="20">
        <v>30</v>
      </c>
      <c r="E238" s="20">
        <v>0</v>
      </c>
      <c r="F238" s="22">
        <f>IFERROR(E238/D238*100,"")</f>
        <v>0</v>
      </c>
      <c r="G238" s="23">
        <f>IFERROR(INDEX(Population_by_Province_Year!$B$5:$J$29,MATCH($A238,Population_by_Province_Year!$A$5:$A$29,0),MATCH($B238,Population_by_Province_Year!$B$4:$J$4,0)),"")</f>
        <v>536836</v>
      </c>
      <c r="H238" s="22">
        <f>IFERROR(D238/G238*100000,"")</f>
        <v>5.5882988473202238</v>
      </c>
    </row>
    <row r="239" spans="1:8" ht="15" customHeight="1" x14ac:dyDescent="0.3">
      <c r="A239" s="20" t="s">
        <v>7</v>
      </c>
      <c r="B239" s="20">
        <v>2018</v>
      </c>
      <c r="C239" s="20" t="s">
        <v>105</v>
      </c>
      <c r="D239" s="20">
        <v>89</v>
      </c>
      <c r="E239" s="20">
        <v>0</v>
      </c>
      <c r="F239" s="22">
        <f>IFERROR(E239/D239*100,"")</f>
        <v>0</v>
      </c>
      <c r="G239" s="23">
        <f>IFERROR(INDEX(Population_by_Province_Year!$B$5:$J$29,MATCH($A239,Population_by_Province_Year!$A$5:$A$29,0),MATCH($B239,Population_by_Province_Year!$B$4:$J$4,0)),"")</f>
        <v>893858</v>
      </c>
      <c r="H239" s="22">
        <f>IFERROR(D239/G239*100000,"")</f>
        <v>9.9568387819989308</v>
      </c>
    </row>
    <row r="240" spans="1:8" ht="15" customHeight="1" x14ac:dyDescent="0.3">
      <c r="A240" s="20" t="s">
        <v>8</v>
      </c>
      <c r="B240" s="20">
        <v>2018</v>
      </c>
      <c r="C240" s="20" t="s">
        <v>105</v>
      </c>
      <c r="D240" s="20">
        <v>84</v>
      </c>
      <c r="E240" s="20">
        <v>0</v>
      </c>
      <c r="F240" s="22">
        <f>IFERROR(E240/D240*100,"")</f>
        <v>0</v>
      </c>
      <c r="G240" s="23">
        <f>IFERROR(INDEX(Population_by_Province_Year!$B$5:$J$29,MATCH($A240,Population_by_Province_Year!$A$5:$A$29,0),MATCH($B240,Population_by_Province_Year!$B$4:$J$4,0)),"")</f>
        <v>694235</v>
      </c>
      <c r="H240" s="22">
        <f>IFERROR(D240/G240*100000,"")</f>
        <v>12.09964925421507</v>
      </c>
    </row>
    <row r="241" spans="1:8" ht="15" customHeight="1" x14ac:dyDescent="0.3">
      <c r="A241" s="20" t="s">
        <v>9</v>
      </c>
      <c r="B241" s="20">
        <v>2018</v>
      </c>
      <c r="C241" s="20" t="s">
        <v>105</v>
      </c>
      <c r="D241" s="20">
        <v>58</v>
      </c>
      <c r="E241" s="20">
        <v>1</v>
      </c>
      <c r="F241" s="22">
        <f>IFERROR(E241/D241*100,"")</f>
        <v>1.7241379310344827</v>
      </c>
      <c r="G241" s="23">
        <f>IFERROR(INDEX(Population_by_Province_Year!$B$5:$J$29,MATCH($A241,Population_by_Province_Year!$A$5:$A$29,0),MATCH($B241,Population_by_Province_Year!$B$4:$J$4,0)),"")</f>
        <v>604881</v>
      </c>
      <c r="H241" s="22">
        <f>IFERROR(D241/G241*100000,"")</f>
        <v>9.5886628940237824</v>
      </c>
    </row>
    <row r="242" spans="1:8" ht="15" customHeight="1" x14ac:dyDescent="0.3">
      <c r="A242" s="20" t="s">
        <v>10</v>
      </c>
      <c r="B242" s="20">
        <v>2018</v>
      </c>
      <c r="C242" s="20" t="s">
        <v>105</v>
      </c>
      <c r="D242" s="20">
        <v>443</v>
      </c>
      <c r="E242" s="20">
        <v>0</v>
      </c>
      <c r="F242" s="22">
        <f>IFERROR(E242/D242*100,"")</f>
        <v>0</v>
      </c>
      <c r="G242" s="23">
        <f>IFERROR(INDEX(Population_by_Province_Year!$B$5:$J$29,MATCH($A242,Population_by_Province_Year!$A$5:$A$29,0),MATCH($B242,Population_by_Province_Year!$B$4:$J$4,0)),"")</f>
        <v>1223947</v>
      </c>
      <c r="H242" s="22">
        <f>IFERROR(D242/G242*100000,"")</f>
        <v>36.194377697727106</v>
      </c>
    </row>
    <row r="243" spans="1:8" ht="15" customHeight="1" x14ac:dyDescent="0.3">
      <c r="A243" s="20" t="s">
        <v>12</v>
      </c>
      <c r="B243" s="20">
        <v>2018</v>
      </c>
      <c r="C243" s="20" t="s">
        <v>105</v>
      </c>
      <c r="D243" s="20">
        <v>3</v>
      </c>
      <c r="E243" s="20">
        <v>0</v>
      </c>
      <c r="F243" s="22">
        <f>IFERROR(E243/D243*100,"")</f>
        <v>0</v>
      </c>
      <c r="G243" s="23">
        <f>IFERROR(INDEX(Population_by_Province_Year!$B$5:$J$29,MATCH($A243,Population_by_Province_Year!$A$5:$A$29,0),MATCH($B243,Population_by_Province_Year!$B$4:$J$4,0)),"")</f>
        <v>128245</v>
      </c>
      <c r="H243" s="22">
        <f>IFERROR(D243/G243*100000,"")</f>
        <v>2.3392724862567742</v>
      </c>
    </row>
    <row r="244" spans="1:8" ht="15" customHeight="1" x14ac:dyDescent="0.3">
      <c r="A244" s="20" t="s">
        <v>13</v>
      </c>
      <c r="B244" s="20">
        <v>2018</v>
      </c>
      <c r="C244" s="20" t="s">
        <v>105</v>
      </c>
      <c r="D244" s="20">
        <v>9</v>
      </c>
      <c r="E244" s="20">
        <v>0</v>
      </c>
      <c r="F244" s="22">
        <f>IFERROR(E244/D244*100,"")</f>
        <v>0</v>
      </c>
      <c r="G244" s="23">
        <f>IFERROR(INDEX(Population_by_Province_Year!$B$5:$J$29,MATCH($A244,Population_by_Province_Year!$A$5:$A$29,0),MATCH($B244,Population_by_Province_Year!$B$4:$J$4,0)),"")</f>
        <v>381732</v>
      </c>
      <c r="H244" s="22">
        <f>IFERROR(D244/G244*100000,"")</f>
        <v>2.3576750180755082</v>
      </c>
    </row>
    <row r="245" spans="1:8" ht="15" customHeight="1" x14ac:dyDescent="0.3">
      <c r="A245" s="20" t="s">
        <v>14</v>
      </c>
      <c r="B245" s="20">
        <v>2018</v>
      </c>
      <c r="C245" s="20" t="s">
        <v>105</v>
      </c>
      <c r="D245" s="20">
        <v>1</v>
      </c>
      <c r="E245" s="20">
        <v>0</v>
      </c>
      <c r="F245" s="22">
        <f>IFERROR(E245/D245*100,"")</f>
        <v>0</v>
      </c>
      <c r="G245" s="23">
        <f>IFERROR(INDEX(Population_by_Province_Year!$B$5:$J$29,MATCH($A245,Population_by_Province_Year!$A$5:$A$29,0),MATCH($B245,Population_by_Province_Year!$B$4:$J$4,0)),"")</f>
        <v>93930</v>
      </c>
      <c r="H245" s="22">
        <f>IFERROR(D245/G245*100000,"")</f>
        <v>1.0646225912913871</v>
      </c>
    </row>
    <row r="246" spans="1:8" ht="15" customHeight="1" x14ac:dyDescent="0.3">
      <c r="A246" s="20" t="s">
        <v>15</v>
      </c>
      <c r="B246" s="20">
        <v>2018</v>
      </c>
      <c r="C246" s="20" t="s">
        <v>105</v>
      </c>
      <c r="D246" s="20">
        <v>33</v>
      </c>
      <c r="E246" s="20">
        <v>0</v>
      </c>
      <c r="F246" s="22">
        <f>IFERROR(E246/D246*100,"")</f>
        <v>0</v>
      </c>
      <c r="G246" s="23">
        <f>IFERROR(INDEX(Population_by_Province_Year!$B$5:$J$29,MATCH($A246,Population_by_Province_Year!$A$5:$A$29,0),MATCH($B246,Population_by_Province_Year!$B$4:$J$4,0)),"")</f>
        <v>281177</v>
      </c>
      <c r="H246" s="22">
        <f>IFERROR(D246/G246*100000,"")</f>
        <v>11.736379575854356</v>
      </c>
    </row>
    <row r="247" spans="1:8" ht="15" customHeight="1" x14ac:dyDescent="0.3">
      <c r="A247" s="20" t="s">
        <v>16</v>
      </c>
      <c r="B247" s="20">
        <v>2018</v>
      </c>
      <c r="C247" s="20" t="s">
        <v>105</v>
      </c>
      <c r="D247" s="20">
        <v>24</v>
      </c>
      <c r="E247" s="20">
        <v>0</v>
      </c>
      <c r="F247" s="22">
        <f>IFERROR(E247/D247*100,"")</f>
        <v>0</v>
      </c>
      <c r="G247" s="23">
        <f>IFERROR(INDEX(Population_by_Province_Year!$B$5:$J$29,MATCH($A247,Population_by_Province_Year!$A$5:$A$29,0),MATCH($B247,Population_by_Province_Year!$B$4:$J$4,0)),"")</f>
        <v>76512</v>
      </c>
      <c r="H247" s="22">
        <f>IFERROR(D247/G247*100000,"")</f>
        <v>31.367628607277286</v>
      </c>
    </row>
    <row r="248" spans="1:8" ht="15" customHeight="1" x14ac:dyDescent="0.3">
      <c r="A248" s="20" t="s">
        <v>17</v>
      </c>
      <c r="B248" s="20">
        <v>2018</v>
      </c>
      <c r="C248" s="20" t="s">
        <v>105</v>
      </c>
      <c r="D248" s="20">
        <v>1409</v>
      </c>
      <c r="E248" s="20">
        <v>1</v>
      </c>
      <c r="F248" s="22">
        <f>IFERROR(E248/D248*100,"")</f>
        <v>7.0972320794889993E-2</v>
      </c>
      <c r="G248" s="23">
        <f>IFERROR(INDEX(Population_by_Province_Year!$B$5:$J$29,MATCH($A248,Population_by_Province_Year!$A$5:$A$29,0),MATCH($B248,Population_by_Province_Year!$B$4:$J$4,0)),"")</f>
        <v>2324424</v>
      </c>
      <c r="H248" s="22">
        <f>IFERROR(D248/G248*100000,"")</f>
        <v>60.617167952146424</v>
      </c>
    </row>
    <row r="249" spans="1:8" ht="15" customHeight="1" x14ac:dyDescent="0.3">
      <c r="A249" s="20" t="s">
        <v>18</v>
      </c>
      <c r="B249" s="20">
        <v>2018</v>
      </c>
      <c r="C249" s="20" t="s">
        <v>105</v>
      </c>
      <c r="D249" s="20">
        <v>30</v>
      </c>
      <c r="E249" s="20">
        <v>0</v>
      </c>
      <c r="F249" s="22">
        <f>IFERROR(E249/D249*100,"")</f>
        <v>0</v>
      </c>
      <c r="G249" s="23">
        <f>IFERROR(INDEX(Population_by_Province_Year!$B$5:$J$29,MATCH($A249,Population_by_Province_Year!$A$5:$A$29,0),MATCH($B249,Population_by_Province_Year!$B$4:$J$4,0)),"")</f>
        <v>315842</v>
      </c>
      <c r="H249" s="22">
        <f>IFERROR(D249/G249*100000,"")</f>
        <v>9.4984200961240113</v>
      </c>
    </row>
    <row r="250" spans="1:8" ht="15" customHeight="1" x14ac:dyDescent="0.3">
      <c r="A250" s="20" t="s">
        <v>19</v>
      </c>
      <c r="B250" s="20">
        <v>2018</v>
      </c>
      <c r="C250" s="20" t="s">
        <v>105</v>
      </c>
      <c r="D250" s="20">
        <v>24</v>
      </c>
      <c r="E250" s="20">
        <v>0</v>
      </c>
      <c r="F250" s="22">
        <f>IFERROR(E250/D250*100,"")</f>
        <v>0</v>
      </c>
      <c r="G250" s="23">
        <f>IFERROR(INDEX(Population_by_Province_Year!$B$5:$J$29,MATCH($A250,Population_by_Province_Year!$A$5:$A$29,0),MATCH($B250,Population_by_Province_Year!$B$4:$J$4,0)),"")</f>
        <v>259570</v>
      </c>
      <c r="H250" s="22">
        <f>IFERROR(D250/G250*100000,"")</f>
        <v>9.2460607928497129</v>
      </c>
    </row>
    <row r="251" spans="1:8" ht="15" customHeight="1" x14ac:dyDescent="0.3">
      <c r="A251" s="20" t="s">
        <v>20</v>
      </c>
      <c r="B251" s="20">
        <v>2018</v>
      </c>
      <c r="C251" s="20" t="s">
        <v>105</v>
      </c>
      <c r="D251" s="20">
        <v>103</v>
      </c>
      <c r="E251" s="20">
        <v>1</v>
      </c>
      <c r="F251" s="22">
        <f>IFERROR(E251/D251*100,"")</f>
        <v>0.97087378640776689</v>
      </c>
      <c r="G251" s="23">
        <f>IFERROR(INDEX(Population_by_Province_Year!$B$5:$J$29,MATCH($A251,Population_by_Province_Year!$A$5:$A$29,0),MATCH($B251,Population_by_Province_Year!$B$4:$J$4,0)),"")</f>
        <v>1077407</v>
      </c>
      <c r="H251" s="22">
        <f>IFERROR(D251/G251*100000,"")</f>
        <v>9.559989864554435</v>
      </c>
    </row>
    <row r="252" spans="1:8" ht="15" customHeight="1" x14ac:dyDescent="0.3">
      <c r="A252" s="20" t="s">
        <v>21</v>
      </c>
      <c r="B252" s="20">
        <v>2018</v>
      </c>
      <c r="C252" s="20" t="s">
        <v>105</v>
      </c>
      <c r="D252" s="20">
        <v>18</v>
      </c>
      <c r="E252" s="20">
        <v>0</v>
      </c>
      <c r="F252" s="22">
        <f>IFERROR(E252/D252*100,"")</f>
        <v>0</v>
      </c>
      <c r="G252" s="23">
        <f>IFERROR(INDEX(Population_by_Province_Year!$B$5:$J$29,MATCH($A252,Population_by_Province_Year!$A$5:$A$29,0),MATCH($B252,Population_by_Province_Year!$B$4:$J$4,0)),"")</f>
        <v>427768</v>
      </c>
      <c r="H252" s="22">
        <f>IFERROR(D252/G252*100000,"")</f>
        <v>4.2078883880982216</v>
      </c>
    </row>
    <row r="253" spans="1:8" ht="15" customHeight="1" x14ac:dyDescent="0.3">
      <c r="A253" s="20" t="s">
        <v>22</v>
      </c>
      <c r="B253" s="20">
        <v>2018</v>
      </c>
      <c r="C253" s="20" t="s">
        <v>105</v>
      </c>
      <c r="D253" s="20">
        <v>3</v>
      </c>
      <c r="E253" s="20">
        <v>0</v>
      </c>
      <c r="F253" s="22">
        <f>IFERROR(E253/D253*100,"")</f>
        <v>0</v>
      </c>
      <c r="G253" s="23">
        <f>IFERROR(INDEX(Population_by_Province_Year!$B$5:$J$29,MATCH($A253,Population_by_Province_Year!$A$5:$A$29,0),MATCH($B253,Population_by_Province_Year!$B$4:$J$4,0)),"")</f>
        <v>221499</v>
      </c>
      <c r="H253" s="22">
        <f>IFERROR(D253/G253*100000,"")</f>
        <v>1.3544079205775195</v>
      </c>
    </row>
    <row r="254" spans="1:8" ht="15" customHeight="1" x14ac:dyDescent="0.3">
      <c r="A254" s="20" t="s">
        <v>23</v>
      </c>
      <c r="B254" s="20">
        <v>2018</v>
      </c>
      <c r="C254" s="20" t="s">
        <v>105</v>
      </c>
      <c r="D254" s="20">
        <v>249</v>
      </c>
      <c r="E254" s="20">
        <v>0</v>
      </c>
      <c r="F254" s="22">
        <f>IFERROR(E254/D254*100,"")</f>
        <v>0</v>
      </c>
      <c r="G254" s="23">
        <f>IFERROR(INDEX(Population_by_Province_Year!$B$5:$J$29,MATCH($A254,Population_by_Province_Year!$A$5:$A$29,0),MATCH($B254,Population_by_Province_Year!$B$4:$J$4,0)),"")</f>
        <v>1033114</v>
      </c>
      <c r="H254" s="22">
        <f>IFERROR(D254/G254*100000,"")</f>
        <v>24.101890014073955</v>
      </c>
    </row>
    <row r="255" spans="1:8" ht="15" customHeight="1" x14ac:dyDescent="0.3">
      <c r="A255" s="20" t="s">
        <v>24</v>
      </c>
      <c r="B255" s="20">
        <v>2018</v>
      </c>
      <c r="C255" s="20" t="s">
        <v>105</v>
      </c>
      <c r="D255" s="20">
        <v>2</v>
      </c>
      <c r="E255" s="20">
        <v>0</v>
      </c>
      <c r="F255" s="22">
        <f>IFERROR(E255/D255*100,"")</f>
        <v>0</v>
      </c>
      <c r="G255" s="23">
        <f>IFERROR(INDEX(Population_by_Province_Year!$B$5:$J$29,MATCH($A255,Population_by_Province_Year!$A$5:$A$29,0),MATCH($B255,Population_by_Province_Year!$B$4:$J$4,0)),"")</f>
        <v>168798</v>
      </c>
      <c r="H255" s="22">
        <f>IFERROR(D255/G255*100000,"")</f>
        <v>1.1848481617080771</v>
      </c>
    </row>
    <row r="256" spans="1:8" ht="15" customHeight="1" x14ac:dyDescent="0.3">
      <c r="A256" s="20" t="s">
        <v>25</v>
      </c>
      <c r="B256" s="20">
        <v>2018</v>
      </c>
      <c r="C256" s="20" t="s">
        <v>105</v>
      </c>
      <c r="D256" s="20">
        <v>33</v>
      </c>
      <c r="E256" s="20">
        <v>0</v>
      </c>
      <c r="F256" s="22">
        <f>IFERROR(E256/D256*100,"")</f>
        <v>0</v>
      </c>
      <c r="G256" s="23">
        <f>IFERROR(INDEX(Population_by_Province_Year!$B$5:$J$29,MATCH($A256,Population_by_Province_Year!$A$5:$A$29,0),MATCH($B256,Population_by_Province_Year!$B$4:$J$4,0)),"")</f>
        <v>535277</v>
      </c>
      <c r="H256" s="22">
        <f>IFERROR(D256/G256*100000,"")</f>
        <v>6.1650323103738813</v>
      </c>
    </row>
    <row r="257" spans="1:8" ht="15" customHeight="1" x14ac:dyDescent="0.3">
      <c r="A257" s="20" t="s">
        <v>26</v>
      </c>
      <c r="B257" s="20">
        <v>2018</v>
      </c>
      <c r="C257" s="20" t="s">
        <v>105</v>
      </c>
      <c r="D257" s="20">
        <v>49</v>
      </c>
      <c r="E257" s="20">
        <v>0</v>
      </c>
      <c r="F257" s="22">
        <f>IFERROR(E257/D257*100,"")</f>
        <v>0</v>
      </c>
      <c r="G257" s="23">
        <f>IFERROR(INDEX(Population_by_Province_Year!$B$5:$J$29,MATCH($A257,Population_by_Province_Year!$A$5:$A$29,0),MATCH($B257,Population_by_Province_Year!$B$4:$J$4,0)),"")</f>
        <v>917685</v>
      </c>
      <c r="H257" s="22">
        <f>IFERROR(D257/G257*100000,"")</f>
        <v>5.3395228210115677</v>
      </c>
    </row>
    <row r="258" spans="1:8" ht="15" customHeight="1" x14ac:dyDescent="0.3">
      <c r="A258" s="20" t="s">
        <v>27</v>
      </c>
      <c r="B258" s="20">
        <v>2018</v>
      </c>
      <c r="C258" s="20" t="s">
        <v>105</v>
      </c>
      <c r="D258" s="20">
        <v>45</v>
      </c>
      <c r="E258" s="20">
        <v>0</v>
      </c>
      <c r="F258" s="22">
        <f>IFERROR(E258/D258*100,"")</f>
        <v>0</v>
      </c>
      <c r="G258" s="23">
        <f>IFERROR(INDEX(Population_by_Province_Year!$B$5:$J$29,MATCH($A258,Population_by_Province_Year!$A$5:$A$29,0),MATCH($B258,Population_by_Province_Year!$B$4:$J$4,0)),"")</f>
        <v>791301</v>
      </c>
      <c r="H258" s="22">
        <f>IFERROR(D258/G258*100000,"")</f>
        <v>5.6868372465092296</v>
      </c>
    </row>
    <row r="259" spans="1:8" ht="15" customHeight="1" x14ac:dyDescent="0.3">
      <c r="A259" s="20" t="s">
        <v>3</v>
      </c>
      <c r="B259" s="20">
        <v>2018</v>
      </c>
      <c r="C259" s="20" t="s">
        <v>98</v>
      </c>
      <c r="D259" s="20">
        <v>70</v>
      </c>
      <c r="E259" s="20">
        <v>0</v>
      </c>
      <c r="F259" s="22">
        <f>IFERROR(E259/D259*100,"")</f>
        <v>0</v>
      </c>
      <c r="G259" s="23">
        <f>IFERROR(INDEX(Population_by_Province_Year!$B$5:$J$29,MATCH($A259,Population_by_Province_Year!$A$5:$A$29,0),MATCH($B259,Population_by_Province_Year!$B$4:$J$4,0)),"")</f>
        <v>877925</v>
      </c>
      <c r="H259" s="22">
        <f>IFERROR(D259/G259*100000,"")</f>
        <v>7.9733462425605826</v>
      </c>
    </row>
    <row r="260" spans="1:8" ht="15" customHeight="1" x14ac:dyDescent="0.3">
      <c r="A260" s="20" t="s">
        <v>4</v>
      </c>
      <c r="B260" s="20">
        <v>2018</v>
      </c>
      <c r="C260" s="20" t="s">
        <v>98</v>
      </c>
      <c r="D260" s="20">
        <v>64</v>
      </c>
      <c r="E260" s="20">
        <v>0</v>
      </c>
      <c r="F260" s="22">
        <f>IFERROR(E260/D260*100,"")</f>
        <v>0</v>
      </c>
      <c r="G260" s="23">
        <f>IFERROR(INDEX(Population_by_Province_Year!$B$5:$J$29,MATCH($A260,Population_by_Province_Year!$A$5:$A$29,0),MATCH($B260,Population_by_Province_Year!$B$4:$J$4,0)),"")</f>
        <v>1015729</v>
      </c>
      <c r="H260" s="22">
        <f>IFERROR(D260/G260*100000,"")</f>
        <v>6.3008932500696551</v>
      </c>
    </row>
    <row r="261" spans="1:8" ht="15" customHeight="1" x14ac:dyDescent="0.3">
      <c r="A261" s="20" t="s">
        <v>5</v>
      </c>
      <c r="B261" s="20">
        <v>2018</v>
      </c>
      <c r="C261" s="20" t="s">
        <v>98</v>
      </c>
      <c r="D261" s="20">
        <v>57</v>
      </c>
      <c r="E261" s="20">
        <v>0</v>
      </c>
      <c r="F261" s="22">
        <f>IFERROR(E261/D261*100,"")</f>
        <v>0</v>
      </c>
      <c r="G261" s="23">
        <f>IFERROR(INDEX(Population_by_Province_Year!$B$5:$J$29,MATCH($A261,Population_by_Province_Year!$A$5:$A$29,0),MATCH($B261,Population_by_Province_Year!$B$4:$J$4,0)),"")</f>
        <v>916540</v>
      </c>
      <c r="H261" s="22">
        <f>IFERROR(D261/G261*100000,"")</f>
        <v>6.2190411765989486</v>
      </c>
    </row>
    <row r="262" spans="1:8" ht="15" customHeight="1" x14ac:dyDescent="0.3">
      <c r="A262" s="20" t="s">
        <v>6</v>
      </c>
      <c r="B262" s="20">
        <v>2018</v>
      </c>
      <c r="C262" s="20" t="s">
        <v>98</v>
      </c>
      <c r="D262" s="20">
        <v>49</v>
      </c>
      <c r="E262" s="20">
        <v>0</v>
      </c>
      <c r="F262" s="22">
        <f>IFERROR(E262/D262*100,"")</f>
        <v>0</v>
      </c>
      <c r="G262" s="23">
        <f>IFERROR(INDEX(Population_by_Province_Year!$B$5:$J$29,MATCH($A262,Population_by_Province_Year!$A$5:$A$29,0),MATCH($B262,Population_by_Province_Year!$B$4:$J$4,0)),"")</f>
        <v>536836</v>
      </c>
      <c r="H262" s="22">
        <f>IFERROR(D262/G262*100000,"")</f>
        <v>9.1275547839563664</v>
      </c>
    </row>
    <row r="263" spans="1:8" ht="15" customHeight="1" x14ac:dyDescent="0.3">
      <c r="A263" s="20" t="s">
        <v>7</v>
      </c>
      <c r="B263" s="20">
        <v>2018</v>
      </c>
      <c r="C263" s="20" t="s">
        <v>98</v>
      </c>
      <c r="D263" s="20">
        <v>68</v>
      </c>
      <c r="E263" s="20">
        <v>0</v>
      </c>
      <c r="F263" s="22">
        <f>IFERROR(E263/D263*100,"")</f>
        <v>0</v>
      </c>
      <c r="G263" s="23">
        <f>IFERROR(INDEX(Population_by_Province_Year!$B$5:$J$29,MATCH($A263,Population_by_Province_Year!$A$5:$A$29,0),MATCH($B263,Population_by_Province_Year!$B$4:$J$4,0)),"")</f>
        <v>893858</v>
      </c>
      <c r="H263" s="22">
        <f>IFERROR(D263/G263*100000,"")</f>
        <v>7.6074723278194085</v>
      </c>
    </row>
    <row r="264" spans="1:8" ht="15" customHeight="1" x14ac:dyDescent="0.3">
      <c r="A264" s="20" t="s">
        <v>8</v>
      </c>
      <c r="B264" s="20">
        <v>2018</v>
      </c>
      <c r="C264" s="20" t="s">
        <v>98</v>
      </c>
      <c r="D264" s="20">
        <v>86</v>
      </c>
      <c r="E264" s="20">
        <v>0</v>
      </c>
      <c r="F264" s="22">
        <f>IFERROR(E264/D264*100,"")</f>
        <v>0</v>
      </c>
      <c r="G264" s="23">
        <f>IFERROR(INDEX(Population_by_Province_Year!$B$5:$J$29,MATCH($A264,Population_by_Province_Year!$A$5:$A$29,0),MATCH($B264,Population_by_Province_Year!$B$4:$J$4,0)),"")</f>
        <v>694235</v>
      </c>
      <c r="H264" s="22">
        <f>IFERROR(D264/G264*100000,"")</f>
        <v>12.387736141220191</v>
      </c>
    </row>
    <row r="265" spans="1:8" ht="15" customHeight="1" x14ac:dyDescent="0.3">
      <c r="A265" s="20" t="s">
        <v>9</v>
      </c>
      <c r="B265" s="20">
        <v>2018</v>
      </c>
      <c r="C265" s="20" t="s">
        <v>98</v>
      </c>
      <c r="D265" s="20">
        <v>24</v>
      </c>
      <c r="E265" s="20">
        <v>0</v>
      </c>
      <c r="F265" s="22">
        <f>IFERROR(E265/D265*100,"")</f>
        <v>0</v>
      </c>
      <c r="G265" s="23">
        <f>IFERROR(INDEX(Population_by_Province_Year!$B$5:$J$29,MATCH($A265,Population_by_Province_Year!$A$5:$A$29,0),MATCH($B265,Population_by_Province_Year!$B$4:$J$4,0)),"")</f>
        <v>604881</v>
      </c>
      <c r="H265" s="22">
        <f>IFERROR(D265/G265*100000,"")</f>
        <v>3.9677225768374278</v>
      </c>
    </row>
    <row r="266" spans="1:8" ht="15" customHeight="1" x14ac:dyDescent="0.3">
      <c r="A266" s="20" t="s">
        <v>10</v>
      </c>
      <c r="B266" s="20">
        <v>2018</v>
      </c>
      <c r="C266" s="20" t="s">
        <v>98</v>
      </c>
      <c r="D266" s="20">
        <v>338</v>
      </c>
      <c r="E266" s="20">
        <v>0</v>
      </c>
      <c r="F266" s="22">
        <f>IFERROR(E266/D266*100,"")</f>
        <v>0</v>
      </c>
      <c r="G266" s="23">
        <f>IFERROR(INDEX(Population_by_Province_Year!$B$5:$J$29,MATCH($A266,Population_by_Province_Year!$A$5:$A$29,0),MATCH($B266,Population_by_Province_Year!$B$4:$J$4,0)),"")</f>
        <v>1223947</v>
      </c>
      <c r="H266" s="22">
        <f>IFERROR(D266/G266*100000,"")</f>
        <v>27.615574857408042</v>
      </c>
    </row>
    <row r="267" spans="1:8" ht="15" customHeight="1" x14ac:dyDescent="0.3">
      <c r="A267" s="20" t="s">
        <v>11</v>
      </c>
      <c r="B267" s="20">
        <v>2018</v>
      </c>
      <c r="C267" s="20" t="s">
        <v>98</v>
      </c>
      <c r="D267" s="20">
        <v>1</v>
      </c>
      <c r="E267" s="20">
        <v>0</v>
      </c>
      <c r="F267" s="22">
        <f>IFERROR(E267/D267*100,"")</f>
        <v>0</v>
      </c>
      <c r="G267" s="23">
        <f>IFERROR(INDEX(Population_by_Province_Year!$B$5:$J$29,MATCH($A267,Population_by_Province_Year!$A$5:$A$29,0),MATCH($B267,Population_by_Province_Year!$B$4:$J$4,0)),"")</f>
        <v>43459</v>
      </c>
      <c r="H267" s="22">
        <f>IFERROR(D267/G267*100000,"")</f>
        <v>2.3010193515727466</v>
      </c>
    </row>
    <row r="268" spans="1:8" ht="15" customHeight="1" x14ac:dyDescent="0.3">
      <c r="A268" s="20" t="s">
        <v>12</v>
      </c>
      <c r="B268" s="20">
        <v>2018</v>
      </c>
      <c r="C268" s="20" t="s">
        <v>98</v>
      </c>
      <c r="D268" s="20">
        <v>6</v>
      </c>
      <c r="E268" s="20">
        <v>0</v>
      </c>
      <c r="F268" s="22">
        <f>IFERROR(E268/D268*100,"")</f>
        <v>0</v>
      </c>
      <c r="G268" s="23">
        <f>IFERROR(INDEX(Population_by_Province_Year!$B$5:$J$29,MATCH($A268,Population_by_Province_Year!$A$5:$A$29,0),MATCH($B268,Population_by_Province_Year!$B$4:$J$4,0)),"")</f>
        <v>128245</v>
      </c>
      <c r="H268" s="22">
        <f>IFERROR(D268/G268*100000,"")</f>
        <v>4.6785449725135484</v>
      </c>
    </row>
    <row r="269" spans="1:8" ht="15" customHeight="1" x14ac:dyDescent="0.3">
      <c r="A269" s="20" t="s">
        <v>13</v>
      </c>
      <c r="B269" s="20">
        <v>2018</v>
      </c>
      <c r="C269" s="20" t="s">
        <v>98</v>
      </c>
      <c r="D269" s="20">
        <v>13</v>
      </c>
      <c r="E269" s="20">
        <v>0</v>
      </c>
      <c r="F269" s="22">
        <f>IFERROR(E269/D269*100,"")</f>
        <v>0</v>
      </c>
      <c r="G269" s="23">
        <f>IFERROR(INDEX(Population_by_Province_Year!$B$5:$J$29,MATCH($A269,Population_by_Province_Year!$A$5:$A$29,0),MATCH($B269,Population_by_Province_Year!$B$4:$J$4,0)),"")</f>
        <v>381732</v>
      </c>
      <c r="H269" s="22">
        <f>IFERROR(D269/G269*100000,"")</f>
        <v>3.4055305816646237</v>
      </c>
    </row>
    <row r="270" spans="1:8" ht="15" customHeight="1" x14ac:dyDescent="0.3">
      <c r="A270" s="20" t="s">
        <v>14</v>
      </c>
      <c r="B270" s="20">
        <v>2018</v>
      </c>
      <c r="C270" s="20" t="s">
        <v>98</v>
      </c>
      <c r="D270" s="20">
        <v>2</v>
      </c>
      <c r="E270" s="20">
        <v>0</v>
      </c>
      <c r="F270" s="22">
        <f>IFERROR(E270/D270*100,"")</f>
        <v>0</v>
      </c>
      <c r="G270" s="23">
        <f>IFERROR(INDEX(Population_by_Province_Year!$B$5:$J$29,MATCH($A270,Population_by_Province_Year!$A$5:$A$29,0),MATCH($B270,Population_by_Province_Year!$B$4:$J$4,0)),"")</f>
        <v>93930</v>
      </c>
      <c r="H270" s="22">
        <f>IFERROR(D270/G270*100000,"")</f>
        <v>2.1292451825827743</v>
      </c>
    </row>
    <row r="271" spans="1:8" ht="15" customHeight="1" x14ac:dyDescent="0.3">
      <c r="A271" s="20" t="s">
        <v>15</v>
      </c>
      <c r="B271" s="20">
        <v>2018</v>
      </c>
      <c r="C271" s="20" t="s">
        <v>98</v>
      </c>
      <c r="D271" s="20">
        <v>31</v>
      </c>
      <c r="E271" s="20">
        <v>0</v>
      </c>
      <c r="F271" s="22">
        <f>IFERROR(E271/D271*100,"")</f>
        <v>0</v>
      </c>
      <c r="G271" s="23">
        <f>IFERROR(INDEX(Population_by_Province_Year!$B$5:$J$29,MATCH($A271,Population_by_Province_Year!$A$5:$A$29,0),MATCH($B271,Population_by_Province_Year!$B$4:$J$4,0)),"")</f>
        <v>281177</v>
      </c>
      <c r="H271" s="22">
        <f>IFERROR(D271/G271*100000,"")</f>
        <v>11.025083843984394</v>
      </c>
    </row>
    <row r="272" spans="1:8" ht="15" customHeight="1" x14ac:dyDescent="0.3">
      <c r="A272" s="20" t="s">
        <v>16</v>
      </c>
      <c r="B272" s="20">
        <v>2018</v>
      </c>
      <c r="C272" s="20" t="s">
        <v>98</v>
      </c>
      <c r="D272" s="20">
        <v>6</v>
      </c>
      <c r="E272" s="20">
        <v>0</v>
      </c>
      <c r="F272" s="22">
        <f>IFERROR(E272/D272*100,"")</f>
        <v>0</v>
      </c>
      <c r="G272" s="23">
        <f>IFERROR(INDEX(Population_by_Province_Year!$B$5:$J$29,MATCH($A272,Population_by_Province_Year!$A$5:$A$29,0),MATCH($B272,Population_by_Province_Year!$B$4:$J$4,0)),"")</f>
        <v>76512</v>
      </c>
      <c r="H272" s="22">
        <f>IFERROR(D272/G272*100000,"")</f>
        <v>7.8419071518193215</v>
      </c>
    </row>
    <row r="273" spans="1:8" ht="15" customHeight="1" x14ac:dyDescent="0.3">
      <c r="A273" s="20" t="s">
        <v>17</v>
      </c>
      <c r="B273" s="20">
        <v>2018</v>
      </c>
      <c r="C273" s="20" t="s">
        <v>98</v>
      </c>
      <c r="D273" s="20">
        <v>1115</v>
      </c>
      <c r="E273" s="20">
        <v>0</v>
      </c>
      <c r="F273" s="22">
        <f>IFERROR(E273/D273*100,"")</f>
        <v>0</v>
      </c>
      <c r="G273" s="23">
        <f>IFERROR(INDEX(Population_by_Province_Year!$B$5:$J$29,MATCH($A273,Population_by_Province_Year!$A$5:$A$29,0),MATCH($B273,Population_by_Province_Year!$B$4:$J$4,0)),"")</f>
        <v>2324424</v>
      </c>
      <c r="H273" s="22">
        <f>IFERROR(D273/G273*100000,"")</f>
        <v>47.968873148788688</v>
      </c>
    </row>
    <row r="274" spans="1:8" ht="15" customHeight="1" x14ac:dyDescent="0.3">
      <c r="A274" s="20" t="s">
        <v>18</v>
      </c>
      <c r="B274" s="20">
        <v>2018</v>
      </c>
      <c r="C274" s="20" t="s">
        <v>98</v>
      </c>
      <c r="D274" s="20">
        <v>31</v>
      </c>
      <c r="E274" s="20">
        <v>0</v>
      </c>
      <c r="F274" s="22">
        <f>IFERROR(E274/D274*100,"")</f>
        <v>0</v>
      </c>
      <c r="G274" s="23">
        <f>IFERROR(INDEX(Population_by_Province_Year!$B$5:$J$29,MATCH($A274,Population_by_Province_Year!$A$5:$A$29,0),MATCH($B274,Population_by_Province_Year!$B$4:$J$4,0)),"")</f>
        <v>315842</v>
      </c>
      <c r="H274" s="22">
        <f>IFERROR(D274/G274*100000,"")</f>
        <v>9.8150340993281446</v>
      </c>
    </row>
    <row r="275" spans="1:8" ht="15" customHeight="1" x14ac:dyDescent="0.3">
      <c r="A275" s="20" t="s">
        <v>19</v>
      </c>
      <c r="B275" s="20">
        <v>2018</v>
      </c>
      <c r="C275" s="20" t="s">
        <v>98</v>
      </c>
      <c r="D275" s="20">
        <v>24</v>
      </c>
      <c r="E275" s="20">
        <v>0</v>
      </c>
      <c r="F275" s="22">
        <f>IFERROR(E275/D275*100,"")</f>
        <v>0</v>
      </c>
      <c r="G275" s="23">
        <f>IFERROR(INDEX(Population_by_Province_Year!$B$5:$J$29,MATCH($A275,Population_by_Province_Year!$A$5:$A$29,0),MATCH($B275,Population_by_Province_Year!$B$4:$J$4,0)),"")</f>
        <v>259570</v>
      </c>
      <c r="H275" s="22">
        <f>IFERROR(D275/G275*100000,"")</f>
        <v>9.2460607928497129</v>
      </c>
    </row>
    <row r="276" spans="1:8" ht="15" customHeight="1" x14ac:dyDescent="0.3">
      <c r="A276" s="20" t="s">
        <v>20</v>
      </c>
      <c r="B276" s="20">
        <v>2018</v>
      </c>
      <c r="C276" s="20" t="s">
        <v>98</v>
      </c>
      <c r="D276" s="20">
        <v>79</v>
      </c>
      <c r="E276" s="20">
        <v>0</v>
      </c>
      <c r="F276" s="22">
        <f>IFERROR(E276/D276*100,"")</f>
        <v>0</v>
      </c>
      <c r="G276" s="23">
        <f>IFERROR(INDEX(Population_by_Province_Year!$B$5:$J$29,MATCH($A276,Population_by_Province_Year!$A$5:$A$29,0),MATCH($B276,Population_by_Province_Year!$B$4:$J$4,0)),"")</f>
        <v>1077407</v>
      </c>
      <c r="H276" s="22">
        <f>IFERROR(D276/G276*100000,"")</f>
        <v>7.332419410677673</v>
      </c>
    </row>
    <row r="277" spans="1:8" ht="15" customHeight="1" x14ac:dyDescent="0.3">
      <c r="A277" s="20" t="s">
        <v>21</v>
      </c>
      <c r="B277" s="20">
        <v>2018</v>
      </c>
      <c r="C277" s="20" t="s">
        <v>98</v>
      </c>
      <c r="D277" s="20">
        <v>22</v>
      </c>
      <c r="E277" s="20">
        <v>0</v>
      </c>
      <c r="F277" s="22">
        <f>IFERROR(E277/D277*100,"")</f>
        <v>0</v>
      </c>
      <c r="G277" s="23">
        <f>IFERROR(INDEX(Population_by_Province_Year!$B$5:$J$29,MATCH($A277,Population_by_Province_Year!$A$5:$A$29,0),MATCH($B277,Population_by_Province_Year!$B$4:$J$4,0)),"")</f>
        <v>427768</v>
      </c>
      <c r="H277" s="22">
        <f>IFERROR(D277/G277*100000,"")</f>
        <v>5.1429746965644929</v>
      </c>
    </row>
    <row r="278" spans="1:8" ht="15" customHeight="1" x14ac:dyDescent="0.3">
      <c r="A278" s="20" t="s">
        <v>22</v>
      </c>
      <c r="B278" s="20">
        <v>2018</v>
      </c>
      <c r="C278" s="20" t="s">
        <v>98</v>
      </c>
      <c r="D278" s="20">
        <v>1</v>
      </c>
      <c r="E278" s="20">
        <v>0</v>
      </c>
      <c r="F278" s="22">
        <f>IFERROR(E278/D278*100,"")</f>
        <v>0</v>
      </c>
      <c r="G278" s="23">
        <f>IFERROR(INDEX(Population_by_Province_Year!$B$5:$J$29,MATCH($A278,Population_by_Province_Year!$A$5:$A$29,0),MATCH($B278,Population_by_Province_Year!$B$4:$J$4,0)),"")</f>
        <v>221499</v>
      </c>
      <c r="H278" s="22">
        <f>IFERROR(D278/G278*100000,"")</f>
        <v>0.45146930685917319</v>
      </c>
    </row>
    <row r="279" spans="1:8" ht="15" customHeight="1" x14ac:dyDescent="0.3">
      <c r="A279" s="20" t="s">
        <v>23</v>
      </c>
      <c r="B279" s="20">
        <v>2018</v>
      </c>
      <c r="C279" s="20" t="s">
        <v>98</v>
      </c>
      <c r="D279" s="20">
        <v>149</v>
      </c>
      <c r="E279" s="20">
        <v>0</v>
      </c>
      <c r="F279" s="22">
        <f>IFERROR(E279/D279*100,"")</f>
        <v>0</v>
      </c>
      <c r="G279" s="23">
        <f>IFERROR(INDEX(Population_by_Province_Year!$B$5:$J$29,MATCH($A279,Population_by_Province_Year!$A$5:$A$29,0),MATCH($B279,Population_by_Province_Year!$B$4:$J$4,0)),"")</f>
        <v>1033114</v>
      </c>
      <c r="H279" s="22">
        <f>IFERROR(D279/G279*100000,"")</f>
        <v>14.422416112839436</v>
      </c>
    </row>
    <row r="280" spans="1:8" ht="15" customHeight="1" x14ac:dyDescent="0.3">
      <c r="A280" s="20" t="s">
        <v>24</v>
      </c>
      <c r="B280" s="20">
        <v>2018</v>
      </c>
      <c r="C280" s="20" t="s">
        <v>98</v>
      </c>
      <c r="D280" s="20">
        <v>1</v>
      </c>
      <c r="E280" s="20">
        <v>0</v>
      </c>
      <c r="F280" s="22">
        <f>IFERROR(E280/D280*100,"")</f>
        <v>0</v>
      </c>
      <c r="G280" s="23">
        <f>IFERROR(INDEX(Population_by_Province_Year!$B$5:$J$29,MATCH($A280,Population_by_Province_Year!$A$5:$A$29,0),MATCH($B280,Population_by_Province_Year!$B$4:$J$4,0)),"")</f>
        <v>168798</v>
      </c>
      <c r="H280" s="22">
        <f>IFERROR(D280/G280*100000,"")</f>
        <v>0.59242408085403853</v>
      </c>
    </row>
    <row r="281" spans="1:8" ht="15" customHeight="1" x14ac:dyDescent="0.3">
      <c r="A281" s="20" t="s">
        <v>25</v>
      </c>
      <c r="B281" s="20">
        <v>2018</v>
      </c>
      <c r="C281" s="20" t="s">
        <v>98</v>
      </c>
      <c r="D281" s="20">
        <v>23</v>
      </c>
      <c r="E281" s="20">
        <v>0</v>
      </c>
      <c r="F281" s="22">
        <f>IFERROR(E281/D281*100,"")</f>
        <v>0</v>
      </c>
      <c r="G281" s="23">
        <f>IFERROR(INDEX(Population_by_Province_Year!$B$5:$J$29,MATCH($A281,Population_by_Province_Year!$A$5:$A$29,0),MATCH($B281,Population_by_Province_Year!$B$4:$J$4,0)),"")</f>
        <v>535277</v>
      </c>
      <c r="H281" s="22">
        <f>IFERROR(D281/G281*100000,"")</f>
        <v>4.2968407011696748</v>
      </c>
    </row>
    <row r="282" spans="1:8" ht="15" customHeight="1" x14ac:dyDescent="0.3">
      <c r="A282" s="20" t="s">
        <v>26</v>
      </c>
      <c r="B282" s="20">
        <v>2018</v>
      </c>
      <c r="C282" s="20" t="s">
        <v>98</v>
      </c>
      <c r="D282" s="20">
        <v>41</v>
      </c>
      <c r="E282" s="20">
        <v>0</v>
      </c>
      <c r="F282" s="22">
        <f>IFERROR(E282/D282*100,"")</f>
        <v>0</v>
      </c>
      <c r="G282" s="23">
        <f>IFERROR(INDEX(Population_by_Province_Year!$B$5:$J$29,MATCH($A282,Population_by_Province_Year!$A$5:$A$29,0),MATCH($B282,Population_by_Province_Year!$B$4:$J$4,0)),"")</f>
        <v>917685</v>
      </c>
      <c r="H282" s="22">
        <f>IFERROR(D282/G282*100000,"")</f>
        <v>4.4677639930913111</v>
      </c>
    </row>
    <row r="283" spans="1:8" ht="15" customHeight="1" x14ac:dyDescent="0.3">
      <c r="A283" s="20" t="s">
        <v>27</v>
      </c>
      <c r="B283" s="20">
        <v>2018</v>
      </c>
      <c r="C283" s="20" t="s">
        <v>98</v>
      </c>
      <c r="D283" s="20">
        <v>43</v>
      </c>
      <c r="E283" s="20">
        <v>0</v>
      </c>
      <c r="F283" s="22">
        <f>IFERROR(E283/D283*100,"")</f>
        <v>0</v>
      </c>
      <c r="G283" s="23">
        <f>IFERROR(INDEX(Population_by_Province_Year!$B$5:$J$29,MATCH($A283,Population_by_Province_Year!$A$5:$A$29,0),MATCH($B283,Population_by_Province_Year!$B$4:$J$4,0)),"")</f>
        <v>791301</v>
      </c>
      <c r="H283" s="22">
        <f>IFERROR(D283/G283*100000,"")</f>
        <v>5.4340889244421531</v>
      </c>
    </row>
    <row r="284" spans="1:8" ht="15" customHeight="1" x14ac:dyDescent="0.3">
      <c r="A284" s="20" t="s">
        <v>3</v>
      </c>
      <c r="B284" s="20">
        <v>2019</v>
      </c>
      <c r="C284" s="20" t="s">
        <v>100</v>
      </c>
      <c r="D284" s="20">
        <v>34</v>
      </c>
      <c r="E284" s="20">
        <v>0</v>
      </c>
      <c r="F284" s="22">
        <f>IFERROR(E284/D284*100,"")</f>
        <v>0</v>
      </c>
      <c r="G284" s="23">
        <f>IFERROR(INDEX(Population_by_Province_Year!$B$5:$J$29,MATCH($A284,Population_by_Province_Year!$A$5:$A$29,0),MATCH($B284,Population_by_Province_Year!$B$4:$J$4,0)),"")</f>
        <v>891574</v>
      </c>
      <c r="H284" s="22">
        <f>IFERROR(D284/G284*100000,"")</f>
        <v>3.8134804289941155</v>
      </c>
    </row>
    <row r="285" spans="1:8" ht="15" customHeight="1" x14ac:dyDescent="0.3">
      <c r="A285" s="20" t="s">
        <v>4</v>
      </c>
      <c r="B285" s="20">
        <v>2019</v>
      </c>
      <c r="C285" s="20" t="s">
        <v>100</v>
      </c>
      <c r="D285" s="20">
        <v>47</v>
      </c>
      <c r="E285" s="20">
        <v>0</v>
      </c>
      <c r="F285" s="22">
        <f>IFERROR(E285/D285*100,"")</f>
        <v>0</v>
      </c>
      <c r="G285" s="23">
        <f>IFERROR(INDEX(Population_by_Province_Year!$B$5:$J$29,MATCH($A285,Population_by_Province_Year!$A$5:$A$29,0),MATCH($B285,Population_by_Province_Year!$B$4:$J$4,0)),"")</f>
        <v>1031520</v>
      </c>
      <c r="H285" s="22">
        <f>IFERROR(D285/G285*100000,"")</f>
        <v>4.5563828137118039</v>
      </c>
    </row>
    <row r="286" spans="1:8" ht="15" customHeight="1" x14ac:dyDescent="0.3">
      <c r="A286" s="20" t="s">
        <v>5</v>
      </c>
      <c r="B286" s="20">
        <v>2019</v>
      </c>
      <c r="C286" s="20" t="s">
        <v>100</v>
      </c>
      <c r="D286" s="20">
        <v>92</v>
      </c>
      <c r="E286" s="20">
        <v>0</v>
      </c>
      <c r="F286" s="22">
        <f>IFERROR(E286/D286*100,"")</f>
        <v>0</v>
      </c>
      <c r="G286" s="23">
        <f>IFERROR(INDEX(Population_by_Province_Year!$B$5:$J$29,MATCH($A286,Population_by_Province_Year!$A$5:$A$29,0),MATCH($B286,Population_by_Province_Year!$B$4:$J$4,0)),"")</f>
        <v>930789</v>
      </c>
      <c r="H286" s="22">
        <f>IFERROR(D286/G286*100000,"")</f>
        <v>9.8840875859082988</v>
      </c>
    </row>
    <row r="287" spans="1:8" ht="15" customHeight="1" x14ac:dyDescent="0.3">
      <c r="A287" s="20" t="s">
        <v>6</v>
      </c>
      <c r="B287" s="20">
        <v>2019</v>
      </c>
      <c r="C287" s="20" t="s">
        <v>100</v>
      </c>
      <c r="D287" s="20">
        <v>48</v>
      </c>
      <c r="E287" s="20">
        <v>0</v>
      </c>
      <c r="F287" s="22">
        <f>IFERROR(E287/D287*100,"")</f>
        <v>0</v>
      </c>
      <c r="G287" s="23">
        <f>IFERROR(INDEX(Population_by_Province_Year!$B$5:$J$29,MATCH($A287,Population_by_Province_Year!$A$5:$A$29,0),MATCH($B287,Population_by_Province_Year!$B$4:$J$4,0)),"")</f>
        <v>545182</v>
      </c>
      <c r="H287" s="22">
        <f>IFERROR(D287/G287*100000,"")</f>
        <v>8.8043992648326608</v>
      </c>
    </row>
    <row r="288" spans="1:8" ht="15" customHeight="1" x14ac:dyDescent="0.3">
      <c r="A288" s="20" t="s">
        <v>7</v>
      </c>
      <c r="B288" s="20">
        <v>2019</v>
      </c>
      <c r="C288" s="20" t="s">
        <v>100</v>
      </c>
      <c r="D288" s="20">
        <v>45</v>
      </c>
      <c r="E288" s="20">
        <v>0</v>
      </c>
      <c r="F288" s="22">
        <f>IFERROR(E288/D288*100,"")</f>
        <v>0</v>
      </c>
      <c r="G288" s="23">
        <f>IFERROR(INDEX(Population_by_Province_Year!$B$5:$J$29,MATCH($A288,Population_by_Province_Year!$A$5:$A$29,0),MATCH($B288,Population_by_Province_Year!$B$4:$J$4,0)),"")</f>
        <v>907754</v>
      </c>
      <c r="H288" s="22">
        <f>IFERROR(D288/G288*100000,"")</f>
        <v>4.9572901909548186</v>
      </c>
    </row>
    <row r="289" spans="1:8" ht="15" customHeight="1" x14ac:dyDescent="0.3">
      <c r="A289" s="20" t="s">
        <v>8</v>
      </c>
      <c r="B289" s="20">
        <v>2019</v>
      </c>
      <c r="C289" s="20" t="s">
        <v>100</v>
      </c>
      <c r="D289" s="20">
        <v>133</v>
      </c>
      <c r="E289" s="20">
        <v>0</v>
      </c>
      <c r="F289" s="22">
        <f>IFERROR(E289/D289*100,"")</f>
        <v>0</v>
      </c>
      <c r="G289" s="23">
        <f>IFERROR(INDEX(Population_by_Province_Year!$B$5:$J$29,MATCH($A289,Population_by_Province_Year!$A$5:$A$29,0),MATCH($B289,Population_by_Province_Year!$B$4:$J$4,0)),"")</f>
        <v>705028</v>
      </c>
      <c r="H289" s="22">
        <f>IFERROR(D289/G289*100000,"")</f>
        <v>18.864498998621329</v>
      </c>
    </row>
    <row r="290" spans="1:8" ht="15" customHeight="1" x14ac:dyDescent="0.3">
      <c r="A290" s="20" t="s">
        <v>9</v>
      </c>
      <c r="B290" s="20">
        <v>2019</v>
      </c>
      <c r="C290" s="20" t="s">
        <v>100</v>
      </c>
      <c r="D290" s="20">
        <v>24</v>
      </c>
      <c r="E290" s="20">
        <v>0</v>
      </c>
      <c r="F290" s="22">
        <f>IFERROR(E290/D290*100,"")</f>
        <v>0</v>
      </c>
      <c r="G290" s="23">
        <f>IFERROR(INDEX(Population_by_Province_Year!$B$5:$J$29,MATCH($A290,Population_by_Province_Year!$A$5:$A$29,0),MATCH($B290,Population_by_Province_Year!$B$4:$J$4,0)),"")</f>
        <v>614285</v>
      </c>
      <c r="H290" s="22">
        <f>IFERROR(D290/G290*100000,"")</f>
        <v>3.9069812871875431</v>
      </c>
    </row>
    <row r="291" spans="1:8" ht="15" customHeight="1" x14ac:dyDescent="0.3">
      <c r="A291" s="20" t="s">
        <v>10</v>
      </c>
      <c r="B291" s="20">
        <v>2019</v>
      </c>
      <c r="C291" s="20" t="s">
        <v>100</v>
      </c>
      <c r="D291" s="20">
        <v>317</v>
      </c>
      <c r="E291" s="20">
        <v>1</v>
      </c>
      <c r="F291" s="22">
        <f>IFERROR(E291/D291*100,"")</f>
        <v>0.31545741324921134</v>
      </c>
      <c r="G291" s="23">
        <f>IFERROR(INDEX(Population_by_Province_Year!$B$5:$J$29,MATCH($A291,Population_by_Province_Year!$A$5:$A$29,0),MATCH($B291,Population_by_Province_Year!$B$4:$J$4,0)),"")</f>
        <v>1242975</v>
      </c>
      <c r="H291" s="22">
        <f>IFERROR(D291/G291*100000,"")</f>
        <v>25.503328707335221</v>
      </c>
    </row>
    <row r="292" spans="1:8" ht="15" customHeight="1" x14ac:dyDescent="0.3">
      <c r="A292" s="20" t="s">
        <v>11</v>
      </c>
      <c r="B292" s="20">
        <v>2019</v>
      </c>
      <c r="C292" s="20" t="s">
        <v>100</v>
      </c>
      <c r="D292" s="20">
        <v>3</v>
      </c>
      <c r="E292" s="20">
        <v>0</v>
      </c>
      <c r="F292" s="22">
        <f>IFERROR(E292/D292*100,"")</f>
        <v>0</v>
      </c>
      <c r="G292" s="23">
        <f>IFERROR(INDEX(Population_by_Province_Year!$B$5:$J$29,MATCH($A292,Population_by_Province_Year!$A$5:$A$29,0),MATCH($B292,Population_by_Province_Year!$B$4:$J$4,0)),"")</f>
        <v>44135</v>
      </c>
      <c r="H292" s="22">
        <f>IFERROR(D292/G292*100000,"")</f>
        <v>6.7973263849552508</v>
      </c>
    </row>
    <row r="293" spans="1:8" ht="15" customHeight="1" x14ac:dyDescent="0.3">
      <c r="A293" s="20" t="s">
        <v>12</v>
      </c>
      <c r="B293" s="20">
        <v>2019</v>
      </c>
      <c r="C293" s="20" t="s">
        <v>100</v>
      </c>
      <c r="D293" s="20">
        <v>7</v>
      </c>
      <c r="E293" s="20">
        <v>0</v>
      </c>
      <c r="F293" s="22">
        <f>IFERROR(E293/D293*100,"")</f>
        <v>0</v>
      </c>
      <c r="G293" s="23">
        <f>IFERROR(INDEX(Population_by_Province_Year!$B$5:$J$29,MATCH($A293,Population_by_Province_Year!$A$5:$A$29,0),MATCH($B293,Population_by_Province_Year!$B$4:$J$4,0)),"")</f>
        <v>130239</v>
      </c>
      <c r="H293" s="22">
        <f>IFERROR(D293/G293*100000,"")</f>
        <v>5.3747341426147317</v>
      </c>
    </row>
    <row r="294" spans="1:8" ht="15" customHeight="1" x14ac:dyDescent="0.3">
      <c r="A294" s="20" t="s">
        <v>13</v>
      </c>
      <c r="B294" s="20">
        <v>2019</v>
      </c>
      <c r="C294" s="20" t="s">
        <v>100</v>
      </c>
      <c r="D294" s="20">
        <v>18</v>
      </c>
      <c r="E294" s="20">
        <v>0</v>
      </c>
      <c r="F294" s="22">
        <f>IFERROR(E294/D294*100,"")</f>
        <v>0</v>
      </c>
      <c r="G294" s="23">
        <f>IFERROR(INDEX(Population_by_Province_Year!$B$5:$J$29,MATCH($A294,Population_by_Province_Year!$A$5:$A$29,0),MATCH($B294,Population_by_Province_Year!$B$4:$J$4,0)),"")</f>
        <v>387666</v>
      </c>
      <c r="H294" s="22">
        <f>IFERROR(D294/G294*100000,"")</f>
        <v>4.6431722152574642</v>
      </c>
    </row>
    <row r="295" spans="1:8" ht="15" customHeight="1" x14ac:dyDescent="0.3">
      <c r="A295" s="20" t="s">
        <v>14</v>
      </c>
      <c r="B295" s="20">
        <v>2019</v>
      </c>
      <c r="C295" s="20" t="s">
        <v>100</v>
      </c>
      <c r="D295" s="20">
        <v>1</v>
      </c>
      <c r="E295" s="20">
        <v>0</v>
      </c>
      <c r="F295" s="22">
        <f>IFERROR(E295/D295*100,"")</f>
        <v>0</v>
      </c>
      <c r="G295" s="23">
        <f>IFERROR(INDEX(Population_by_Province_Year!$B$5:$J$29,MATCH($A295,Population_by_Province_Year!$A$5:$A$29,0),MATCH($B295,Population_by_Province_Year!$B$4:$J$4,0)),"")</f>
        <v>95390</v>
      </c>
      <c r="H295" s="22">
        <f>IFERROR(D295/G295*100000,"")</f>
        <v>1.0483279169724291</v>
      </c>
    </row>
    <row r="296" spans="1:8" ht="15" customHeight="1" x14ac:dyDescent="0.3">
      <c r="A296" s="20" t="s">
        <v>15</v>
      </c>
      <c r="B296" s="20">
        <v>2019</v>
      </c>
      <c r="C296" s="20" t="s">
        <v>100</v>
      </c>
      <c r="D296" s="20">
        <v>33</v>
      </c>
      <c r="E296" s="20">
        <v>0</v>
      </c>
      <c r="F296" s="22">
        <f>IFERROR(E296/D296*100,"")</f>
        <v>0</v>
      </c>
      <c r="G296" s="23">
        <f>IFERROR(INDEX(Population_by_Province_Year!$B$5:$J$29,MATCH($A296,Population_by_Province_Year!$A$5:$A$29,0),MATCH($B296,Population_by_Province_Year!$B$4:$J$4,0)),"")</f>
        <v>285548</v>
      </c>
      <c r="H296" s="22">
        <f>IFERROR(D296/G296*100000,"")</f>
        <v>11.556726014540462</v>
      </c>
    </row>
    <row r="297" spans="1:8" ht="15" customHeight="1" x14ac:dyDescent="0.3">
      <c r="A297" s="20" t="s">
        <v>16</v>
      </c>
      <c r="B297" s="20">
        <v>2019</v>
      </c>
      <c r="C297" s="20" t="s">
        <v>100</v>
      </c>
      <c r="D297" s="20">
        <v>20</v>
      </c>
      <c r="E297" s="20">
        <v>0</v>
      </c>
      <c r="F297" s="22">
        <f>IFERROR(E297/D297*100,"")</f>
        <v>0</v>
      </c>
      <c r="G297" s="23">
        <f>IFERROR(INDEX(Population_by_Province_Year!$B$5:$J$29,MATCH($A297,Population_by_Province_Year!$A$5:$A$29,0),MATCH($B297,Population_by_Province_Year!$B$4:$J$4,0)),"")</f>
        <v>77701</v>
      </c>
      <c r="H297" s="22">
        <f>IFERROR(D297/G297*100000,"")</f>
        <v>25.739694469826642</v>
      </c>
    </row>
    <row r="298" spans="1:8" ht="15" customHeight="1" x14ac:dyDescent="0.3">
      <c r="A298" s="20" t="s">
        <v>17</v>
      </c>
      <c r="B298" s="20">
        <v>2019</v>
      </c>
      <c r="C298" s="20" t="s">
        <v>100</v>
      </c>
      <c r="D298" s="20">
        <v>737</v>
      </c>
      <c r="E298" s="20">
        <v>0</v>
      </c>
      <c r="F298" s="22">
        <f>IFERROR(E298/D298*100,"")</f>
        <v>0</v>
      </c>
      <c r="G298" s="23">
        <f>IFERROR(INDEX(Population_by_Province_Year!$B$5:$J$29,MATCH($A298,Population_by_Province_Year!$A$5:$A$29,0),MATCH($B298,Population_by_Province_Year!$B$4:$J$4,0)),"")</f>
        <v>2360562</v>
      </c>
      <c r="H298" s="22">
        <f>IFERROR(D298/G298*100000,"")</f>
        <v>31.221378637798963</v>
      </c>
    </row>
    <row r="299" spans="1:8" ht="15" customHeight="1" x14ac:dyDescent="0.3">
      <c r="A299" s="20" t="s">
        <v>18</v>
      </c>
      <c r="B299" s="20">
        <v>2019</v>
      </c>
      <c r="C299" s="20" t="s">
        <v>100</v>
      </c>
      <c r="D299" s="20">
        <v>87</v>
      </c>
      <c r="E299" s="20">
        <v>1</v>
      </c>
      <c r="F299" s="22">
        <f>IFERROR(E299/D299*100,"")</f>
        <v>1.1494252873563218</v>
      </c>
      <c r="G299" s="23">
        <f>IFERROR(INDEX(Population_by_Province_Year!$B$5:$J$29,MATCH($A299,Population_by_Province_Year!$A$5:$A$29,0),MATCH($B299,Population_by_Province_Year!$B$4:$J$4,0)),"")</f>
        <v>320753</v>
      </c>
      <c r="H299" s="22">
        <f>IFERROR(D299/G299*100000,"")</f>
        <v>27.123674603199344</v>
      </c>
    </row>
    <row r="300" spans="1:8" ht="15" customHeight="1" x14ac:dyDescent="0.3">
      <c r="A300" s="20" t="s">
        <v>19</v>
      </c>
      <c r="B300" s="20">
        <v>2019</v>
      </c>
      <c r="C300" s="20" t="s">
        <v>100</v>
      </c>
      <c r="D300" s="20">
        <v>19</v>
      </c>
      <c r="E300" s="20">
        <v>0</v>
      </c>
      <c r="F300" s="22">
        <f>IFERROR(E300/D300*100,"")</f>
        <v>0</v>
      </c>
      <c r="G300" s="23">
        <f>IFERROR(INDEX(Population_by_Province_Year!$B$5:$J$29,MATCH($A300,Population_by_Province_Year!$A$5:$A$29,0),MATCH($B300,Population_by_Province_Year!$B$4:$J$4,0)),"")</f>
        <v>263606</v>
      </c>
      <c r="H300" s="22">
        <f>IFERROR(D300/G300*100000,"")</f>
        <v>7.2077266830041804</v>
      </c>
    </row>
    <row r="301" spans="1:8" ht="15" customHeight="1" x14ac:dyDescent="0.3">
      <c r="A301" s="20" t="s">
        <v>20</v>
      </c>
      <c r="B301" s="20">
        <v>2019</v>
      </c>
      <c r="C301" s="20" t="s">
        <v>100</v>
      </c>
      <c r="D301" s="20">
        <v>67</v>
      </c>
      <c r="E301" s="20">
        <v>0</v>
      </c>
      <c r="F301" s="22">
        <f>IFERROR(E301/D301*100,"")</f>
        <v>0</v>
      </c>
      <c r="G301" s="23">
        <f>IFERROR(INDEX(Population_by_Province_Year!$B$5:$J$29,MATCH($A301,Population_by_Province_Year!$A$5:$A$29,0),MATCH($B301,Population_by_Province_Year!$B$4:$J$4,0)),"")</f>
        <v>1094157</v>
      </c>
      <c r="H301" s="22">
        <f>IFERROR(D301/G301*100000,"")</f>
        <v>6.1234356678246362</v>
      </c>
    </row>
    <row r="302" spans="1:8" ht="15" customHeight="1" x14ac:dyDescent="0.3">
      <c r="A302" s="20" t="s">
        <v>21</v>
      </c>
      <c r="B302" s="20">
        <v>2019</v>
      </c>
      <c r="C302" s="20" t="s">
        <v>100</v>
      </c>
      <c r="D302" s="20">
        <v>20</v>
      </c>
      <c r="E302" s="20">
        <v>0</v>
      </c>
      <c r="F302" s="22">
        <f>IFERROR(E302/D302*100,"")</f>
        <v>0</v>
      </c>
      <c r="G302" s="23">
        <f>IFERROR(INDEX(Population_by_Province_Year!$B$5:$J$29,MATCH($A302,Population_by_Province_Year!$A$5:$A$29,0),MATCH($B302,Population_by_Province_Year!$B$4:$J$4,0)),"")</f>
        <v>434419</v>
      </c>
      <c r="H302" s="22">
        <f>IFERROR(D302/G302*100000,"")</f>
        <v>4.6038501999221948</v>
      </c>
    </row>
    <row r="303" spans="1:8" ht="15" customHeight="1" x14ac:dyDescent="0.3">
      <c r="A303" s="20" t="s">
        <v>22</v>
      </c>
      <c r="B303" s="20">
        <v>2019</v>
      </c>
      <c r="C303" s="20" t="s">
        <v>100</v>
      </c>
      <c r="D303" s="20">
        <v>2</v>
      </c>
      <c r="E303" s="20">
        <v>0</v>
      </c>
      <c r="F303" s="22">
        <f>IFERROR(E303/D303*100,"")</f>
        <v>0</v>
      </c>
      <c r="G303" s="23">
        <f>IFERROR(INDEX(Population_by_Province_Year!$B$5:$J$29,MATCH($A303,Population_by_Province_Year!$A$5:$A$29,0),MATCH($B303,Population_by_Province_Year!$B$4:$J$4,0)),"")</f>
        <v>224943</v>
      </c>
      <c r="H303" s="22">
        <f>IFERROR(D303/G303*100000,"")</f>
        <v>0.88911413113544313</v>
      </c>
    </row>
    <row r="304" spans="1:8" ht="15" customHeight="1" x14ac:dyDescent="0.3">
      <c r="A304" s="20" t="s">
        <v>23</v>
      </c>
      <c r="B304" s="20">
        <v>2019</v>
      </c>
      <c r="C304" s="20" t="s">
        <v>100</v>
      </c>
      <c r="D304" s="20">
        <v>174</v>
      </c>
      <c r="E304" s="20">
        <v>1</v>
      </c>
      <c r="F304" s="22">
        <f>IFERROR(E304/D304*100,"")</f>
        <v>0.57471264367816088</v>
      </c>
      <c r="G304" s="23">
        <f>IFERROR(INDEX(Population_by_Province_Year!$B$5:$J$29,MATCH($A304,Population_by_Province_Year!$A$5:$A$29,0),MATCH($B304,Population_by_Province_Year!$B$4:$J$4,0)),"")</f>
        <v>1049175</v>
      </c>
      <c r="H304" s="22">
        <f>IFERROR(D304/G304*100000,"")</f>
        <v>16.584459217956965</v>
      </c>
    </row>
    <row r="305" spans="1:8" ht="15" customHeight="1" x14ac:dyDescent="0.3">
      <c r="A305" s="20" t="s">
        <v>24</v>
      </c>
      <c r="B305" s="20">
        <v>2019</v>
      </c>
      <c r="C305" s="20" t="s">
        <v>100</v>
      </c>
      <c r="D305" s="20">
        <v>3</v>
      </c>
      <c r="E305" s="20">
        <v>0</v>
      </c>
      <c r="F305" s="22">
        <f>IFERROR(E305/D305*100,"")</f>
        <v>0</v>
      </c>
      <c r="G305" s="23">
        <f>IFERROR(INDEX(Population_by_Province_Year!$B$5:$J$29,MATCH($A305,Population_by_Province_Year!$A$5:$A$29,0),MATCH($B305,Population_by_Province_Year!$B$4:$J$4,0)),"")</f>
        <v>171422</v>
      </c>
      <c r="H305" s="22">
        <f>IFERROR(D305/G305*100000,"")</f>
        <v>1.7500670859049599</v>
      </c>
    </row>
    <row r="306" spans="1:8" ht="15" customHeight="1" x14ac:dyDescent="0.3">
      <c r="A306" s="20" t="s">
        <v>25</v>
      </c>
      <c r="B306" s="20">
        <v>2019</v>
      </c>
      <c r="C306" s="20" t="s">
        <v>100</v>
      </c>
      <c r="D306" s="20">
        <v>11</v>
      </c>
      <c r="E306" s="20">
        <v>0</v>
      </c>
      <c r="F306" s="22">
        <f>IFERROR(E306/D306*100,"")</f>
        <v>0</v>
      </c>
      <c r="G306" s="23">
        <f>IFERROR(INDEX(Population_by_Province_Year!$B$5:$J$29,MATCH($A306,Population_by_Province_Year!$A$5:$A$29,0),MATCH($B306,Population_by_Province_Year!$B$4:$J$4,0)),"")</f>
        <v>543599</v>
      </c>
      <c r="H306" s="22">
        <f>IFERROR(D306/G306*100000,"")</f>
        <v>2.0235504480324651</v>
      </c>
    </row>
    <row r="307" spans="1:8" ht="15" customHeight="1" x14ac:dyDescent="0.3">
      <c r="A307" s="20" t="s">
        <v>26</v>
      </c>
      <c r="B307" s="20">
        <v>2019</v>
      </c>
      <c r="C307" s="20" t="s">
        <v>100</v>
      </c>
      <c r="D307" s="20">
        <v>31</v>
      </c>
      <c r="E307" s="20">
        <v>0</v>
      </c>
      <c r="F307" s="22">
        <f>IFERROR(E307/D307*100,"")</f>
        <v>0</v>
      </c>
      <c r="G307" s="23">
        <f>IFERROR(INDEX(Population_by_Province_Year!$B$5:$J$29,MATCH($A307,Population_by_Province_Year!$A$5:$A$29,0),MATCH($B307,Population_by_Province_Year!$B$4:$J$4,0)),"")</f>
        <v>931951</v>
      </c>
      <c r="H307" s="22">
        <f>IFERROR(D307/G307*100000,"")</f>
        <v>3.3263551409891723</v>
      </c>
    </row>
    <row r="308" spans="1:8" ht="15" customHeight="1" x14ac:dyDescent="0.3">
      <c r="A308" s="20" t="s">
        <v>27</v>
      </c>
      <c r="B308" s="20">
        <v>2019</v>
      </c>
      <c r="C308" s="20" t="s">
        <v>100</v>
      </c>
      <c r="D308" s="20">
        <v>42</v>
      </c>
      <c r="E308" s="20">
        <v>0</v>
      </c>
      <c r="F308" s="22">
        <f>IFERROR(E308/D308*100,"")</f>
        <v>0</v>
      </c>
      <c r="G308" s="23">
        <f>IFERROR(INDEX(Population_by_Province_Year!$B$5:$J$29,MATCH($A308,Population_by_Province_Year!$A$5:$A$29,0),MATCH($B308,Population_by_Province_Year!$B$4:$J$4,0)),"")</f>
        <v>803603</v>
      </c>
      <c r="H308" s="22">
        <f>IFERROR(D308/G308*100000,"")</f>
        <v>5.226461324808394</v>
      </c>
    </row>
    <row r="309" spans="1:8" ht="15" customHeight="1" x14ac:dyDescent="0.3">
      <c r="A309" s="20" t="s">
        <v>3</v>
      </c>
      <c r="B309" s="20">
        <v>2019</v>
      </c>
      <c r="C309" s="20" t="s">
        <v>99</v>
      </c>
      <c r="D309" s="20">
        <v>61</v>
      </c>
      <c r="E309" s="20">
        <v>0</v>
      </c>
      <c r="F309" s="22">
        <f>IFERROR(E309/D309*100,"")</f>
        <v>0</v>
      </c>
      <c r="G309" s="23">
        <f>IFERROR(INDEX(Population_by_Province_Year!$B$5:$J$29,MATCH($A309,Population_by_Province_Year!$A$5:$A$29,0),MATCH($B309,Population_by_Province_Year!$B$4:$J$4,0)),"")</f>
        <v>891574</v>
      </c>
      <c r="H309" s="22">
        <f>IFERROR(D309/G309*100000,"")</f>
        <v>6.8418325343717958</v>
      </c>
    </row>
    <row r="310" spans="1:8" ht="15" customHeight="1" x14ac:dyDescent="0.3">
      <c r="A310" s="20" t="s">
        <v>4</v>
      </c>
      <c r="B310" s="20">
        <v>2019</v>
      </c>
      <c r="C310" s="20" t="s">
        <v>99</v>
      </c>
      <c r="D310" s="20">
        <v>62</v>
      </c>
      <c r="E310" s="20">
        <v>0</v>
      </c>
      <c r="F310" s="22">
        <f>IFERROR(E310/D310*100,"")</f>
        <v>0</v>
      </c>
      <c r="G310" s="23">
        <f>IFERROR(INDEX(Population_by_Province_Year!$B$5:$J$29,MATCH($A310,Population_by_Province_Year!$A$5:$A$29,0),MATCH($B310,Population_by_Province_Year!$B$4:$J$4,0)),"")</f>
        <v>1031520</v>
      </c>
      <c r="H310" s="22">
        <f>IFERROR(D310/G310*100000,"")</f>
        <v>6.0105475414921674</v>
      </c>
    </row>
    <row r="311" spans="1:8" ht="15" customHeight="1" x14ac:dyDescent="0.3">
      <c r="A311" s="20" t="s">
        <v>5</v>
      </c>
      <c r="B311" s="20">
        <v>2019</v>
      </c>
      <c r="C311" s="20" t="s">
        <v>99</v>
      </c>
      <c r="D311" s="20">
        <v>88</v>
      </c>
      <c r="E311" s="20">
        <v>0</v>
      </c>
      <c r="F311" s="22">
        <f>IFERROR(E311/D311*100,"")</f>
        <v>0</v>
      </c>
      <c r="G311" s="23">
        <f>IFERROR(INDEX(Population_by_Province_Year!$B$5:$J$29,MATCH($A311,Population_by_Province_Year!$A$5:$A$29,0),MATCH($B311,Population_by_Province_Year!$B$4:$J$4,0)),"")</f>
        <v>930789</v>
      </c>
      <c r="H311" s="22">
        <f>IFERROR(D311/G311*100000,"")</f>
        <v>9.4543446473905473</v>
      </c>
    </row>
    <row r="312" spans="1:8" ht="15" customHeight="1" x14ac:dyDescent="0.3">
      <c r="A312" s="20" t="s">
        <v>6</v>
      </c>
      <c r="B312" s="20">
        <v>2019</v>
      </c>
      <c r="C312" s="20" t="s">
        <v>99</v>
      </c>
      <c r="D312" s="20">
        <v>29</v>
      </c>
      <c r="E312" s="20">
        <v>0</v>
      </c>
      <c r="F312" s="22">
        <f>IFERROR(E312/D312*100,"")</f>
        <v>0</v>
      </c>
      <c r="G312" s="23">
        <f>IFERROR(INDEX(Population_by_Province_Year!$B$5:$J$29,MATCH($A312,Population_by_Province_Year!$A$5:$A$29,0),MATCH($B312,Population_by_Province_Year!$B$4:$J$4,0)),"")</f>
        <v>545182</v>
      </c>
      <c r="H312" s="22">
        <f>IFERROR(D312/G312*100000,"")</f>
        <v>5.3193245558364</v>
      </c>
    </row>
    <row r="313" spans="1:8" ht="15" customHeight="1" x14ac:dyDescent="0.3">
      <c r="A313" s="20" t="s">
        <v>7</v>
      </c>
      <c r="B313" s="20">
        <v>2019</v>
      </c>
      <c r="C313" s="20" t="s">
        <v>99</v>
      </c>
      <c r="D313" s="20">
        <v>40</v>
      </c>
      <c r="E313" s="20">
        <v>0</v>
      </c>
      <c r="F313" s="22">
        <f>IFERROR(E313/D313*100,"")</f>
        <v>0</v>
      </c>
      <c r="G313" s="23">
        <f>IFERROR(INDEX(Population_by_Province_Year!$B$5:$J$29,MATCH($A313,Population_by_Province_Year!$A$5:$A$29,0),MATCH($B313,Population_by_Province_Year!$B$4:$J$4,0)),"")</f>
        <v>907754</v>
      </c>
      <c r="H313" s="22">
        <f>IFERROR(D313/G313*100000,"")</f>
        <v>4.4064801697376161</v>
      </c>
    </row>
    <row r="314" spans="1:8" ht="15" customHeight="1" x14ac:dyDescent="0.3">
      <c r="A314" s="20" t="s">
        <v>8</v>
      </c>
      <c r="B314" s="20">
        <v>2019</v>
      </c>
      <c r="C314" s="20" t="s">
        <v>99</v>
      </c>
      <c r="D314" s="20">
        <v>223</v>
      </c>
      <c r="E314" s="20">
        <v>0</v>
      </c>
      <c r="F314" s="22">
        <f>IFERROR(E314/D314*100,"")</f>
        <v>0</v>
      </c>
      <c r="G314" s="23">
        <f>IFERROR(INDEX(Population_by_Province_Year!$B$5:$J$29,MATCH($A314,Population_by_Province_Year!$A$5:$A$29,0),MATCH($B314,Population_by_Province_Year!$B$4:$J$4,0)),"")</f>
        <v>705028</v>
      </c>
      <c r="H314" s="22">
        <f>IFERROR(D314/G314*100000,"")</f>
        <v>31.62994944881622</v>
      </c>
    </row>
    <row r="315" spans="1:8" ht="15" customHeight="1" x14ac:dyDescent="0.3">
      <c r="A315" s="20" t="s">
        <v>9</v>
      </c>
      <c r="B315" s="20">
        <v>2019</v>
      </c>
      <c r="C315" s="20" t="s">
        <v>99</v>
      </c>
      <c r="D315" s="20">
        <v>58</v>
      </c>
      <c r="E315" s="20">
        <v>0</v>
      </c>
      <c r="F315" s="22">
        <f>IFERROR(E315/D315*100,"")</f>
        <v>0</v>
      </c>
      <c r="G315" s="23">
        <f>IFERROR(INDEX(Population_by_Province_Year!$B$5:$J$29,MATCH($A315,Population_by_Province_Year!$A$5:$A$29,0),MATCH($B315,Population_by_Province_Year!$B$4:$J$4,0)),"")</f>
        <v>614285</v>
      </c>
      <c r="H315" s="22">
        <f>IFERROR(D315/G315*100000,"")</f>
        <v>9.441871444036563</v>
      </c>
    </row>
    <row r="316" spans="1:8" ht="15" customHeight="1" x14ac:dyDescent="0.3">
      <c r="A316" s="20" t="s">
        <v>10</v>
      </c>
      <c r="B316" s="20">
        <v>2019</v>
      </c>
      <c r="C316" s="20" t="s">
        <v>99</v>
      </c>
      <c r="D316" s="20">
        <v>177</v>
      </c>
      <c r="E316" s="20">
        <v>0</v>
      </c>
      <c r="F316" s="22">
        <f>IFERROR(E316/D316*100,"")</f>
        <v>0</v>
      </c>
      <c r="G316" s="23">
        <f>IFERROR(INDEX(Population_by_Province_Year!$B$5:$J$29,MATCH($A316,Population_by_Province_Year!$A$5:$A$29,0),MATCH($B316,Population_by_Province_Year!$B$4:$J$4,0)),"")</f>
        <v>1242975</v>
      </c>
      <c r="H316" s="22">
        <f>IFERROR(D316/G316*100000,"")</f>
        <v>14.240028962770772</v>
      </c>
    </row>
    <row r="317" spans="1:8" ht="15" customHeight="1" x14ac:dyDescent="0.3">
      <c r="A317" s="20" t="s">
        <v>11</v>
      </c>
      <c r="B317" s="20">
        <v>2019</v>
      </c>
      <c r="C317" s="20" t="s">
        <v>99</v>
      </c>
      <c r="D317" s="20">
        <v>19</v>
      </c>
      <c r="E317" s="20">
        <v>0</v>
      </c>
      <c r="F317" s="22">
        <f>IFERROR(E317/D317*100,"")</f>
        <v>0</v>
      </c>
      <c r="G317" s="23">
        <f>IFERROR(INDEX(Population_by_Province_Year!$B$5:$J$29,MATCH($A317,Population_by_Province_Year!$A$5:$A$29,0),MATCH($B317,Population_by_Province_Year!$B$4:$J$4,0)),"")</f>
        <v>44135</v>
      </c>
      <c r="H317" s="22">
        <f>IFERROR(D317/G317*100000,"")</f>
        <v>43.049733771383252</v>
      </c>
    </row>
    <row r="318" spans="1:8" ht="15" customHeight="1" x14ac:dyDescent="0.3">
      <c r="A318" s="20" t="s">
        <v>12</v>
      </c>
      <c r="B318" s="20">
        <v>2019</v>
      </c>
      <c r="C318" s="20" t="s">
        <v>99</v>
      </c>
      <c r="D318" s="20">
        <v>13</v>
      </c>
      <c r="E318" s="20">
        <v>0</v>
      </c>
      <c r="F318" s="22">
        <f>IFERROR(E318/D318*100,"")</f>
        <v>0</v>
      </c>
      <c r="G318" s="23">
        <f>IFERROR(INDEX(Population_by_Province_Year!$B$5:$J$29,MATCH($A318,Population_by_Province_Year!$A$5:$A$29,0),MATCH($B318,Population_by_Province_Year!$B$4:$J$4,0)),"")</f>
        <v>130239</v>
      </c>
      <c r="H318" s="22">
        <f>IFERROR(D318/G318*100000,"")</f>
        <v>9.9816491219987871</v>
      </c>
    </row>
    <row r="319" spans="1:8" ht="15" customHeight="1" x14ac:dyDescent="0.3">
      <c r="A319" s="20" t="s">
        <v>13</v>
      </c>
      <c r="B319" s="20">
        <v>2019</v>
      </c>
      <c r="C319" s="20" t="s">
        <v>99</v>
      </c>
      <c r="D319" s="20">
        <v>50</v>
      </c>
      <c r="E319" s="20">
        <v>1</v>
      </c>
      <c r="F319" s="22">
        <f>IFERROR(E319/D319*100,"")</f>
        <v>2</v>
      </c>
      <c r="G319" s="23">
        <f>IFERROR(INDEX(Population_by_Province_Year!$B$5:$J$29,MATCH($A319,Population_by_Province_Year!$A$5:$A$29,0),MATCH($B319,Population_by_Province_Year!$B$4:$J$4,0)),"")</f>
        <v>387666</v>
      </c>
      <c r="H319" s="22">
        <f>IFERROR(D319/G319*100000,"")</f>
        <v>12.8977005979374</v>
      </c>
    </row>
    <row r="320" spans="1:8" ht="15" customHeight="1" x14ac:dyDescent="0.3">
      <c r="A320" s="20" t="s">
        <v>14</v>
      </c>
      <c r="B320" s="20">
        <v>2019</v>
      </c>
      <c r="C320" s="20" t="s">
        <v>99</v>
      </c>
      <c r="D320" s="20">
        <v>8</v>
      </c>
      <c r="E320" s="20">
        <v>0</v>
      </c>
      <c r="F320" s="22">
        <f>IFERROR(E320/D320*100,"")</f>
        <v>0</v>
      </c>
      <c r="G320" s="23">
        <f>IFERROR(INDEX(Population_by_Province_Year!$B$5:$J$29,MATCH($A320,Population_by_Province_Year!$A$5:$A$29,0),MATCH($B320,Population_by_Province_Year!$B$4:$J$4,0)),"")</f>
        <v>95390</v>
      </c>
      <c r="H320" s="22">
        <f>IFERROR(D320/G320*100000,"")</f>
        <v>8.3866233357794329</v>
      </c>
    </row>
    <row r="321" spans="1:8" ht="15" customHeight="1" x14ac:dyDescent="0.3">
      <c r="A321" s="20" t="s">
        <v>15</v>
      </c>
      <c r="B321" s="20">
        <v>2019</v>
      </c>
      <c r="C321" s="20" t="s">
        <v>99</v>
      </c>
      <c r="D321" s="20">
        <v>46</v>
      </c>
      <c r="E321" s="20">
        <v>0</v>
      </c>
      <c r="F321" s="22">
        <f>IFERROR(E321/D321*100,"")</f>
        <v>0</v>
      </c>
      <c r="G321" s="23">
        <f>IFERROR(INDEX(Population_by_Province_Year!$B$5:$J$29,MATCH($A321,Population_by_Province_Year!$A$5:$A$29,0),MATCH($B321,Population_by_Province_Year!$B$4:$J$4,0)),"")</f>
        <v>285548</v>
      </c>
      <c r="H321" s="22">
        <f>IFERROR(D321/G321*100000,"")</f>
        <v>16.10937565663216</v>
      </c>
    </row>
    <row r="322" spans="1:8" ht="15" customHeight="1" x14ac:dyDescent="0.3">
      <c r="A322" s="20" t="s">
        <v>16</v>
      </c>
      <c r="B322" s="20">
        <v>2019</v>
      </c>
      <c r="C322" s="20" t="s">
        <v>99</v>
      </c>
      <c r="D322" s="20">
        <v>13</v>
      </c>
      <c r="E322" s="20">
        <v>0</v>
      </c>
      <c r="F322" s="22">
        <f>IFERROR(E322/D322*100,"")</f>
        <v>0</v>
      </c>
      <c r="G322" s="23">
        <f>IFERROR(INDEX(Population_by_Province_Year!$B$5:$J$29,MATCH($A322,Population_by_Province_Year!$A$5:$A$29,0),MATCH($B322,Population_by_Province_Year!$B$4:$J$4,0)),"")</f>
        <v>77701</v>
      </c>
      <c r="H322" s="22">
        <f>IFERROR(D322/G322*100000,"")</f>
        <v>16.730801405387318</v>
      </c>
    </row>
    <row r="323" spans="1:8" ht="15" customHeight="1" x14ac:dyDescent="0.3">
      <c r="A323" s="20" t="s">
        <v>17</v>
      </c>
      <c r="B323" s="20">
        <v>2019</v>
      </c>
      <c r="C323" s="20" t="s">
        <v>99</v>
      </c>
      <c r="D323" s="20">
        <v>375</v>
      </c>
      <c r="E323" s="20">
        <v>1</v>
      </c>
      <c r="F323" s="22">
        <f>IFERROR(E323/D323*100,"")</f>
        <v>0.26666666666666666</v>
      </c>
      <c r="G323" s="23">
        <f>IFERROR(INDEX(Population_by_Province_Year!$B$5:$J$29,MATCH($A323,Population_by_Province_Year!$A$5:$A$29,0),MATCH($B323,Population_by_Province_Year!$B$4:$J$4,0)),"")</f>
        <v>2360562</v>
      </c>
      <c r="H323" s="22">
        <f>IFERROR(D323/G323*100000,"")</f>
        <v>15.886047475135157</v>
      </c>
    </row>
    <row r="324" spans="1:8" ht="15" customHeight="1" x14ac:dyDescent="0.3">
      <c r="A324" s="20" t="s">
        <v>18</v>
      </c>
      <c r="B324" s="20">
        <v>2019</v>
      </c>
      <c r="C324" s="20" t="s">
        <v>99</v>
      </c>
      <c r="D324" s="20">
        <v>106</v>
      </c>
      <c r="E324" s="20">
        <v>0</v>
      </c>
      <c r="F324" s="22">
        <f>IFERROR(E324/D324*100,"")</f>
        <v>0</v>
      </c>
      <c r="G324" s="23">
        <f>IFERROR(INDEX(Population_by_Province_Year!$B$5:$J$29,MATCH($A324,Population_by_Province_Year!$A$5:$A$29,0),MATCH($B324,Population_by_Province_Year!$B$4:$J$4,0)),"")</f>
        <v>320753</v>
      </c>
      <c r="H324" s="22">
        <f>IFERROR(D324/G324*100000,"")</f>
        <v>33.047235723438284</v>
      </c>
    </row>
    <row r="325" spans="1:8" ht="15" customHeight="1" x14ac:dyDescent="0.3">
      <c r="A325" s="20" t="s">
        <v>19</v>
      </c>
      <c r="B325" s="20">
        <v>2019</v>
      </c>
      <c r="C325" s="20" t="s">
        <v>99</v>
      </c>
      <c r="D325" s="20">
        <v>37</v>
      </c>
      <c r="E325" s="20">
        <v>0</v>
      </c>
      <c r="F325" s="22">
        <f>IFERROR(E325/D325*100,"")</f>
        <v>0</v>
      </c>
      <c r="G325" s="23">
        <f>IFERROR(INDEX(Population_by_Province_Year!$B$5:$J$29,MATCH($A325,Population_by_Province_Year!$A$5:$A$29,0),MATCH($B325,Population_by_Province_Year!$B$4:$J$4,0)),"")</f>
        <v>263606</v>
      </c>
      <c r="H325" s="22">
        <f>IFERROR(D325/G325*100000,"")</f>
        <v>14.036099330060772</v>
      </c>
    </row>
    <row r="326" spans="1:8" ht="15" customHeight="1" x14ac:dyDescent="0.3">
      <c r="A326" s="20" t="s">
        <v>20</v>
      </c>
      <c r="B326" s="20">
        <v>2019</v>
      </c>
      <c r="C326" s="20" t="s">
        <v>99</v>
      </c>
      <c r="D326" s="20">
        <v>57</v>
      </c>
      <c r="E326" s="20">
        <v>0</v>
      </c>
      <c r="F326" s="22">
        <f>IFERROR(E326/D326*100,"")</f>
        <v>0</v>
      </c>
      <c r="G326" s="23">
        <f>IFERROR(INDEX(Population_by_Province_Year!$B$5:$J$29,MATCH($A326,Population_by_Province_Year!$A$5:$A$29,0),MATCH($B326,Population_by_Province_Year!$B$4:$J$4,0)),"")</f>
        <v>1094157</v>
      </c>
      <c r="H326" s="22">
        <f>IFERROR(D326/G326*100000,"")</f>
        <v>5.2094900457612576</v>
      </c>
    </row>
    <row r="327" spans="1:8" ht="15" customHeight="1" x14ac:dyDescent="0.3">
      <c r="A327" s="20" t="s">
        <v>21</v>
      </c>
      <c r="B327" s="20">
        <v>2019</v>
      </c>
      <c r="C327" s="20" t="s">
        <v>99</v>
      </c>
      <c r="D327" s="20">
        <v>12</v>
      </c>
      <c r="E327" s="20">
        <v>0</v>
      </c>
      <c r="F327" s="22">
        <f>IFERROR(E327/D327*100,"")</f>
        <v>0</v>
      </c>
      <c r="G327" s="23">
        <f>IFERROR(INDEX(Population_by_Province_Year!$B$5:$J$29,MATCH($A327,Population_by_Province_Year!$A$5:$A$29,0),MATCH($B327,Population_by_Province_Year!$B$4:$J$4,0)),"")</f>
        <v>434419</v>
      </c>
      <c r="H327" s="22">
        <f>IFERROR(D327/G327*100000,"")</f>
        <v>2.7623101199533169</v>
      </c>
    </row>
    <row r="328" spans="1:8" ht="15" customHeight="1" x14ac:dyDescent="0.3">
      <c r="A328" s="20" t="s">
        <v>22</v>
      </c>
      <c r="B328" s="20">
        <v>2019</v>
      </c>
      <c r="C328" s="20" t="s">
        <v>99</v>
      </c>
      <c r="D328" s="20">
        <v>3</v>
      </c>
      <c r="E328" s="20">
        <v>0</v>
      </c>
      <c r="F328" s="22">
        <f>IFERROR(E328/D328*100,"")</f>
        <v>0</v>
      </c>
      <c r="G328" s="23">
        <f>IFERROR(INDEX(Population_by_Province_Year!$B$5:$J$29,MATCH($A328,Population_by_Province_Year!$A$5:$A$29,0),MATCH($B328,Population_by_Province_Year!$B$4:$J$4,0)),"")</f>
        <v>224943</v>
      </c>
      <c r="H328" s="22">
        <f>IFERROR(D328/G328*100000,"")</f>
        <v>1.3336711967031649</v>
      </c>
    </row>
    <row r="329" spans="1:8" ht="15" customHeight="1" x14ac:dyDescent="0.3">
      <c r="A329" s="20" t="s">
        <v>23</v>
      </c>
      <c r="B329" s="20">
        <v>2019</v>
      </c>
      <c r="C329" s="20" t="s">
        <v>99</v>
      </c>
      <c r="D329" s="20">
        <v>170</v>
      </c>
      <c r="E329" s="20">
        <v>0</v>
      </c>
      <c r="F329" s="22">
        <f>IFERROR(E329/D329*100,"")</f>
        <v>0</v>
      </c>
      <c r="G329" s="23">
        <f>IFERROR(INDEX(Population_by_Province_Year!$B$5:$J$29,MATCH($A329,Population_by_Province_Year!$A$5:$A$29,0),MATCH($B329,Population_by_Province_Year!$B$4:$J$4,0)),"")</f>
        <v>1049175</v>
      </c>
      <c r="H329" s="22">
        <f>IFERROR(D329/G329*100000,"")</f>
        <v>16.203207281911979</v>
      </c>
    </row>
    <row r="330" spans="1:8" ht="15" customHeight="1" x14ac:dyDescent="0.3">
      <c r="A330" s="20" t="s">
        <v>24</v>
      </c>
      <c r="B330" s="20">
        <v>2019</v>
      </c>
      <c r="C330" s="20" t="s">
        <v>99</v>
      </c>
      <c r="D330" s="20">
        <v>3</v>
      </c>
      <c r="E330" s="20">
        <v>0</v>
      </c>
      <c r="F330" s="22">
        <f>IFERROR(E330/D330*100,"")</f>
        <v>0</v>
      </c>
      <c r="G330" s="23">
        <f>IFERROR(INDEX(Population_by_Province_Year!$B$5:$J$29,MATCH($A330,Population_by_Province_Year!$A$5:$A$29,0),MATCH($B330,Population_by_Province_Year!$B$4:$J$4,0)),"")</f>
        <v>171422</v>
      </c>
      <c r="H330" s="22">
        <f>IFERROR(D330/G330*100000,"")</f>
        <v>1.7500670859049599</v>
      </c>
    </row>
    <row r="331" spans="1:8" ht="15" customHeight="1" x14ac:dyDescent="0.3">
      <c r="A331" s="20" t="s">
        <v>25</v>
      </c>
      <c r="B331" s="20">
        <v>2019</v>
      </c>
      <c r="C331" s="20" t="s">
        <v>99</v>
      </c>
      <c r="D331" s="20">
        <v>16</v>
      </c>
      <c r="E331" s="20">
        <v>0</v>
      </c>
      <c r="F331" s="22">
        <f>IFERROR(E331/D331*100,"")</f>
        <v>0</v>
      </c>
      <c r="G331" s="23">
        <f>IFERROR(INDEX(Population_by_Province_Year!$B$5:$J$29,MATCH($A331,Population_by_Province_Year!$A$5:$A$29,0),MATCH($B331,Population_by_Province_Year!$B$4:$J$4,0)),"")</f>
        <v>543599</v>
      </c>
      <c r="H331" s="22">
        <f>IFERROR(D331/G331*100000,"")</f>
        <v>2.9433461062290402</v>
      </c>
    </row>
    <row r="332" spans="1:8" ht="15" customHeight="1" x14ac:dyDescent="0.3">
      <c r="A332" s="20" t="s">
        <v>26</v>
      </c>
      <c r="B332" s="20">
        <v>2019</v>
      </c>
      <c r="C332" s="20" t="s">
        <v>99</v>
      </c>
      <c r="D332" s="20">
        <v>10</v>
      </c>
      <c r="E332" s="20">
        <v>0</v>
      </c>
      <c r="F332" s="22">
        <f>IFERROR(E332/D332*100,"")</f>
        <v>0</v>
      </c>
      <c r="G332" s="23">
        <f>IFERROR(INDEX(Population_by_Province_Year!$B$5:$J$29,MATCH($A332,Population_by_Province_Year!$A$5:$A$29,0),MATCH($B332,Population_by_Province_Year!$B$4:$J$4,0)),"")</f>
        <v>931951</v>
      </c>
      <c r="H332" s="22">
        <f>IFERROR(D332/G332*100000,"")</f>
        <v>1.073017787415862</v>
      </c>
    </row>
    <row r="333" spans="1:8" ht="15" customHeight="1" x14ac:dyDescent="0.3">
      <c r="A333" s="20" t="s">
        <v>27</v>
      </c>
      <c r="B333" s="20">
        <v>2019</v>
      </c>
      <c r="C333" s="20" t="s">
        <v>99</v>
      </c>
      <c r="D333" s="20">
        <v>32</v>
      </c>
      <c r="E333" s="20">
        <v>0</v>
      </c>
      <c r="F333" s="22">
        <f>IFERROR(E333/D333*100,"")</f>
        <v>0</v>
      </c>
      <c r="G333" s="23">
        <f>IFERROR(INDEX(Population_by_Province_Year!$B$5:$J$29,MATCH($A333,Population_by_Province_Year!$A$5:$A$29,0),MATCH($B333,Population_by_Province_Year!$B$4:$J$4,0)),"")</f>
        <v>803603</v>
      </c>
      <c r="H333" s="22">
        <f>IFERROR(D333/G333*100000,"")</f>
        <v>3.9820657712825862</v>
      </c>
    </row>
    <row r="334" spans="1:8" ht="15" customHeight="1" x14ac:dyDescent="0.3">
      <c r="A334" s="20" t="s">
        <v>3</v>
      </c>
      <c r="B334" s="20">
        <v>2019</v>
      </c>
      <c r="C334" s="20" t="s">
        <v>103</v>
      </c>
      <c r="D334" s="20">
        <v>84</v>
      </c>
      <c r="E334" s="20">
        <v>0</v>
      </c>
      <c r="F334" s="22">
        <f>IFERROR(E334/D334*100,"")</f>
        <v>0</v>
      </c>
      <c r="G334" s="23">
        <f>IFERROR(INDEX(Population_by_Province_Year!$B$5:$J$29,MATCH($A334,Population_by_Province_Year!$A$5:$A$29,0),MATCH($B334,Population_by_Province_Year!$B$4:$J$4,0)),"")</f>
        <v>891574</v>
      </c>
      <c r="H334" s="22">
        <f>IFERROR(D334/G334*100000,"")</f>
        <v>9.4215398833972284</v>
      </c>
    </row>
    <row r="335" spans="1:8" ht="15" customHeight="1" x14ac:dyDescent="0.3">
      <c r="A335" s="20" t="s">
        <v>4</v>
      </c>
      <c r="B335" s="20">
        <v>2019</v>
      </c>
      <c r="C335" s="20" t="s">
        <v>103</v>
      </c>
      <c r="D335" s="20">
        <v>94</v>
      </c>
      <c r="E335" s="20">
        <v>0</v>
      </c>
      <c r="F335" s="22">
        <f>IFERROR(E335/D335*100,"")</f>
        <v>0</v>
      </c>
      <c r="G335" s="23">
        <f>IFERROR(INDEX(Population_by_Province_Year!$B$5:$J$29,MATCH($A335,Population_by_Province_Year!$A$5:$A$29,0),MATCH($B335,Population_by_Province_Year!$B$4:$J$4,0)),"")</f>
        <v>1031520</v>
      </c>
      <c r="H335" s="22">
        <f>IFERROR(D335/G335*100000,"")</f>
        <v>9.1127656274236077</v>
      </c>
    </row>
    <row r="336" spans="1:8" ht="15" customHeight="1" x14ac:dyDescent="0.3">
      <c r="A336" s="20" t="s">
        <v>5</v>
      </c>
      <c r="B336" s="20">
        <v>2019</v>
      </c>
      <c r="C336" s="20" t="s">
        <v>103</v>
      </c>
      <c r="D336" s="20">
        <v>139</v>
      </c>
      <c r="E336" s="20">
        <v>1</v>
      </c>
      <c r="F336" s="22">
        <f>IFERROR(E336/D336*100,"")</f>
        <v>0.71942446043165476</v>
      </c>
      <c r="G336" s="23">
        <f>IFERROR(INDEX(Population_by_Province_Year!$B$5:$J$29,MATCH($A336,Population_by_Province_Year!$A$5:$A$29,0),MATCH($B336,Population_by_Province_Year!$B$4:$J$4,0)),"")</f>
        <v>930789</v>
      </c>
      <c r="H336" s="22">
        <f>IFERROR(D336/G336*100000,"")</f>
        <v>14.933567113491886</v>
      </c>
    </row>
    <row r="337" spans="1:8" ht="15" customHeight="1" x14ac:dyDescent="0.3">
      <c r="A337" s="20" t="s">
        <v>6</v>
      </c>
      <c r="B337" s="20">
        <v>2019</v>
      </c>
      <c r="C337" s="20" t="s">
        <v>103</v>
      </c>
      <c r="D337" s="20">
        <v>45</v>
      </c>
      <c r="E337" s="20">
        <v>0</v>
      </c>
      <c r="F337" s="22">
        <f>IFERROR(E337/D337*100,"")</f>
        <v>0</v>
      </c>
      <c r="G337" s="23">
        <f>IFERROR(INDEX(Population_by_Province_Year!$B$5:$J$29,MATCH($A337,Population_by_Province_Year!$A$5:$A$29,0),MATCH($B337,Population_by_Province_Year!$B$4:$J$4,0)),"")</f>
        <v>545182</v>
      </c>
      <c r="H337" s="22">
        <f>IFERROR(D337/G337*100000,"")</f>
        <v>8.2541243107806199</v>
      </c>
    </row>
    <row r="338" spans="1:8" ht="15" customHeight="1" x14ac:dyDescent="0.3">
      <c r="A338" s="20" t="s">
        <v>7</v>
      </c>
      <c r="B338" s="20">
        <v>2019</v>
      </c>
      <c r="C338" s="20" t="s">
        <v>103</v>
      </c>
      <c r="D338" s="20">
        <v>86</v>
      </c>
      <c r="E338" s="20">
        <v>0</v>
      </c>
      <c r="F338" s="22">
        <f>IFERROR(E338/D338*100,"")</f>
        <v>0</v>
      </c>
      <c r="G338" s="23">
        <f>IFERROR(INDEX(Population_by_Province_Year!$B$5:$J$29,MATCH($A338,Population_by_Province_Year!$A$5:$A$29,0),MATCH($B338,Population_by_Province_Year!$B$4:$J$4,0)),"")</f>
        <v>907754</v>
      </c>
      <c r="H338" s="22">
        <f>IFERROR(D338/G338*100000,"")</f>
        <v>9.4739323649358749</v>
      </c>
    </row>
    <row r="339" spans="1:8" ht="15" customHeight="1" x14ac:dyDescent="0.3">
      <c r="A339" s="20" t="s">
        <v>8</v>
      </c>
      <c r="B339" s="20">
        <v>2019</v>
      </c>
      <c r="C339" s="20" t="s">
        <v>103</v>
      </c>
      <c r="D339" s="20">
        <v>316</v>
      </c>
      <c r="E339" s="20">
        <v>0</v>
      </c>
      <c r="F339" s="22">
        <f>IFERROR(E339/D339*100,"")</f>
        <v>0</v>
      </c>
      <c r="G339" s="23">
        <f>IFERROR(INDEX(Population_by_Province_Year!$B$5:$J$29,MATCH($A339,Population_by_Province_Year!$A$5:$A$29,0),MATCH($B339,Population_by_Province_Year!$B$4:$J$4,0)),"")</f>
        <v>705028</v>
      </c>
      <c r="H339" s="22">
        <f>IFERROR(D339/G339*100000,"")</f>
        <v>44.8209149140176</v>
      </c>
    </row>
    <row r="340" spans="1:8" ht="15" customHeight="1" x14ac:dyDescent="0.3">
      <c r="A340" s="20" t="s">
        <v>9</v>
      </c>
      <c r="B340" s="20">
        <v>2019</v>
      </c>
      <c r="C340" s="20" t="s">
        <v>103</v>
      </c>
      <c r="D340" s="20">
        <v>43</v>
      </c>
      <c r="E340" s="20">
        <v>0</v>
      </c>
      <c r="F340" s="22">
        <f>IFERROR(E340/D340*100,"")</f>
        <v>0</v>
      </c>
      <c r="G340" s="23">
        <f>IFERROR(INDEX(Population_by_Province_Year!$B$5:$J$29,MATCH($A340,Population_by_Province_Year!$A$5:$A$29,0),MATCH($B340,Population_by_Province_Year!$B$4:$J$4,0)),"")</f>
        <v>614285</v>
      </c>
      <c r="H340" s="22">
        <f>IFERROR(D340/G340*100000,"")</f>
        <v>7.0000081395443479</v>
      </c>
    </row>
    <row r="341" spans="1:8" ht="15" customHeight="1" x14ac:dyDescent="0.3">
      <c r="A341" s="20" t="s">
        <v>10</v>
      </c>
      <c r="B341" s="20">
        <v>2019</v>
      </c>
      <c r="C341" s="20" t="s">
        <v>103</v>
      </c>
      <c r="D341" s="20">
        <v>195</v>
      </c>
      <c r="E341" s="20">
        <v>1</v>
      </c>
      <c r="F341" s="22">
        <f>IFERROR(E341/D341*100,"")</f>
        <v>0.51282051282051277</v>
      </c>
      <c r="G341" s="23">
        <f>IFERROR(INDEX(Population_by_Province_Year!$B$5:$J$29,MATCH($A341,Population_by_Province_Year!$A$5:$A$29,0),MATCH($B341,Population_by_Province_Year!$B$4:$J$4,0)),"")</f>
        <v>1242975</v>
      </c>
      <c r="H341" s="22">
        <f>IFERROR(D341/G341*100000,"")</f>
        <v>15.688167501357631</v>
      </c>
    </row>
    <row r="342" spans="1:8" ht="15" customHeight="1" x14ac:dyDescent="0.3">
      <c r="A342" s="20" t="s">
        <v>11</v>
      </c>
      <c r="B342" s="20">
        <v>2019</v>
      </c>
      <c r="C342" s="20" t="s">
        <v>103</v>
      </c>
      <c r="D342" s="20">
        <v>9</v>
      </c>
      <c r="E342" s="20">
        <v>0</v>
      </c>
      <c r="F342" s="22">
        <f>IFERROR(E342/D342*100,"")</f>
        <v>0</v>
      </c>
      <c r="G342" s="23">
        <f>IFERROR(INDEX(Population_by_Province_Year!$B$5:$J$29,MATCH($A342,Population_by_Province_Year!$A$5:$A$29,0),MATCH($B342,Population_by_Province_Year!$B$4:$J$4,0)),"")</f>
        <v>44135</v>
      </c>
      <c r="H342" s="22">
        <f>IFERROR(D342/G342*100000,"")</f>
        <v>20.391979154865755</v>
      </c>
    </row>
    <row r="343" spans="1:8" ht="15" customHeight="1" x14ac:dyDescent="0.3">
      <c r="A343" s="20" t="s">
        <v>12</v>
      </c>
      <c r="B343" s="20">
        <v>2019</v>
      </c>
      <c r="C343" s="20" t="s">
        <v>103</v>
      </c>
      <c r="D343" s="20">
        <v>27</v>
      </c>
      <c r="E343" s="20">
        <v>0</v>
      </c>
      <c r="F343" s="22">
        <f>IFERROR(E343/D343*100,"")</f>
        <v>0</v>
      </c>
      <c r="G343" s="23">
        <f>IFERROR(INDEX(Population_by_Province_Year!$B$5:$J$29,MATCH($A343,Population_by_Province_Year!$A$5:$A$29,0),MATCH($B343,Population_by_Province_Year!$B$4:$J$4,0)),"")</f>
        <v>130239</v>
      </c>
      <c r="H343" s="22">
        <f>IFERROR(D343/G343*100000,"")</f>
        <v>20.73111740722825</v>
      </c>
    </row>
    <row r="344" spans="1:8" ht="15" customHeight="1" x14ac:dyDescent="0.3">
      <c r="A344" s="20" t="s">
        <v>13</v>
      </c>
      <c r="B344" s="20">
        <v>2019</v>
      </c>
      <c r="C344" s="20" t="s">
        <v>103</v>
      </c>
      <c r="D344" s="20">
        <v>50</v>
      </c>
      <c r="E344" s="20">
        <v>0</v>
      </c>
      <c r="F344" s="22">
        <f>IFERROR(E344/D344*100,"")</f>
        <v>0</v>
      </c>
      <c r="G344" s="23">
        <f>IFERROR(INDEX(Population_by_Province_Year!$B$5:$J$29,MATCH($A344,Population_by_Province_Year!$A$5:$A$29,0),MATCH($B344,Population_by_Province_Year!$B$4:$J$4,0)),"")</f>
        <v>387666</v>
      </c>
      <c r="H344" s="22">
        <f>IFERROR(D344/G344*100000,"")</f>
        <v>12.8977005979374</v>
      </c>
    </row>
    <row r="345" spans="1:8" ht="15" customHeight="1" x14ac:dyDescent="0.3">
      <c r="A345" s="20" t="s">
        <v>14</v>
      </c>
      <c r="B345" s="20">
        <v>2019</v>
      </c>
      <c r="C345" s="20" t="s">
        <v>103</v>
      </c>
      <c r="D345" s="20">
        <v>2</v>
      </c>
      <c r="E345" s="20">
        <v>0</v>
      </c>
      <c r="F345" s="22">
        <f>IFERROR(E345/D345*100,"")</f>
        <v>0</v>
      </c>
      <c r="G345" s="23">
        <f>IFERROR(INDEX(Population_by_Province_Year!$B$5:$J$29,MATCH($A345,Population_by_Province_Year!$A$5:$A$29,0),MATCH($B345,Population_by_Province_Year!$B$4:$J$4,0)),"")</f>
        <v>95390</v>
      </c>
      <c r="H345" s="22">
        <f>IFERROR(D345/G345*100000,"")</f>
        <v>2.0966558339448582</v>
      </c>
    </row>
    <row r="346" spans="1:8" ht="15" customHeight="1" x14ac:dyDescent="0.3">
      <c r="A346" s="20" t="s">
        <v>15</v>
      </c>
      <c r="B346" s="20">
        <v>2019</v>
      </c>
      <c r="C346" s="20" t="s">
        <v>103</v>
      </c>
      <c r="D346" s="20">
        <v>90</v>
      </c>
      <c r="E346" s="20">
        <v>0</v>
      </c>
      <c r="F346" s="22">
        <f>IFERROR(E346/D346*100,"")</f>
        <v>0</v>
      </c>
      <c r="G346" s="23">
        <f>IFERROR(INDEX(Population_by_Province_Year!$B$5:$J$29,MATCH($A346,Population_by_Province_Year!$A$5:$A$29,0),MATCH($B346,Population_by_Province_Year!$B$4:$J$4,0)),"")</f>
        <v>285548</v>
      </c>
      <c r="H346" s="22">
        <f>IFERROR(D346/G346*100000,"")</f>
        <v>31.518343676019445</v>
      </c>
    </row>
    <row r="347" spans="1:8" ht="15" customHeight="1" x14ac:dyDescent="0.3">
      <c r="A347" s="20" t="s">
        <v>16</v>
      </c>
      <c r="B347" s="20">
        <v>2019</v>
      </c>
      <c r="C347" s="20" t="s">
        <v>103</v>
      </c>
      <c r="D347" s="20">
        <v>14</v>
      </c>
      <c r="E347" s="20">
        <v>0</v>
      </c>
      <c r="F347" s="22">
        <f>IFERROR(E347/D347*100,"")</f>
        <v>0</v>
      </c>
      <c r="G347" s="23">
        <f>IFERROR(INDEX(Population_by_Province_Year!$B$5:$J$29,MATCH($A347,Population_by_Province_Year!$A$5:$A$29,0),MATCH($B347,Population_by_Province_Year!$B$4:$J$4,0)),"")</f>
        <v>77701</v>
      </c>
      <c r="H347" s="22">
        <f>IFERROR(D347/G347*100000,"")</f>
        <v>18.017786128878651</v>
      </c>
    </row>
    <row r="348" spans="1:8" ht="15" customHeight="1" x14ac:dyDescent="0.3">
      <c r="A348" s="20" t="s">
        <v>17</v>
      </c>
      <c r="B348" s="20">
        <v>2019</v>
      </c>
      <c r="C348" s="20" t="s">
        <v>103</v>
      </c>
      <c r="D348" s="20">
        <v>267</v>
      </c>
      <c r="E348" s="20">
        <v>0</v>
      </c>
      <c r="F348" s="22">
        <f>IFERROR(E348/D348*100,"")</f>
        <v>0</v>
      </c>
      <c r="G348" s="23">
        <f>IFERROR(INDEX(Population_by_Province_Year!$B$5:$J$29,MATCH($A348,Population_by_Province_Year!$A$5:$A$29,0),MATCH($B348,Population_by_Province_Year!$B$4:$J$4,0)),"")</f>
        <v>2360562</v>
      </c>
      <c r="H348" s="22">
        <f>IFERROR(D348/G348*100000,"")</f>
        <v>11.310865802296233</v>
      </c>
    </row>
    <row r="349" spans="1:8" ht="15" customHeight="1" x14ac:dyDescent="0.3">
      <c r="A349" s="20" t="s">
        <v>18</v>
      </c>
      <c r="B349" s="20">
        <v>2019</v>
      </c>
      <c r="C349" s="20" t="s">
        <v>103</v>
      </c>
      <c r="D349" s="20">
        <v>71</v>
      </c>
      <c r="E349" s="20">
        <v>1</v>
      </c>
      <c r="F349" s="22">
        <f>IFERROR(E349/D349*100,"")</f>
        <v>1.4084507042253522</v>
      </c>
      <c r="G349" s="23">
        <f>IFERROR(INDEX(Population_by_Province_Year!$B$5:$J$29,MATCH($A349,Population_by_Province_Year!$A$5:$A$29,0),MATCH($B349,Population_by_Province_Year!$B$4:$J$4,0)),"")</f>
        <v>320753</v>
      </c>
      <c r="H349" s="22">
        <f>IFERROR(D349/G349*100000,"")</f>
        <v>22.135412607208664</v>
      </c>
    </row>
    <row r="350" spans="1:8" ht="15" customHeight="1" x14ac:dyDescent="0.3">
      <c r="A350" s="20" t="s">
        <v>19</v>
      </c>
      <c r="B350" s="20">
        <v>2019</v>
      </c>
      <c r="C350" s="20" t="s">
        <v>103</v>
      </c>
      <c r="D350" s="20">
        <v>84</v>
      </c>
      <c r="E350" s="20">
        <v>0</v>
      </c>
      <c r="F350" s="22">
        <f>IFERROR(E350/D350*100,"")</f>
        <v>0</v>
      </c>
      <c r="G350" s="23">
        <f>IFERROR(INDEX(Population_by_Province_Year!$B$5:$J$29,MATCH($A350,Population_by_Province_Year!$A$5:$A$29,0),MATCH($B350,Population_by_Province_Year!$B$4:$J$4,0)),"")</f>
        <v>263606</v>
      </c>
      <c r="H350" s="22">
        <f>IFERROR(D350/G350*100000,"")</f>
        <v>31.865739019597431</v>
      </c>
    </row>
    <row r="351" spans="1:8" ht="15" customHeight="1" x14ac:dyDescent="0.3">
      <c r="A351" s="20" t="s">
        <v>20</v>
      </c>
      <c r="B351" s="20">
        <v>2019</v>
      </c>
      <c r="C351" s="20" t="s">
        <v>103</v>
      </c>
      <c r="D351" s="20">
        <v>54</v>
      </c>
      <c r="E351" s="20">
        <v>0</v>
      </c>
      <c r="F351" s="22">
        <f>IFERROR(E351/D351*100,"")</f>
        <v>0</v>
      </c>
      <c r="G351" s="23">
        <f>IFERROR(INDEX(Population_by_Province_Year!$B$5:$J$29,MATCH($A351,Population_by_Province_Year!$A$5:$A$29,0),MATCH($B351,Population_by_Province_Year!$B$4:$J$4,0)),"")</f>
        <v>1094157</v>
      </c>
      <c r="H351" s="22">
        <f>IFERROR(D351/G351*100000,"")</f>
        <v>4.9353063591422437</v>
      </c>
    </row>
    <row r="352" spans="1:8" ht="15" customHeight="1" x14ac:dyDescent="0.3">
      <c r="A352" s="20" t="s">
        <v>21</v>
      </c>
      <c r="B352" s="20">
        <v>2019</v>
      </c>
      <c r="C352" s="20" t="s">
        <v>103</v>
      </c>
      <c r="D352" s="20">
        <v>8</v>
      </c>
      <c r="E352" s="20">
        <v>0</v>
      </c>
      <c r="F352" s="22">
        <f>IFERROR(E352/D352*100,"")</f>
        <v>0</v>
      </c>
      <c r="G352" s="23">
        <f>IFERROR(INDEX(Population_by_Province_Year!$B$5:$J$29,MATCH($A352,Population_by_Province_Year!$A$5:$A$29,0),MATCH($B352,Population_by_Province_Year!$B$4:$J$4,0)),"")</f>
        <v>434419</v>
      </c>
      <c r="H352" s="22">
        <f>IFERROR(D352/G352*100000,"")</f>
        <v>1.8415400799688779</v>
      </c>
    </row>
    <row r="353" spans="1:8" ht="15" customHeight="1" x14ac:dyDescent="0.3">
      <c r="A353" s="20" t="s">
        <v>22</v>
      </c>
      <c r="B353" s="20">
        <v>2019</v>
      </c>
      <c r="C353" s="20" t="s">
        <v>103</v>
      </c>
      <c r="D353" s="20">
        <v>5</v>
      </c>
      <c r="E353" s="20">
        <v>0</v>
      </c>
      <c r="F353" s="22">
        <f>IFERROR(E353/D353*100,"")</f>
        <v>0</v>
      </c>
      <c r="G353" s="23">
        <f>IFERROR(INDEX(Population_by_Province_Year!$B$5:$J$29,MATCH($A353,Population_by_Province_Year!$A$5:$A$29,0),MATCH($B353,Population_by_Province_Year!$B$4:$J$4,0)),"")</f>
        <v>224943</v>
      </c>
      <c r="H353" s="22">
        <f>IFERROR(D353/G353*100000,"")</f>
        <v>2.2227853278386083</v>
      </c>
    </row>
    <row r="354" spans="1:8" ht="15" customHeight="1" x14ac:dyDescent="0.3">
      <c r="A354" s="20" t="s">
        <v>23</v>
      </c>
      <c r="B354" s="20">
        <v>2019</v>
      </c>
      <c r="C354" s="20" t="s">
        <v>103</v>
      </c>
      <c r="D354" s="20">
        <v>342</v>
      </c>
      <c r="E354" s="20">
        <v>0</v>
      </c>
      <c r="F354" s="22">
        <f>IFERROR(E354/D354*100,"")</f>
        <v>0</v>
      </c>
      <c r="G354" s="23">
        <f>IFERROR(INDEX(Population_by_Province_Year!$B$5:$J$29,MATCH($A354,Population_by_Province_Year!$A$5:$A$29,0),MATCH($B354,Population_by_Province_Year!$B$4:$J$4,0)),"")</f>
        <v>1049175</v>
      </c>
      <c r="H354" s="22">
        <f>IFERROR(D354/G354*100000,"")</f>
        <v>32.597040531846453</v>
      </c>
    </row>
    <row r="355" spans="1:8" ht="15" customHeight="1" x14ac:dyDescent="0.3">
      <c r="A355" s="20" t="s">
        <v>24</v>
      </c>
      <c r="B355" s="20">
        <v>2019</v>
      </c>
      <c r="C355" s="20" t="s">
        <v>103</v>
      </c>
      <c r="D355" s="20">
        <v>4</v>
      </c>
      <c r="E355" s="20">
        <v>0</v>
      </c>
      <c r="F355" s="22">
        <f>IFERROR(E355/D355*100,"")</f>
        <v>0</v>
      </c>
      <c r="G355" s="23">
        <f>IFERROR(INDEX(Population_by_Province_Year!$B$5:$J$29,MATCH($A355,Population_by_Province_Year!$A$5:$A$29,0),MATCH($B355,Population_by_Province_Year!$B$4:$J$4,0)),"")</f>
        <v>171422</v>
      </c>
      <c r="H355" s="22">
        <f>IFERROR(D355/G355*100000,"")</f>
        <v>2.3334227812066128</v>
      </c>
    </row>
    <row r="356" spans="1:8" ht="15" customHeight="1" x14ac:dyDescent="0.3">
      <c r="A356" s="20" t="s">
        <v>25</v>
      </c>
      <c r="B356" s="20">
        <v>2019</v>
      </c>
      <c r="C356" s="20" t="s">
        <v>103</v>
      </c>
      <c r="D356" s="20">
        <v>14</v>
      </c>
      <c r="E356" s="20">
        <v>0</v>
      </c>
      <c r="F356" s="22">
        <f>IFERROR(E356/D356*100,"")</f>
        <v>0</v>
      </c>
      <c r="G356" s="23">
        <f>IFERROR(INDEX(Population_by_Province_Year!$B$5:$J$29,MATCH($A356,Population_by_Province_Year!$A$5:$A$29,0),MATCH($B356,Population_by_Province_Year!$B$4:$J$4,0)),"")</f>
        <v>543599</v>
      </c>
      <c r="H356" s="22">
        <f>IFERROR(D356/G356*100000,"")</f>
        <v>2.5754278429504098</v>
      </c>
    </row>
    <row r="357" spans="1:8" ht="15" customHeight="1" x14ac:dyDescent="0.3">
      <c r="A357" s="20" t="s">
        <v>26</v>
      </c>
      <c r="B357" s="20">
        <v>2019</v>
      </c>
      <c r="C357" s="20" t="s">
        <v>103</v>
      </c>
      <c r="D357" s="20">
        <v>18</v>
      </c>
      <c r="E357" s="20">
        <v>0</v>
      </c>
      <c r="F357" s="22">
        <f>IFERROR(E357/D357*100,"")</f>
        <v>0</v>
      </c>
      <c r="G357" s="23">
        <f>IFERROR(INDEX(Population_by_Province_Year!$B$5:$J$29,MATCH($A357,Population_by_Province_Year!$A$5:$A$29,0),MATCH($B357,Population_by_Province_Year!$B$4:$J$4,0)),"")</f>
        <v>931951</v>
      </c>
      <c r="H357" s="22">
        <f>IFERROR(D357/G357*100000,"")</f>
        <v>1.9314320173485515</v>
      </c>
    </row>
    <row r="358" spans="1:8" ht="15" customHeight="1" x14ac:dyDescent="0.3">
      <c r="A358" s="20" t="s">
        <v>27</v>
      </c>
      <c r="B358" s="20">
        <v>2019</v>
      </c>
      <c r="C358" s="20" t="s">
        <v>103</v>
      </c>
      <c r="D358" s="20">
        <v>30</v>
      </c>
      <c r="E358" s="20">
        <v>1</v>
      </c>
      <c r="F358" s="22">
        <f>IFERROR(E358/D358*100,"")</f>
        <v>3.3333333333333335</v>
      </c>
      <c r="G358" s="23">
        <f>IFERROR(INDEX(Population_by_Province_Year!$B$5:$J$29,MATCH($A358,Population_by_Province_Year!$A$5:$A$29,0),MATCH($B358,Population_by_Province_Year!$B$4:$J$4,0)),"")</f>
        <v>803603</v>
      </c>
      <c r="H358" s="22">
        <f>IFERROR(D358/G358*100000,"")</f>
        <v>3.7331866605774242</v>
      </c>
    </row>
    <row r="359" spans="1:8" ht="15" customHeight="1" x14ac:dyDescent="0.3">
      <c r="A359" s="20" t="s">
        <v>3</v>
      </c>
      <c r="B359" s="20">
        <v>2019</v>
      </c>
      <c r="C359" s="20" t="s">
        <v>96</v>
      </c>
      <c r="D359" s="20">
        <v>156</v>
      </c>
      <c r="E359" s="20">
        <v>0</v>
      </c>
      <c r="F359" s="22">
        <f>IFERROR(E359/D359*100,"")</f>
        <v>0</v>
      </c>
      <c r="G359" s="23">
        <f>IFERROR(INDEX(Population_by_Province_Year!$B$5:$J$29,MATCH($A359,Population_by_Province_Year!$A$5:$A$29,0),MATCH($B359,Population_by_Province_Year!$B$4:$J$4,0)),"")</f>
        <v>891574</v>
      </c>
      <c r="H359" s="22">
        <f>IFERROR(D359/G359*100000,"")</f>
        <v>17.497145497737709</v>
      </c>
    </row>
    <row r="360" spans="1:8" ht="15" customHeight="1" x14ac:dyDescent="0.3">
      <c r="A360" s="20" t="s">
        <v>4</v>
      </c>
      <c r="B360" s="20">
        <v>2019</v>
      </c>
      <c r="C360" s="20" t="s">
        <v>96</v>
      </c>
      <c r="D360" s="20">
        <v>161</v>
      </c>
      <c r="E360" s="20">
        <v>0</v>
      </c>
      <c r="F360" s="22">
        <f>IFERROR(E360/D360*100,"")</f>
        <v>0</v>
      </c>
      <c r="G360" s="23">
        <f>IFERROR(INDEX(Population_by_Province_Year!$B$5:$J$29,MATCH($A360,Population_by_Province_Year!$A$5:$A$29,0),MATCH($B360,Population_by_Province_Year!$B$4:$J$4,0)),"")</f>
        <v>1031520</v>
      </c>
      <c r="H360" s="22">
        <f>IFERROR(D360/G360*100000,"")</f>
        <v>15.608034744842561</v>
      </c>
    </row>
    <row r="361" spans="1:8" ht="15" customHeight="1" x14ac:dyDescent="0.3">
      <c r="A361" s="20" t="s">
        <v>5</v>
      </c>
      <c r="B361" s="20">
        <v>2019</v>
      </c>
      <c r="C361" s="20" t="s">
        <v>96</v>
      </c>
      <c r="D361" s="20">
        <v>317</v>
      </c>
      <c r="E361" s="20">
        <v>1</v>
      </c>
      <c r="F361" s="22">
        <f>IFERROR(E361/D361*100,"")</f>
        <v>0.31545741324921134</v>
      </c>
      <c r="G361" s="23">
        <f>IFERROR(INDEX(Population_by_Province_Year!$B$5:$J$29,MATCH($A361,Population_by_Province_Year!$A$5:$A$29,0),MATCH($B361,Population_by_Province_Year!$B$4:$J$4,0)),"")</f>
        <v>930789</v>
      </c>
      <c r="H361" s="22">
        <f>IFERROR(D361/G361*100000,"")</f>
        <v>34.057127877531862</v>
      </c>
    </row>
    <row r="362" spans="1:8" ht="15" customHeight="1" x14ac:dyDescent="0.3">
      <c r="A362" s="20" t="s">
        <v>6</v>
      </c>
      <c r="B362" s="20">
        <v>2019</v>
      </c>
      <c r="C362" s="20" t="s">
        <v>96</v>
      </c>
      <c r="D362" s="20">
        <v>84</v>
      </c>
      <c r="E362" s="20">
        <v>0</v>
      </c>
      <c r="F362" s="22">
        <f>IFERROR(E362/D362*100,"")</f>
        <v>0</v>
      </c>
      <c r="G362" s="23">
        <f>IFERROR(INDEX(Population_by_Province_Year!$B$5:$J$29,MATCH($A362,Population_by_Province_Year!$A$5:$A$29,0),MATCH($B362,Population_by_Province_Year!$B$4:$J$4,0)),"")</f>
        <v>545182</v>
      </c>
      <c r="H362" s="22">
        <f>IFERROR(D362/G362*100000,"")</f>
        <v>15.407698713457158</v>
      </c>
    </row>
    <row r="363" spans="1:8" ht="15" customHeight="1" x14ac:dyDescent="0.3">
      <c r="A363" s="20" t="s">
        <v>7</v>
      </c>
      <c r="B363" s="20">
        <v>2019</v>
      </c>
      <c r="C363" s="20" t="s">
        <v>96</v>
      </c>
      <c r="D363" s="20">
        <v>115</v>
      </c>
      <c r="E363" s="20">
        <v>0</v>
      </c>
      <c r="F363" s="22">
        <f>IFERROR(E363/D363*100,"")</f>
        <v>0</v>
      </c>
      <c r="G363" s="23">
        <f>IFERROR(INDEX(Population_by_Province_Year!$B$5:$J$29,MATCH($A363,Population_by_Province_Year!$A$5:$A$29,0),MATCH($B363,Population_by_Province_Year!$B$4:$J$4,0)),"")</f>
        <v>907754</v>
      </c>
      <c r="H363" s="22">
        <f>IFERROR(D363/G363*100000,"")</f>
        <v>12.668630487995648</v>
      </c>
    </row>
    <row r="364" spans="1:8" ht="15" customHeight="1" x14ac:dyDescent="0.3">
      <c r="A364" s="20" t="s">
        <v>8</v>
      </c>
      <c r="B364" s="20">
        <v>2019</v>
      </c>
      <c r="C364" s="20" t="s">
        <v>96</v>
      </c>
      <c r="D364" s="20">
        <v>460</v>
      </c>
      <c r="E364" s="20">
        <v>0</v>
      </c>
      <c r="F364" s="22">
        <f>IFERROR(E364/D364*100,"")</f>
        <v>0</v>
      </c>
      <c r="G364" s="23">
        <f>IFERROR(INDEX(Population_by_Province_Year!$B$5:$J$29,MATCH($A364,Population_by_Province_Year!$A$5:$A$29,0),MATCH($B364,Population_by_Province_Year!$B$4:$J$4,0)),"")</f>
        <v>705028</v>
      </c>
      <c r="H364" s="22">
        <f>IFERROR(D364/G364*100000,"")</f>
        <v>65.245635634329417</v>
      </c>
    </row>
    <row r="365" spans="1:8" ht="15" customHeight="1" x14ac:dyDescent="0.3">
      <c r="A365" s="20" t="s">
        <v>9</v>
      </c>
      <c r="B365" s="20">
        <v>2019</v>
      </c>
      <c r="C365" s="20" t="s">
        <v>96</v>
      </c>
      <c r="D365" s="20">
        <v>72</v>
      </c>
      <c r="E365" s="20">
        <v>0</v>
      </c>
      <c r="F365" s="22">
        <f>IFERROR(E365/D365*100,"")</f>
        <v>0</v>
      </c>
      <c r="G365" s="23">
        <f>IFERROR(INDEX(Population_by_Province_Year!$B$5:$J$29,MATCH($A365,Population_by_Province_Year!$A$5:$A$29,0),MATCH($B365,Population_by_Province_Year!$B$4:$J$4,0)),"")</f>
        <v>614285</v>
      </c>
      <c r="H365" s="22">
        <f>IFERROR(D365/G365*100000,"")</f>
        <v>11.720943861562629</v>
      </c>
    </row>
    <row r="366" spans="1:8" ht="15" customHeight="1" x14ac:dyDescent="0.3">
      <c r="A366" s="20" t="s">
        <v>10</v>
      </c>
      <c r="B366" s="20">
        <v>2019</v>
      </c>
      <c r="C366" s="20" t="s">
        <v>96</v>
      </c>
      <c r="D366" s="20">
        <v>228</v>
      </c>
      <c r="E366" s="20">
        <v>0</v>
      </c>
      <c r="F366" s="22">
        <f>IFERROR(E366/D366*100,"")</f>
        <v>0</v>
      </c>
      <c r="G366" s="23">
        <f>IFERROR(INDEX(Population_by_Province_Year!$B$5:$J$29,MATCH($A366,Population_by_Province_Year!$A$5:$A$29,0),MATCH($B366,Population_by_Province_Year!$B$4:$J$4,0)),"")</f>
        <v>1242975</v>
      </c>
      <c r="H366" s="22">
        <f>IFERROR(D366/G366*100000,"")</f>
        <v>18.343088155433534</v>
      </c>
    </row>
    <row r="367" spans="1:8" ht="15" customHeight="1" x14ac:dyDescent="0.3">
      <c r="A367" s="20" t="s">
        <v>11</v>
      </c>
      <c r="B367" s="20">
        <v>2019</v>
      </c>
      <c r="C367" s="20" t="s">
        <v>96</v>
      </c>
      <c r="D367" s="20">
        <v>6</v>
      </c>
      <c r="E367" s="20">
        <v>0</v>
      </c>
      <c r="F367" s="22">
        <f>IFERROR(E367/D367*100,"")</f>
        <v>0</v>
      </c>
      <c r="G367" s="23">
        <f>IFERROR(INDEX(Population_by_Province_Year!$B$5:$J$29,MATCH($A367,Population_by_Province_Year!$A$5:$A$29,0),MATCH($B367,Population_by_Province_Year!$B$4:$J$4,0)),"")</f>
        <v>44135</v>
      </c>
      <c r="H367" s="22">
        <f>IFERROR(D367/G367*100000,"")</f>
        <v>13.594652769910502</v>
      </c>
    </row>
    <row r="368" spans="1:8" ht="15" customHeight="1" x14ac:dyDescent="0.3">
      <c r="A368" s="20" t="s">
        <v>12</v>
      </c>
      <c r="B368" s="20">
        <v>2019</v>
      </c>
      <c r="C368" s="20" t="s">
        <v>96</v>
      </c>
      <c r="D368" s="20">
        <v>28</v>
      </c>
      <c r="E368" s="20">
        <v>0</v>
      </c>
      <c r="F368" s="22">
        <f>IFERROR(E368/D368*100,"")</f>
        <v>0</v>
      </c>
      <c r="G368" s="23">
        <f>IFERROR(INDEX(Population_by_Province_Year!$B$5:$J$29,MATCH($A368,Population_by_Province_Year!$A$5:$A$29,0),MATCH($B368,Population_by_Province_Year!$B$4:$J$4,0)),"")</f>
        <v>130239</v>
      </c>
      <c r="H368" s="22">
        <f>IFERROR(D368/G368*100000,"")</f>
        <v>21.498936570458927</v>
      </c>
    </row>
    <row r="369" spans="1:8" ht="15" customHeight="1" x14ac:dyDescent="0.3">
      <c r="A369" s="20" t="s">
        <v>13</v>
      </c>
      <c r="B369" s="20">
        <v>2019</v>
      </c>
      <c r="C369" s="20" t="s">
        <v>96</v>
      </c>
      <c r="D369" s="20">
        <v>59</v>
      </c>
      <c r="E369" s="20">
        <v>1</v>
      </c>
      <c r="F369" s="22">
        <f>IFERROR(E369/D369*100,"")</f>
        <v>1.6949152542372881</v>
      </c>
      <c r="G369" s="23">
        <f>IFERROR(INDEX(Population_by_Province_Year!$B$5:$J$29,MATCH($A369,Population_by_Province_Year!$A$5:$A$29,0),MATCH($B369,Population_by_Province_Year!$B$4:$J$4,0)),"")</f>
        <v>387666</v>
      </c>
      <c r="H369" s="22">
        <f>IFERROR(D369/G369*100000,"")</f>
        <v>15.219286705566132</v>
      </c>
    </row>
    <row r="370" spans="1:8" ht="15" customHeight="1" x14ac:dyDescent="0.3">
      <c r="A370" s="20" t="s">
        <v>14</v>
      </c>
      <c r="B370" s="20">
        <v>2019</v>
      </c>
      <c r="C370" s="20" t="s">
        <v>96</v>
      </c>
      <c r="D370" s="20">
        <v>6</v>
      </c>
      <c r="E370" s="20">
        <v>0</v>
      </c>
      <c r="F370" s="22">
        <f>IFERROR(E370/D370*100,"")</f>
        <v>0</v>
      </c>
      <c r="G370" s="23">
        <f>IFERROR(INDEX(Population_by_Province_Year!$B$5:$J$29,MATCH($A370,Population_by_Province_Year!$A$5:$A$29,0),MATCH($B370,Population_by_Province_Year!$B$4:$J$4,0)),"")</f>
        <v>95390</v>
      </c>
      <c r="H370" s="22">
        <f>IFERROR(D370/G370*100000,"")</f>
        <v>6.2899675018345738</v>
      </c>
    </row>
    <row r="371" spans="1:8" ht="15" customHeight="1" x14ac:dyDescent="0.3">
      <c r="A371" s="20" t="s">
        <v>15</v>
      </c>
      <c r="B371" s="20">
        <v>2019</v>
      </c>
      <c r="C371" s="20" t="s">
        <v>96</v>
      </c>
      <c r="D371" s="20">
        <v>110</v>
      </c>
      <c r="E371" s="20">
        <v>0</v>
      </c>
      <c r="F371" s="22">
        <f>IFERROR(E371/D371*100,"")</f>
        <v>0</v>
      </c>
      <c r="G371" s="23">
        <f>IFERROR(INDEX(Population_by_Province_Year!$B$5:$J$29,MATCH($A371,Population_by_Province_Year!$A$5:$A$29,0),MATCH($B371,Population_by_Province_Year!$B$4:$J$4,0)),"")</f>
        <v>285548</v>
      </c>
      <c r="H371" s="22">
        <f>IFERROR(D371/G371*100000,"")</f>
        <v>38.522420048468206</v>
      </c>
    </row>
    <row r="372" spans="1:8" ht="15" customHeight="1" x14ac:dyDescent="0.3">
      <c r="A372" s="20" t="s">
        <v>16</v>
      </c>
      <c r="B372" s="20">
        <v>2019</v>
      </c>
      <c r="C372" s="20" t="s">
        <v>96</v>
      </c>
      <c r="D372" s="20">
        <v>22</v>
      </c>
      <c r="E372" s="20">
        <v>1</v>
      </c>
      <c r="F372" s="22">
        <f>IFERROR(E372/D372*100,"")</f>
        <v>4.5454545454545459</v>
      </c>
      <c r="G372" s="23">
        <f>IFERROR(INDEX(Population_by_Province_Year!$B$5:$J$29,MATCH($A372,Population_by_Province_Year!$A$5:$A$29,0),MATCH($B372,Population_by_Province_Year!$B$4:$J$4,0)),"")</f>
        <v>77701</v>
      </c>
      <c r="H372" s="22">
        <f>IFERROR(D372/G372*100000,"")</f>
        <v>28.313663916809311</v>
      </c>
    </row>
    <row r="373" spans="1:8" ht="15" customHeight="1" x14ac:dyDescent="0.3">
      <c r="A373" s="20" t="s">
        <v>17</v>
      </c>
      <c r="B373" s="20">
        <v>2019</v>
      </c>
      <c r="C373" s="20" t="s">
        <v>96</v>
      </c>
      <c r="D373" s="20">
        <v>251</v>
      </c>
      <c r="E373" s="20">
        <v>0</v>
      </c>
      <c r="F373" s="22">
        <f>IFERROR(E373/D373*100,"")</f>
        <v>0</v>
      </c>
      <c r="G373" s="23">
        <f>IFERROR(INDEX(Population_by_Province_Year!$B$5:$J$29,MATCH($A373,Population_by_Province_Year!$A$5:$A$29,0),MATCH($B373,Population_by_Province_Year!$B$4:$J$4,0)),"")</f>
        <v>2360562</v>
      </c>
      <c r="H373" s="22">
        <f>IFERROR(D373/G373*100000,"")</f>
        <v>10.6330611100238</v>
      </c>
    </row>
    <row r="374" spans="1:8" ht="15" customHeight="1" x14ac:dyDescent="0.3">
      <c r="A374" s="20" t="s">
        <v>18</v>
      </c>
      <c r="B374" s="20">
        <v>2019</v>
      </c>
      <c r="C374" s="20" t="s">
        <v>96</v>
      </c>
      <c r="D374" s="20">
        <v>89</v>
      </c>
      <c r="E374" s="20">
        <v>1</v>
      </c>
      <c r="F374" s="22">
        <f>IFERROR(E374/D374*100,"")</f>
        <v>1.1235955056179776</v>
      </c>
      <c r="G374" s="23">
        <f>IFERROR(INDEX(Population_by_Province_Year!$B$5:$J$29,MATCH($A374,Population_by_Province_Year!$A$5:$A$29,0),MATCH($B374,Population_by_Province_Year!$B$4:$J$4,0)),"")</f>
        <v>320753</v>
      </c>
      <c r="H374" s="22">
        <f>IFERROR(D374/G374*100000,"")</f>
        <v>27.747207352698183</v>
      </c>
    </row>
    <row r="375" spans="1:8" ht="15" customHeight="1" x14ac:dyDescent="0.3">
      <c r="A375" s="20" t="s">
        <v>19</v>
      </c>
      <c r="B375" s="20">
        <v>2019</v>
      </c>
      <c r="C375" s="20" t="s">
        <v>96</v>
      </c>
      <c r="D375" s="20">
        <v>119</v>
      </c>
      <c r="E375" s="20">
        <v>0</v>
      </c>
      <c r="F375" s="22">
        <f>IFERROR(E375/D375*100,"")</f>
        <v>0</v>
      </c>
      <c r="G375" s="23">
        <f>IFERROR(INDEX(Population_by_Province_Year!$B$5:$J$29,MATCH($A375,Population_by_Province_Year!$A$5:$A$29,0),MATCH($B375,Population_by_Province_Year!$B$4:$J$4,0)),"")</f>
        <v>263606</v>
      </c>
      <c r="H375" s="22">
        <f>IFERROR(D375/G375*100000,"")</f>
        <v>45.143130277763028</v>
      </c>
    </row>
    <row r="376" spans="1:8" ht="15" customHeight="1" x14ac:dyDescent="0.3">
      <c r="A376" s="20" t="s">
        <v>20</v>
      </c>
      <c r="B376" s="20">
        <v>2019</v>
      </c>
      <c r="C376" s="20" t="s">
        <v>96</v>
      </c>
      <c r="D376" s="20">
        <v>74</v>
      </c>
      <c r="E376" s="20">
        <v>0</v>
      </c>
      <c r="F376" s="22">
        <f>IFERROR(E376/D376*100,"")</f>
        <v>0</v>
      </c>
      <c r="G376" s="23">
        <f>IFERROR(INDEX(Population_by_Province_Year!$B$5:$J$29,MATCH($A376,Population_by_Province_Year!$A$5:$A$29,0),MATCH($B376,Population_by_Province_Year!$B$4:$J$4,0)),"")</f>
        <v>1094157</v>
      </c>
      <c r="H376" s="22">
        <f>IFERROR(D376/G376*100000,"")</f>
        <v>6.763197603269</v>
      </c>
    </row>
    <row r="377" spans="1:8" ht="15" customHeight="1" x14ac:dyDescent="0.3">
      <c r="A377" s="20" t="s">
        <v>21</v>
      </c>
      <c r="B377" s="20">
        <v>2019</v>
      </c>
      <c r="C377" s="20" t="s">
        <v>96</v>
      </c>
      <c r="D377" s="20">
        <v>13</v>
      </c>
      <c r="E377" s="20">
        <v>0</v>
      </c>
      <c r="F377" s="22">
        <f>IFERROR(E377/D377*100,"")</f>
        <v>0</v>
      </c>
      <c r="G377" s="23">
        <f>IFERROR(INDEX(Population_by_Province_Year!$B$5:$J$29,MATCH($A377,Population_by_Province_Year!$A$5:$A$29,0),MATCH($B377,Population_by_Province_Year!$B$4:$J$4,0)),"")</f>
        <v>434419</v>
      </c>
      <c r="H377" s="22">
        <f>IFERROR(D377/G377*100000,"")</f>
        <v>2.9925026299494268</v>
      </c>
    </row>
    <row r="378" spans="1:8" ht="15" customHeight="1" x14ac:dyDescent="0.3">
      <c r="A378" s="20" t="s">
        <v>22</v>
      </c>
      <c r="B378" s="20">
        <v>2019</v>
      </c>
      <c r="C378" s="20" t="s">
        <v>96</v>
      </c>
      <c r="D378" s="20">
        <v>11</v>
      </c>
      <c r="E378" s="20">
        <v>0</v>
      </c>
      <c r="F378" s="22">
        <f>IFERROR(E378/D378*100,"")</f>
        <v>0</v>
      </c>
      <c r="G378" s="23">
        <f>IFERROR(INDEX(Population_by_Province_Year!$B$5:$J$29,MATCH($A378,Population_by_Province_Year!$A$5:$A$29,0),MATCH($B378,Population_by_Province_Year!$B$4:$J$4,0)),"")</f>
        <v>224943</v>
      </c>
      <c r="H378" s="22">
        <f>IFERROR(D378/G378*100000,"")</f>
        <v>4.8901277212449381</v>
      </c>
    </row>
    <row r="379" spans="1:8" ht="15" customHeight="1" x14ac:dyDescent="0.3">
      <c r="A379" s="20" t="s">
        <v>23</v>
      </c>
      <c r="B379" s="20">
        <v>2019</v>
      </c>
      <c r="C379" s="20" t="s">
        <v>96</v>
      </c>
      <c r="D379" s="20">
        <v>405</v>
      </c>
      <c r="E379" s="20">
        <v>0</v>
      </c>
      <c r="F379" s="22">
        <f>IFERROR(E379/D379*100,"")</f>
        <v>0</v>
      </c>
      <c r="G379" s="23">
        <f>IFERROR(INDEX(Population_by_Province_Year!$B$5:$J$29,MATCH($A379,Population_by_Province_Year!$A$5:$A$29,0),MATCH($B379,Population_by_Province_Year!$B$4:$J$4,0)),"")</f>
        <v>1049175</v>
      </c>
      <c r="H379" s="22">
        <f>IFERROR(D379/G379*100000,"")</f>
        <v>38.601758524555002</v>
      </c>
    </row>
    <row r="380" spans="1:8" ht="15" customHeight="1" x14ac:dyDescent="0.3">
      <c r="A380" s="20" t="s">
        <v>24</v>
      </c>
      <c r="B380" s="20">
        <v>2019</v>
      </c>
      <c r="C380" s="20" t="s">
        <v>96</v>
      </c>
      <c r="D380" s="20">
        <v>15</v>
      </c>
      <c r="E380" s="20">
        <v>0</v>
      </c>
      <c r="F380" s="22">
        <f>IFERROR(E380/D380*100,"")</f>
        <v>0</v>
      </c>
      <c r="G380" s="23">
        <f>IFERROR(INDEX(Population_by_Province_Year!$B$5:$J$29,MATCH($A380,Population_by_Province_Year!$A$5:$A$29,0),MATCH($B380,Population_by_Province_Year!$B$4:$J$4,0)),"")</f>
        <v>171422</v>
      </c>
      <c r="H380" s="22">
        <f>IFERROR(D380/G380*100000,"")</f>
        <v>8.7503354295247977</v>
      </c>
    </row>
    <row r="381" spans="1:8" ht="15" customHeight="1" x14ac:dyDescent="0.3">
      <c r="A381" s="20" t="s">
        <v>25</v>
      </c>
      <c r="B381" s="20">
        <v>2019</v>
      </c>
      <c r="C381" s="20" t="s">
        <v>96</v>
      </c>
      <c r="D381" s="20">
        <v>7</v>
      </c>
      <c r="E381" s="20">
        <v>0</v>
      </c>
      <c r="F381" s="22">
        <f>IFERROR(E381/D381*100,"")</f>
        <v>0</v>
      </c>
      <c r="G381" s="23">
        <f>IFERROR(INDEX(Population_by_Province_Year!$B$5:$J$29,MATCH($A381,Population_by_Province_Year!$A$5:$A$29,0),MATCH($B381,Population_by_Province_Year!$B$4:$J$4,0)),"")</f>
        <v>543599</v>
      </c>
      <c r="H381" s="22">
        <f>IFERROR(D381/G381*100000,"")</f>
        <v>1.2877139214752049</v>
      </c>
    </row>
    <row r="382" spans="1:8" ht="15" customHeight="1" x14ac:dyDescent="0.3">
      <c r="A382" s="20" t="s">
        <v>26</v>
      </c>
      <c r="B382" s="20">
        <v>2019</v>
      </c>
      <c r="C382" s="20" t="s">
        <v>96</v>
      </c>
      <c r="D382" s="20">
        <v>25</v>
      </c>
      <c r="E382" s="20">
        <v>0</v>
      </c>
      <c r="F382" s="22">
        <f>IFERROR(E382/D382*100,"")</f>
        <v>0</v>
      </c>
      <c r="G382" s="23">
        <f>IFERROR(INDEX(Population_by_Province_Year!$B$5:$J$29,MATCH($A382,Population_by_Province_Year!$A$5:$A$29,0),MATCH($B382,Population_by_Province_Year!$B$4:$J$4,0)),"")</f>
        <v>931951</v>
      </c>
      <c r="H382" s="22">
        <f>IFERROR(D382/G382*100000,"")</f>
        <v>2.6825444685396551</v>
      </c>
    </row>
    <row r="383" spans="1:8" ht="15" customHeight="1" x14ac:dyDescent="0.3">
      <c r="A383" s="20" t="s">
        <v>27</v>
      </c>
      <c r="B383" s="20">
        <v>2019</v>
      </c>
      <c r="C383" s="20" t="s">
        <v>96</v>
      </c>
      <c r="D383" s="20">
        <v>69</v>
      </c>
      <c r="E383" s="20">
        <v>1</v>
      </c>
      <c r="F383" s="22">
        <f>IFERROR(E383/D383*100,"")</f>
        <v>1.4492753623188406</v>
      </c>
      <c r="G383" s="23">
        <f>IFERROR(INDEX(Population_by_Province_Year!$B$5:$J$29,MATCH($A383,Population_by_Province_Year!$A$5:$A$29,0),MATCH($B383,Population_by_Province_Year!$B$4:$J$4,0)),"")</f>
        <v>803603</v>
      </c>
      <c r="H383" s="22">
        <f>IFERROR(D383/G383*100000,"")</f>
        <v>8.5863293193280761</v>
      </c>
    </row>
    <row r="384" spans="1:8" ht="15" customHeight="1" x14ac:dyDescent="0.3">
      <c r="A384" s="20" t="s">
        <v>3</v>
      </c>
      <c r="B384" s="20">
        <v>2019</v>
      </c>
      <c r="C384" s="20" t="s">
        <v>104</v>
      </c>
      <c r="D384" s="20">
        <v>360</v>
      </c>
      <c r="E384" s="20">
        <v>0</v>
      </c>
      <c r="F384" s="22">
        <f>IFERROR(E384/D384*100,"")</f>
        <v>0</v>
      </c>
      <c r="G384" s="23">
        <f>IFERROR(INDEX(Population_by_Province_Year!$B$5:$J$29,MATCH($A384,Population_by_Province_Year!$A$5:$A$29,0),MATCH($B384,Population_by_Province_Year!$B$4:$J$4,0)),"")</f>
        <v>891574</v>
      </c>
      <c r="H384" s="22">
        <f>IFERROR(D384/G384*100000,"")</f>
        <v>40.37802807170241</v>
      </c>
    </row>
    <row r="385" spans="1:8" ht="15" customHeight="1" x14ac:dyDescent="0.3">
      <c r="A385" s="20" t="s">
        <v>4</v>
      </c>
      <c r="B385" s="20">
        <v>2019</v>
      </c>
      <c r="C385" s="20" t="s">
        <v>104</v>
      </c>
      <c r="D385" s="20">
        <v>449</v>
      </c>
      <c r="E385" s="20">
        <v>3</v>
      </c>
      <c r="F385" s="22">
        <f>IFERROR(E385/D385*100,"")</f>
        <v>0.66815144766146994</v>
      </c>
      <c r="G385" s="23">
        <f>IFERROR(INDEX(Population_by_Province_Year!$B$5:$J$29,MATCH($A385,Population_by_Province_Year!$A$5:$A$29,0),MATCH($B385,Population_by_Province_Year!$B$4:$J$4,0)),"")</f>
        <v>1031520</v>
      </c>
      <c r="H385" s="22">
        <f>IFERROR(D385/G385*100000,"")</f>
        <v>43.527997518225533</v>
      </c>
    </row>
    <row r="386" spans="1:8" ht="15" customHeight="1" x14ac:dyDescent="0.3">
      <c r="A386" s="20" t="s">
        <v>5</v>
      </c>
      <c r="B386" s="20">
        <v>2019</v>
      </c>
      <c r="C386" s="20" t="s">
        <v>104</v>
      </c>
      <c r="D386" s="20">
        <v>351</v>
      </c>
      <c r="E386" s="20">
        <v>0</v>
      </c>
      <c r="F386" s="22">
        <f>IFERROR(E386/D386*100,"")</f>
        <v>0</v>
      </c>
      <c r="G386" s="23">
        <f>IFERROR(INDEX(Population_by_Province_Year!$B$5:$J$29,MATCH($A386,Population_by_Province_Year!$A$5:$A$29,0),MATCH($B386,Population_by_Province_Year!$B$4:$J$4,0)),"")</f>
        <v>930789</v>
      </c>
      <c r="H386" s="22">
        <f>IFERROR(D386/G386*100000,"")</f>
        <v>37.709942854932756</v>
      </c>
    </row>
    <row r="387" spans="1:8" ht="15" customHeight="1" x14ac:dyDescent="0.3">
      <c r="A387" s="20" t="s">
        <v>6</v>
      </c>
      <c r="B387" s="20">
        <v>2019</v>
      </c>
      <c r="C387" s="20" t="s">
        <v>104</v>
      </c>
      <c r="D387" s="20">
        <v>190</v>
      </c>
      <c r="E387" s="20">
        <v>0</v>
      </c>
      <c r="F387" s="22">
        <f>IFERROR(E387/D387*100,"")</f>
        <v>0</v>
      </c>
      <c r="G387" s="23">
        <f>IFERROR(INDEX(Population_by_Province_Year!$B$5:$J$29,MATCH($A387,Population_by_Province_Year!$A$5:$A$29,0),MATCH($B387,Population_by_Province_Year!$B$4:$J$4,0)),"")</f>
        <v>545182</v>
      </c>
      <c r="H387" s="22">
        <f>IFERROR(D387/G387*100000,"")</f>
        <v>34.850747089962617</v>
      </c>
    </row>
    <row r="388" spans="1:8" ht="15" customHeight="1" x14ac:dyDescent="0.3">
      <c r="A388" s="20" t="s">
        <v>7</v>
      </c>
      <c r="B388" s="20">
        <v>2019</v>
      </c>
      <c r="C388" s="20" t="s">
        <v>104</v>
      </c>
      <c r="D388" s="20">
        <v>208</v>
      </c>
      <c r="E388" s="20">
        <v>1</v>
      </c>
      <c r="F388" s="22">
        <f>IFERROR(E388/D388*100,"")</f>
        <v>0.48076923076923078</v>
      </c>
      <c r="G388" s="23">
        <f>IFERROR(INDEX(Population_by_Province_Year!$B$5:$J$29,MATCH($A388,Population_by_Province_Year!$A$5:$A$29,0),MATCH($B388,Population_by_Province_Year!$B$4:$J$4,0)),"")</f>
        <v>907754</v>
      </c>
      <c r="H388" s="22">
        <f>IFERROR(D388/G388*100000,"")</f>
        <v>22.913696882635605</v>
      </c>
    </row>
    <row r="389" spans="1:8" ht="15" customHeight="1" x14ac:dyDescent="0.3">
      <c r="A389" s="20" t="s">
        <v>8</v>
      </c>
      <c r="B389" s="20">
        <v>2019</v>
      </c>
      <c r="C389" s="20" t="s">
        <v>104</v>
      </c>
      <c r="D389" s="20">
        <v>773</v>
      </c>
      <c r="E389" s="20">
        <v>1</v>
      </c>
      <c r="F389" s="22">
        <f>IFERROR(E389/D389*100,"")</f>
        <v>0.12936610608020699</v>
      </c>
      <c r="G389" s="23">
        <f>IFERROR(INDEX(Population_by_Province_Year!$B$5:$J$29,MATCH($A389,Population_by_Province_Year!$A$5:$A$29,0),MATCH($B389,Population_by_Province_Year!$B$4:$J$4,0)),"")</f>
        <v>705028</v>
      </c>
      <c r="H389" s="22">
        <f>IFERROR(D389/G389*100000,"")</f>
        <v>109.64103553334051</v>
      </c>
    </row>
    <row r="390" spans="1:8" ht="15" customHeight="1" x14ac:dyDescent="0.3">
      <c r="A390" s="20" t="s">
        <v>9</v>
      </c>
      <c r="B390" s="20">
        <v>2019</v>
      </c>
      <c r="C390" s="20" t="s">
        <v>104</v>
      </c>
      <c r="D390" s="20">
        <v>123</v>
      </c>
      <c r="E390" s="20">
        <v>0</v>
      </c>
      <c r="F390" s="22">
        <f>IFERROR(E390/D390*100,"")</f>
        <v>0</v>
      </c>
      <c r="G390" s="23">
        <f>IFERROR(INDEX(Population_by_Province_Year!$B$5:$J$29,MATCH($A390,Population_by_Province_Year!$A$5:$A$29,0),MATCH($B390,Population_by_Province_Year!$B$4:$J$4,0)),"")</f>
        <v>614285</v>
      </c>
      <c r="H390" s="22">
        <f>IFERROR(D390/G390*100000,"")</f>
        <v>20.023279096836159</v>
      </c>
    </row>
    <row r="391" spans="1:8" ht="15" customHeight="1" x14ac:dyDescent="0.3">
      <c r="A391" s="20" t="s">
        <v>10</v>
      </c>
      <c r="B391" s="20">
        <v>2019</v>
      </c>
      <c r="C391" s="20" t="s">
        <v>104</v>
      </c>
      <c r="D391" s="20">
        <v>432</v>
      </c>
      <c r="E391" s="20">
        <v>0</v>
      </c>
      <c r="F391" s="22">
        <f>IFERROR(E391/D391*100,"")</f>
        <v>0</v>
      </c>
      <c r="G391" s="23">
        <f>IFERROR(INDEX(Population_by_Province_Year!$B$5:$J$29,MATCH($A391,Population_by_Province_Year!$A$5:$A$29,0),MATCH($B391,Population_by_Province_Year!$B$4:$J$4,0)),"")</f>
        <v>1242975</v>
      </c>
      <c r="H391" s="22">
        <f>IFERROR(D391/G391*100000,"")</f>
        <v>34.755324926084597</v>
      </c>
    </row>
    <row r="392" spans="1:8" ht="15" customHeight="1" x14ac:dyDescent="0.3">
      <c r="A392" s="20" t="s">
        <v>11</v>
      </c>
      <c r="B392" s="20">
        <v>2019</v>
      </c>
      <c r="C392" s="20" t="s">
        <v>104</v>
      </c>
      <c r="D392" s="20">
        <v>4</v>
      </c>
      <c r="E392" s="20">
        <v>0</v>
      </c>
      <c r="F392" s="22">
        <f>IFERROR(E392/D392*100,"")</f>
        <v>0</v>
      </c>
      <c r="G392" s="23">
        <f>IFERROR(INDEX(Population_by_Province_Year!$B$5:$J$29,MATCH($A392,Population_by_Province_Year!$A$5:$A$29,0),MATCH($B392,Population_by_Province_Year!$B$4:$J$4,0)),"")</f>
        <v>44135</v>
      </c>
      <c r="H392" s="22">
        <f>IFERROR(D392/G392*100000,"")</f>
        <v>9.063101846607001</v>
      </c>
    </row>
    <row r="393" spans="1:8" ht="15" customHeight="1" x14ac:dyDescent="0.3">
      <c r="A393" s="20" t="s">
        <v>12</v>
      </c>
      <c r="B393" s="20">
        <v>2019</v>
      </c>
      <c r="C393" s="20" t="s">
        <v>104</v>
      </c>
      <c r="D393" s="20">
        <v>66</v>
      </c>
      <c r="E393" s="20">
        <v>0</v>
      </c>
      <c r="F393" s="22">
        <f>IFERROR(E393/D393*100,"")</f>
        <v>0</v>
      </c>
      <c r="G393" s="23">
        <f>IFERROR(INDEX(Population_by_Province_Year!$B$5:$J$29,MATCH($A393,Population_by_Province_Year!$A$5:$A$29,0),MATCH($B393,Population_by_Province_Year!$B$4:$J$4,0)),"")</f>
        <v>130239</v>
      </c>
      <c r="H393" s="22">
        <f>IFERROR(D393/G393*100000,"")</f>
        <v>50.67606477322461</v>
      </c>
    </row>
    <row r="394" spans="1:8" ht="15" customHeight="1" x14ac:dyDescent="0.3">
      <c r="A394" s="20" t="s">
        <v>13</v>
      </c>
      <c r="B394" s="20">
        <v>2019</v>
      </c>
      <c r="C394" s="20" t="s">
        <v>104</v>
      </c>
      <c r="D394" s="20">
        <v>92</v>
      </c>
      <c r="E394" s="20">
        <v>1</v>
      </c>
      <c r="F394" s="22">
        <f>IFERROR(E394/D394*100,"")</f>
        <v>1.0869565217391304</v>
      </c>
      <c r="G394" s="23">
        <f>IFERROR(INDEX(Population_by_Province_Year!$B$5:$J$29,MATCH($A394,Population_by_Province_Year!$A$5:$A$29,0),MATCH($B394,Population_by_Province_Year!$B$4:$J$4,0)),"")</f>
        <v>387666</v>
      </c>
      <c r="H394" s="22">
        <f>IFERROR(D394/G394*100000,"")</f>
        <v>23.731769100204815</v>
      </c>
    </row>
    <row r="395" spans="1:8" ht="15" customHeight="1" x14ac:dyDescent="0.3">
      <c r="A395" s="20" t="s">
        <v>14</v>
      </c>
      <c r="B395" s="20">
        <v>2019</v>
      </c>
      <c r="C395" s="20" t="s">
        <v>104</v>
      </c>
      <c r="D395" s="20">
        <v>247</v>
      </c>
      <c r="E395" s="20">
        <v>0</v>
      </c>
      <c r="F395" s="22">
        <f>IFERROR(E395/D395*100,"")</f>
        <v>0</v>
      </c>
      <c r="G395" s="23">
        <f>IFERROR(INDEX(Population_by_Province_Year!$B$5:$J$29,MATCH($A395,Population_by_Province_Year!$A$5:$A$29,0),MATCH($B395,Population_by_Province_Year!$B$4:$J$4,0)),"")</f>
        <v>95390</v>
      </c>
      <c r="H395" s="22">
        <f>IFERROR(D395/G395*100000,"")</f>
        <v>258.93699549218996</v>
      </c>
    </row>
    <row r="396" spans="1:8" ht="15" customHeight="1" x14ac:dyDescent="0.3">
      <c r="A396" s="20" t="s">
        <v>15</v>
      </c>
      <c r="B396" s="20">
        <v>2019</v>
      </c>
      <c r="C396" s="20" t="s">
        <v>104</v>
      </c>
      <c r="D396" s="20">
        <v>201</v>
      </c>
      <c r="E396" s="20">
        <v>0</v>
      </c>
      <c r="F396" s="22">
        <f>IFERROR(E396/D396*100,"")</f>
        <v>0</v>
      </c>
      <c r="G396" s="23">
        <f>IFERROR(INDEX(Population_by_Province_Year!$B$5:$J$29,MATCH($A396,Population_by_Province_Year!$A$5:$A$29,0),MATCH($B396,Population_by_Province_Year!$B$4:$J$4,0)),"")</f>
        <v>285548</v>
      </c>
      <c r="H396" s="22">
        <f>IFERROR(D396/G396*100000,"")</f>
        <v>70.390967543110094</v>
      </c>
    </row>
    <row r="397" spans="1:8" ht="15" customHeight="1" x14ac:dyDescent="0.3">
      <c r="A397" s="20" t="s">
        <v>16</v>
      </c>
      <c r="B397" s="20">
        <v>2019</v>
      </c>
      <c r="C397" s="20" t="s">
        <v>104</v>
      </c>
      <c r="D397" s="20">
        <v>120</v>
      </c>
      <c r="E397" s="20">
        <v>0</v>
      </c>
      <c r="F397" s="22">
        <f>IFERROR(E397/D397*100,"")</f>
        <v>0</v>
      </c>
      <c r="G397" s="23">
        <f>IFERROR(INDEX(Population_by_Province_Year!$B$5:$J$29,MATCH($A397,Population_by_Province_Year!$A$5:$A$29,0),MATCH($B397,Population_by_Province_Year!$B$4:$J$4,0)),"")</f>
        <v>77701</v>
      </c>
      <c r="H397" s="22">
        <f>IFERROR(D397/G397*100000,"")</f>
        <v>154.43816681895984</v>
      </c>
    </row>
    <row r="398" spans="1:8" ht="15" customHeight="1" x14ac:dyDescent="0.3">
      <c r="A398" s="20" t="s">
        <v>17</v>
      </c>
      <c r="B398" s="20">
        <v>2019</v>
      </c>
      <c r="C398" s="20" t="s">
        <v>104</v>
      </c>
      <c r="D398" s="20">
        <v>467</v>
      </c>
      <c r="E398" s="20">
        <v>1</v>
      </c>
      <c r="F398" s="22">
        <f>IFERROR(E398/D398*100,"")</f>
        <v>0.21413276231263384</v>
      </c>
      <c r="G398" s="23">
        <f>IFERROR(INDEX(Population_by_Province_Year!$B$5:$J$29,MATCH($A398,Population_by_Province_Year!$A$5:$A$29,0),MATCH($B398,Population_by_Province_Year!$B$4:$J$4,0)),"")</f>
        <v>2360562</v>
      </c>
      <c r="H398" s="22">
        <f>IFERROR(D398/G398*100000,"")</f>
        <v>19.783424455701653</v>
      </c>
    </row>
    <row r="399" spans="1:8" ht="15" customHeight="1" x14ac:dyDescent="0.3">
      <c r="A399" s="20" t="s">
        <v>18</v>
      </c>
      <c r="B399" s="20">
        <v>2019</v>
      </c>
      <c r="C399" s="20" t="s">
        <v>104</v>
      </c>
      <c r="D399" s="20">
        <v>200</v>
      </c>
      <c r="E399" s="20">
        <v>0</v>
      </c>
      <c r="F399" s="22">
        <f>IFERROR(E399/D399*100,"")</f>
        <v>0</v>
      </c>
      <c r="G399" s="23">
        <f>IFERROR(INDEX(Population_by_Province_Year!$B$5:$J$29,MATCH($A399,Population_by_Province_Year!$A$5:$A$29,0),MATCH($B399,Population_by_Province_Year!$B$4:$J$4,0)),"")</f>
        <v>320753</v>
      </c>
      <c r="H399" s="22">
        <f>IFERROR(D399/G399*100000,"")</f>
        <v>62.353274949883563</v>
      </c>
    </row>
    <row r="400" spans="1:8" ht="15" customHeight="1" x14ac:dyDescent="0.3">
      <c r="A400" s="20" t="s">
        <v>19</v>
      </c>
      <c r="B400" s="20">
        <v>2019</v>
      </c>
      <c r="C400" s="20" t="s">
        <v>104</v>
      </c>
      <c r="D400" s="20">
        <v>248</v>
      </c>
      <c r="E400" s="20">
        <v>1</v>
      </c>
      <c r="F400" s="22">
        <f>IFERROR(E400/D400*100,"")</f>
        <v>0.40322580645161288</v>
      </c>
      <c r="G400" s="23">
        <f>IFERROR(INDEX(Population_by_Province_Year!$B$5:$J$29,MATCH($A400,Population_by_Province_Year!$A$5:$A$29,0),MATCH($B400,Population_by_Province_Year!$B$4:$J$4,0)),"")</f>
        <v>263606</v>
      </c>
      <c r="H400" s="22">
        <f>IFERROR(D400/G400*100000,"")</f>
        <v>94.07980091500194</v>
      </c>
    </row>
    <row r="401" spans="1:8" ht="15" customHeight="1" x14ac:dyDescent="0.3">
      <c r="A401" s="20" t="s">
        <v>20</v>
      </c>
      <c r="B401" s="20">
        <v>2019</v>
      </c>
      <c r="C401" s="20" t="s">
        <v>104</v>
      </c>
      <c r="D401" s="20">
        <v>228</v>
      </c>
      <c r="E401" s="20">
        <v>1</v>
      </c>
      <c r="F401" s="22">
        <f>IFERROR(E401/D401*100,"")</f>
        <v>0.43859649122807015</v>
      </c>
      <c r="G401" s="23">
        <f>IFERROR(INDEX(Population_by_Province_Year!$B$5:$J$29,MATCH($A401,Population_by_Province_Year!$A$5:$A$29,0),MATCH($B401,Population_by_Province_Year!$B$4:$J$4,0)),"")</f>
        <v>1094157</v>
      </c>
      <c r="H401" s="22">
        <f>IFERROR(D401/G401*100000,"")</f>
        <v>20.837960183045031</v>
      </c>
    </row>
    <row r="402" spans="1:8" ht="15" customHeight="1" x14ac:dyDescent="0.3">
      <c r="A402" s="20" t="s">
        <v>21</v>
      </c>
      <c r="B402" s="20">
        <v>2019</v>
      </c>
      <c r="C402" s="20" t="s">
        <v>104</v>
      </c>
      <c r="D402" s="20">
        <v>38</v>
      </c>
      <c r="E402" s="20">
        <v>0</v>
      </c>
      <c r="F402" s="22">
        <f>IFERROR(E402/D402*100,"")</f>
        <v>0</v>
      </c>
      <c r="G402" s="23">
        <f>IFERROR(INDEX(Population_by_Province_Year!$B$5:$J$29,MATCH($A402,Population_by_Province_Year!$A$5:$A$29,0),MATCH($B402,Population_by_Province_Year!$B$4:$J$4,0)),"")</f>
        <v>434419</v>
      </c>
      <c r="H402" s="22">
        <f>IFERROR(D402/G402*100000,"")</f>
        <v>8.7473153798521714</v>
      </c>
    </row>
    <row r="403" spans="1:8" ht="15" customHeight="1" x14ac:dyDescent="0.3">
      <c r="A403" s="20" t="s">
        <v>22</v>
      </c>
      <c r="B403" s="20">
        <v>2019</v>
      </c>
      <c r="C403" s="20" t="s">
        <v>104</v>
      </c>
      <c r="D403" s="20">
        <v>58</v>
      </c>
      <c r="E403" s="20">
        <v>0</v>
      </c>
      <c r="F403" s="22">
        <f>IFERROR(E403/D403*100,"")</f>
        <v>0</v>
      </c>
      <c r="G403" s="23">
        <f>IFERROR(INDEX(Population_by_Province_Year!$B$5:$J$29,MATCH($A403,Population_by_Province_Year!$A$5:$A$29,0),MATCH($B403,Population_by_Province_Year!$B$4:$J$4,0)),"")</f>
        <v>224943</v>
      </c>
      <c r="H403" s="22">
        <f>IFERROR(D403/G403*100000,"")</f>
        <v>25.784309802927854</v>
      </c>
    </row>
    <row r="404" spans="1:8" ht="15" customHeight="1" x14ac:dyDescent="0.3">
      <c r="A404" s="20" t="s">
        <v>23</v>
      </c>
      <c r="B404" s="20">
        <v>2019</v>
      </c>
      <c r="C404" s="20" t="s">
        <v>104</v>
      </c>
      <c r="D404" s="20">
        <v>725</v>
      </c>
      <c r="E404" s="20">
        <v>1</v>
      </c>
      <c r="F404" s="22">
        <f>IFERROR(E404/D404*100,"")</f>
        <v>0.13793103448275862</v>
      </c>
      <c r="G404" s="23">
        <f>IFERROR(INDEX(Population_by_Province_Year!$B$5:$J$29,MATCH($A404,Population_by_Province_Year!$A$5:$A$29,0),MATCH($B404,Population_by_Province_Year!$B$4:$J$4,0)),"")</f>
        <v>1049175</v>
      </c>
      <c r="H404" s="22">
        <f>IFERROR(D404/G404*100000,"")</f>
        <v>69.101913408154019</v>
      </c>
    </row>
    <row r="405" spans="1:8" ht="15" customHeight="1" x14ac:dyDescent="0.3">
      <c r="A405" s="20" t="s">
        <v>24</v>
      </c>
      <c r="B405" s="20">
        <v>2019</v>
      </c>
      <c r="C405" s="20" t="s">
        <v>104</v>
      </c>
      <c r="D405" s="20">
        <v>77</v>
      </c>
      <c r="E405" s="20">
        <v>0</v>
      </c>
      <c r="F405" s="22">
        <f>IFERROR(E405/D405*100,"")</f>
        <v>0</v>
      </c>
      <c r="G405" s="23">
        <f>IFERROR(INDEX(Population_by_Province_Year!$B$5:$J$29,MATCH($A405,Population_by_Province_Year!$A$5:$A$29,0),MATCH($B405,Population_by_Province_Year!$B$4:$J$4,0)),"")</f>
        <v>171422</v>
      </c>
      <c r="H405" s="22">
        <f>IFERROR(D405/G405*100000,"")</f>
        <v>44.918388538227298</v>
      </c>
    </row>
    <row r="406" spans="1:8" ht="15" customHeight="1" x14ac:dyDescent="0.3">
      <c r="A406" s="20" t="s">
        <v>25</v>
      </c>
      <c r="B406" s="20">
        <v>2019</v>
      </c>
      <c r="C406" s="20" t="s">
        <v>104</v>
      </c>
      <c r="D406" s="20">
        <v>42</v>
      </c>
      <c r="E406" s="20">
        <v>0</v>
      </c>
      <c r="F406" s="22">
        <f>IFERROR(E406/D406*100,"")</f>
        <v>0</v>
      </c>
      <c r="G406" s="23">
        <f>IFERROR(INDEX(Population_by_Province_Year!$B$5:$J$29,MATCH($A406,Population_by_Province_Year!$A$5:$A$29,0),MATCH($B406,Population_by_Province_Year!$B$4:$J$4,0)),"")</f>
        <v>543599</v>
      </c>
      <c r="H406" s="22">
        <f>IFERROR(D406/G406*100000,"")</f>
        <v>7.7262835288512299</v>
      </c>
    </row>
    <row r="407" spans="1:8" ht="15" customHeight="1" x14ac:dyDescent="0.3">
      <c r="A407" s="20" t="s">
        <v>26</v>
      </c>
      <c r="B407" s="20">
        <v>2019</v>
      </c>
      <c r="C407" s="20" t="s">
        <v>104</v>
      </c>
      <c r="D407" s="20">
        <v>56</v>
      </c>
      <c r="E407" s="20">
        <v>0</v>
      </c>
      <c r="F407" s="22">
        <f>IFERROR(E407/D407*100,"")</f>
        <v>0</v>
      </c>
      <c r="G407" s="23">
        <f>IFERROR(INDEX(Population_by_Province_Year!$B$5:$J$29,MATCH($A407,Population_by_Province_Year!$A$5:$A$29,0),MATCH($B407,Population_by_Province_Year!$B$4:$J$4,0)),"")</f>
        <v>931951</v>
      </c>
      <c r="H407" s="22">
        <f>IFERROR(D407/G407*100000,"")</f>
        <v>6.008899609528827</v>
      </c>
    </row>
    <row r="408" spans="1:8" ht="15" customHeight="1" x14ac:dyDescent="0.3">
      <c r="A408" s="20" t="s">
        <v>27</v>
      </c>
      <c r="B408" s="20">
        <v>2019</v>
      </c>
      <c r="C408" s="20" t="s">
        <v>104</v>
      </c>
      <c r="D408" s="20">
        <v>115</v>
      </c>
      <c r="E408" s="20">
        <v>0</v>
      </c>
      <c r="F408" s="22">
        <f>IFERROR(E408/D408*100,"")</f>
        <v>0</v>
      </c>
      <c r="G408" s="23">
        <f>IFERROR(INDEX(Population_by_Province_Year!$B$5:$J$29,MATCH($A408,Population_by_Province_Year!$A$5:$A$29,0),MATCH($B408,Population_by_Province_Year!$B$4:$J$4,0)),"")</f>
        <v>803603</v>
      </c>
      <c r="H408" s="22">
        <f>IFERROR(D408/G408*100000,"")</f>
        <v>14.310548865546792</v>
      </c>
    </row>
    <row r="409" spans="1:8" ht="15" customHeight="1" x14ac:dyDescent="0.3">
      <c r="A409" s="20" t="s">
        <v>3</v>
      </c>
      <c r="B409" s="20">
        <v>2019</v>
      </c>
      <c r="C409" s="20" t="s">
        <v>102</v>
      </c>
      <c r="D409" s="20">
        <v>1026</v>
      </c>
      <c r="E409" s="20">
        <v>0</v>
      </c>
      <c r="F409" s="22">
        <f>IFERROR(E409/D409*100,"")</f>
        <v>0</v>
      </c>
      <c r="G409" s="23">
        <f>IFERROR(INDEX(Population_by_Province_Year!$B$5:$J$29,MATCH($A409,Population_by_Province_Year!$A$5:$A$29,0),MATCH($B409,Population_by_Province_Year!$B$4:$J$4,0)),"")</f>
        <v>891574</v>
      </c>
      <c r="H409" s="22">
        <f>IFERROR(D409/G409*100000,"")</f>
        <v>115.07738000435185</v>
      </c>
    </row>
    <row r="410" spans="1:8" ht="15" customHeight="1" x14ac:dyDescent="0.3">
      <c r="A410" s="20" t="s">
        <v>4</v>
      </c>
      <c r="B410" s="20">
        <v>2019</v>
      </c>
      <c r="C410" s="20" t="s">
        <v>102</v>
      </c>
      <c r="D410" s="20">
        <v>916</v>
      </c>
      <c r="E410" s="20">
        <v>1</v>
      </c>
      <c r="F410" s="22">
        <f>IFERROR(E410/D410*100,"")</f>
        <v>0.10917030567685589</v>
      </c>
      <c r="G410" s="23">
        <f>IFERROR(INDEX(Population_by_Province_Year!$B$5:$J$29,MATCH($A410,Population_by_Province_Year!$A$5:$A$29,0),MATCH($B410,Population_by_Province_Year!$B$4:$J$4,0)),"")</f>
        <v>1031520</v>
      </c>
      <c r="H410" s="22">
        <f>IFERROR(D410/G410*100000,"")</f>
        <v>88.800992709787494</v>
      </c>
    </row>
    <row r="411" spans="1:8" ht="15" customHeight="1" x14ac:dyDescent="0.3">
      <c r="A411" s="20" t="s">
        <v>5</v>
      </c>
      <c r="B411" s="20">
        <v>2019</v>
      </c>
      <c r="C411" s="20" t="s">
        <v>102</v>
      </c>
      <c r="D411" s="20">
        <v>905</v>
      </c>
      <c r="E411" s="20">
        <v>3</v>
      </c>
      <c r="F411" s="22">
        <f>IFERROR(E411/D411*100,"")</f>
        <v>0.33149171270718231</v>
      </c>
      <c r="G411" s="23">
        <f>IFERROR(INDEX(Population_by_Province_Year!$B$5:$J$29,MATCH($A411,Population_by_Province_Year!$A$5:$A$29,0),MATCH($B411,Population_by_Province_Year!$B$4:$J$4,0)),"")</f>
        <v>930789</v>
      </c>
      <c r="H411" s="22">
        <f>IFERROR(D411/G411*100000,"")</f>
        <v>97.229339839641426</v>
      </c>
    </row>
    <row r="412" spans="1:8" ht="15" customHeight="1" x14ac:dyDescent="0.3">
      <c r="A412" s="20" t="s">
        <v>6</v>
      </c>
      <c r="B412" s="20">
        <v>2019</v>
      </c>
      <c r="C412" s="20" t="s">
        <v>102</v>
      </c>
      <c r="D412" s="20">
        <v>608</v>
      </c>
      <c r="E412" s="20">
        <v>0</v>
      </c>
      <c r="F412" s="22">
        <f>IFERROR(E412/D412*100,"")</f>
        <v>0</v>
      </c>
      <c r="G412" s="23">
        <f>IFERROR(INDEX(Population_by_Province_Year!$B$5:$J$29,MATCH($A412,Population_by_Province_Year!$A$5:$A$29,0),MATCH($B412,Population_by_Province_Year!$B$4:$J$4,0)),"")</f>
        <v>545182</v>
      </c>
      <c r="H412" s="22">
        <f>IFERROR(D412/G412*100000,"")</f>
        <v>111.52239068788039</v>
      </c>
    </row>
    <row r="413" spans="1:8" ht="15" customHeight="1" x14ac:dyDescent="0.3">
      <c r="A413" s="20" t="s">
        <v>7</v>
      </c>
      <c r="B413" s="20">
        <v>2019</v>
      </c>
      <c r="C413" s="20" t="s">
        <v>102</v>
      </c>
      <c r="D413" s="20">
        <v>475</v>
      </c>
      <c r="E413" s="20">
        <v>2</v>
      </c>
      <c r="F413" s="22">
        <f>IFERROR(E413/D413*100,"")</f>
        <v>0.42105263157894735</v>
      </c>
      <c r="G413" s="23">
        <f>IFERROR(INDEX(Population_by_Province_Year!$B$5:$J$29,MATCH($A413,Population_by_Province_Year!$A$5:$A$29,0),MATCH($B413,Population_by_Province_Year!$B$4:$J$4,0)),"")</f>
        <v>907754</v>
      </c>
      <c r="H413" s="22">
        <f>IFERROR(D413/G413*100000,"")</f>
        <v>52.326952015634198</v>
      </c>
    </row>
    <row r="414" spans="1:8" ht="15" customHeight="1" x14ac:dyDescent="0.3">
      <c r="A414" s="20" t="s">
        <v>8</v>
      </c>
      <c r="B414" s="20">
        <v>2019</v>
      </c>
      <c r="C414" s="20" t="s">
        <v>102</v>
      </c>
      <c r="D414" s="20">
        <v>1493</v>
      </c>
      <c r="E414" s="20">
        <v>2</v>
      </c>
      <c r="F414" s="22">
        <f>IFERROR(E414/D414*100,"")</f>
        <v>0.13395847287340923</v>
      </c>
      <c r="G414" s="23">
        <f>IFERROR(INDEX(Population_by_Province_Year!$B$5:$J$29,MATCH($A414,Population_by_Province_Year!$A$5:$A$29,0),MATCH($B414,Population_by_Province_Year!$B$4:$J$4,0)),"")</f>
        <v>705028</v>
      </c>
      <c r="H414" s="22">
        <f>IFERROR(D414/G414*100000,"")</f>
        <v>211.76463913489962</v>
      </c>
    </row>
    <row r="415" spans="1:8" ht="15" customHeight="1" x14ac:dyDescent="0.3">
      <c r="A415" s="20" t="s">
        <v>9</v>
      </c>
      <c r="B415" s="20">
        <v>2019</v>
      </c>
      <c r="C415" s="20" t="s">
        <v>102</v>
      </c>
      <c r="D415" s="20">
        <v>348</v>
      </c>
      <c r="E415" s="20">
        <v>0</v>
      </c>
      <c r="F415" s="22">
        <f>IFERROR(E415/D415*100,"")</f>
        <v>0</v>
      </c>
      <c r="G415" s="23">
        <f>IFERROR(INDEX(Population_by_Province_Year!$B$5:$J$29,MATCH($A415,Population_by_Province_Year!$A$5:$A$29,0),MATCH($B415,Population_by_Province_Year!$B$4:$J$4,0)),"")</f>
        <v>614285</v>
      </c>
      <c r="H415" s="22">
        <f>IFERROR(D415/G415*100000,"")</f>
        <v>56.651228664219374</v>
      </c>
    </row>
    <row r="416" spans="1:8" ht="15" customHeight="1" x14ac:dyDescent="0.3">
      <c r="A416" s="20" t="s">
        <v>10</v>
      </c>
      <c r="B416" s="20">
        <v>2019</v>
      </c>
      <c r="C416" s="20" t="s">
        <v>102</v>
      </c>
      <c r="D416" s="20">
        <v>959</v>
      </c>
      <c r="E416" s="20">
        <v>1</v>
      </c>
      <c r="F416" s="22">
        <f>IFERROR(E416/D416*100,"")</f>
        <v>0.10427528675703858</v>
      </c>
      <c r="G416" s="23">
        <f>IFERROR(INDEX(Population_by_Province_Year!$B$5:$J$29,MATCH($A416,Population_by_Province_Year!$A$5:$A$29,0),MATCH($B416,Population_by_Province_Year!$B$4:$J$4,0)),"")</f>
        <v>1242975</v>
      </c>
      <c r="H416" s="22">
        <f>IFERROR(D416/G416*100000,"")</f>
        <v>77.153603250266499</v>
      </c>
    </row>
    <row r="417" spans="1:8" ht="15" customHeight="1" x14ac:dyDescent="0.3">
      <c r="A417" s="20" t="s">
        <v>11</v>
      </c>
      <c r="B417" s="20">
        <v>2019</v>
      </c>
      <c r="C417" s="20" t="s">
        <v>102</v>
      </c>
      <c r="D417" s="20">
        <v>35</v>
      </c>
      <c r="E417" s="20">
        <v>0</v>
      </c>
      <c r="F417" s="22">
        <f>IFERROR(E417/D417*100,"")</f>
        <v>0</v>
      </c>
      <c r="G417" s="23">
        <f>IFERROR(INDEX(Population_by_Province_Year!$B$5:$J$29,MATCH($A417,Population_by_Province_Year!$A$5:$A$29,0),MATCH($B417,Population_by_Province_Year!$B$4:$J$4,0)),"")</f>
        <v>44135</v>
      </c>
      <c r="H417" s="22">
        <f>IFERROR(D417/G417*100000,"")</f>
        <v>79.302141157811263</v>
      </c>
    </row>
    <row r="418" spans="1:8" ht="15" customHeight="1" x14ac:dyDescent="0.3">
      <c r="A418" s="20" t="s">
        <v>12</v>
      </c>
      <c r="B418" s="20">
        <v>2019</v>
      </c>
      <c r="C418" s="20" t="s">
        <v>102</v>
      </c>
      <c r="D418" s="20">
        <v>70</v>
      </c>
      <c r="E418" s="20">
        <v>0</v>
      </c>
      <c r="F418" s="22">
        <f>IFERROR(E418/D418*100,"")</f>
        <v>0</v>
      </c>
      <c r="G418" s="23">
        <f>IFERROR(INDEX(Population_by_Province_Year!$B$5:$J$29,MATCH($A418,Population_by_Province_Year!$A$5:$A$29,0),MATCH($B418,Population_by_Province_Year!$B$4:$J$4,0)),"")</f>
        <v>130239</v>
      </c>
      <c r="H418" s="22">
        <f>IFERROR(D418/G418*100000,"")</f>
        <v>53.747341426147308</v>
      </c>
    </row>
    <row r="419" spans="1:8" ht="15" customHeight="1" x14ac:dyDescent="0.3">
      <c r="A419" s="20" t="s">
        <v>13</v>
      </c>
      <c r="B419" s="20">
        <v>2019</v>
      </c>
      <c r="C419" s="20" t="s">
        <v>102</v>
      </c>
      <c r="D419" s="20">
        <v>83</v>
      </c>
      <c r="E419" s="20">
        <v>0</v>
      </c>
      <c r="F419" s="22">
        <f>IFERROR(E419/D419*100,"")</f>
        <v>0</v>
      </c>
      <c r="G419" s="23">
        <f>IFERROR(INDEX(Population_by_Province_Year!$B$5:$J$29,MATCH($A419,Population_by_Province_Year!$A$5:$A$29,0),MATCH($B419,Population_by_Province_Year!$B$4:$J$4,0)),"")</f>
        <v>387666</v>
      </c>
      <c r="H419" s="22">
        <f>IFERROR(D419/G419*100000,"")</f>
        <v>21.410182992576082</v>
      </c>
    </row>
    <row r="420" spans="1:8" ht="15" customHeight="1" x14ac:dyDescent="0.3">
      <c r="A420" s="20" t="s">
        <v>14</v>
      </c>
      <c r="B420" s="20">
        <v>2019</v>
      </c>
      <c r="C420" s="20" t="s">
        <v>102</v>
      </c>
      <c r="D420" s="20">
        <v>448</v>
      </c>
      <c r="E420" s="20">
        <v>0</v>
      </c>
      <c r="F420" s="22">
        <f>IFERROR(E420/D420*100,"")</f>
        <v>0</v>
      </c>
      <c r="G420" s="23">
        <f>IFERROR(INDEX(Population_by_Province_Year!$B$5:$J$29,MATCH($A420,Population_by_Province_Year!$A$5:$A$29,0),MATCH($B420,Population_by_Province_Year!$B$4:$J$4,0)),"")</f>
        <v>95390</v>
      </c>
      <c r="H420" s="22">
        <f>IFERROR(D420/G420*100000,"")</f>
        <v>469.65090680364818</v>
      </c>
    </row>
    <row r="421" spans="1:8" ht="15" customHeight="1" x14ac:dyDescent="0.3">
      <c r="A421" s="20" t="s">
        <v>15</v>
      </c>
      <c r="B421" s="20">
        <v>2019</v>
      </c>
      <c r="C421" s="20" t="s">
        <v>102</v>
      </c>
      <c r="D421" s="20">
        <v>519</v>
      </c>
      <c r="E421" s="20">
        <v>0</v>
      </c>
      <c r="F421" s="22">
        <f>IFERROR(E421/D421*100,"")</f>
        <v>0</v>
      </c>
      <c r="G421" s="23">
        <f>IFERROR(INDEX(Population_by_Province_Year!$B$5:$J$29,MATCH($A421,Population_by_Province_Year!$A$5:$A$29,0),MATCH($B421,Population_by_Province_Year!$B$4:$J$4,0)),"")</f>
        <v>285548</v>
      </c>
      <c r="H421" s="22">
        <f>IFERROR(D421/G421*100000,"")</f>
        <v>181.75578186504546</v>
      </c>
    </row>
    <row r="422" spans="1:8" ht="15" customHeight="1" x14ac:dyDescent="0.3">
      <c r="A422" s="20" t="s">
        <v>16</v>
      </c>
      <c r="B422" s="20">
        <v>2019</v>
      </c>
      <c r="C422" s="20" t="s">
        <v>102</v>
      </c>
      <c r="D422" s="20">
        <v>78</v>
      </c>
      <c r="E422" s="20">
        <v>0</v>
      </c>
      <c r="F422" s="22">
        <f>IFERROR(E422/D422*100,"")</f>
        <v>0</v>
      </c>
      <c r="G422" s="23">
        <f>IFERROR(INDEX(Population_by_Province_Year!$B$5:$J$29,MATCH($A422,Population_by_Province_Year!$A$5:$A$29,0),MATCH($B422,Population_by_Province_Year!$B$4:$J$4,0)),"")</f>
        <v>77701</v>
      </c>
      <c r="H422" s="22">
        <f>IFERROR(D422/G422*100000,"")</f>
        <v>100.38480843232391</v>
      </c>
    </row>
    <row r="423" spans="1:8" ht="15" customHeight="1" x14ac:dyDescent="0.3">
      <c r="A423" s="20" t="s">
        <v>17</v>
      </c>
      <c r="B423" s="20">
        <v>2019</v>
      </c>
      <c r="C423" s="20" t="s">
        <v>102</v>
      </c>
      <c r="D423" s="20">
        <v>1325</v>
      </c>
      <c r="E423" s="20">
        <v>1</v>
      </c>
      <c r="F423" s="22">
        <f>IFERROR(E423/D423*100,"")</f>
        <v>7.5471698113207544E-2</v>
      </c>
      <c r="G423" s="23">
        <f>IFERROR(INDEX(Population_by_Province_Year!$B$5:$J$29,MATCH($A423,Population_by_Province_Year!$A$5:$A$29,0),MATCH($B423,Population_by_Province_Year!$B$4:$J$4,0)),"")</f>
        <v>2360562</v>
      </c>
      <c r="H423" s="22">
        <f>IFERROR(D423/G423*100000,"")</f>
        <v>56.130701078810894</v>
      </c>
    </row>
    <row r="424" spans="1:8" ht="15" customHeight="1" x14ac:dyDescent="0.3">
      <c r="A424" s="20" t="s">
        <v>18</v>
      </c>
      <c r="B424" s="20">
        <v>2019</v>
      </c>
      <c r="C424" s="20" t="s">
        <v>102</v>
      </c>
      <c r="D424" s="20">
        <v>248</v>
      </c>
      <c r="E424" s="20">
        <v>0</v>
      </c>
      <c r="F424" s="22">
        <f>IFERROR(E424/D424*100,"")</f>
        <v>0</v>
      </c>
      <c r="G424" s="23">
        <f>IFERROR(INDEX(Population_by_Province_Year!$B$5:$J$29,MATCH($A424,Population_by_Province_Year!$A$5:$A$29,0),MATCH($B424,Population_by_Province_Year!$B$4:$J$4,0)),"")</f>
        <v>320753</v>
      </c>
      <c r="H424" s="22">
        <f>IFERROR(D424/G424*100000,"")</f>
        <v>77.318060937855606</v>
      </c>
    </row>
    <row r="425" spans="1:8" ht="15" customHeight="1" x14ac:dyDescent="0.3">
      <c r="A425" s="20" t="s">
        <v>19</v>
      </c>
      <c r="B425" s="20">
        <v>2019</v>
      </c>
      <c r="C425" s="20" t="s">
        <v>102</v>
      </c>
      <c r="D425" s="20">
        <v>698</v>
      </c>
      <c r="E425" s="20">
        <v>1</v>
      </c>
      <c r="F425" s="22">
        <f>IFERROR(E425/D425*100,"")</f>
        <v>0.14326647564469913</v>
      </c>
      <c r="G425" s="23">
        <f>IFERROR(INDEX(Population_by_Province_Year!$B$5:$J$29,MATCH($A425,Population_by_Province_Year!$A$5:$A$29,0),MATCH($B425,Population_by_Province_Year!$B$4:$J$4,0)),"")</f>
        <v>263606</v>
      </c>
      <c r="H425" s="22">
        <f>IFERROR(D425/G425*100000,"")</f>
        <v>264.7891170914167</v>
      </c>
    </row>
    <row r="426" spans="1:8" ht="15" customHeight="1" x14ac:dyDescent="0.3">
      <c r="A426" s="20" t="s">
        <v>20</v>
      </c>
      <c r="B426" s="20">
        <v>2019</v>
      </c>
      <c r="C426" s="20" t="s">
        <v>102</v>
      </c>
      <c r="D426" s="20">
        <v>414</v>
      </c>
      <c r="E426" s="20">
        <v>0</v>
      </c>
      <c r="F426" s="22">
        <f>IFERROR(E426/D426*100,"")</f>
        <v>0</v>
      </c>
      <c r="G426" s="23">
        <f>IFERROR(INDEX(Population_by_Province_Year!$B$5:$J$29,MATCH($A426,Population_by_Province_Year!$A$5:$A$29,0),MATCH($B426,Population_by_Province_Year!$B$4:$J$4,0)),"")</f>
        <v>1094157</v>
      </c>
      <c r="H426" s="22">
        <f>IFERROR(D426/G426*100000,"")</f>
        <v>37.837348753423868</v>
      </c>
    </row>
    <row r="427" spans="1:8" ht="15" customHeight="1" x14ac:dyDescent="0.3">
      <c r="A427" s="20" t="s">
        <v>21</v>
      </c>
      <c r="B427" s="20">
        <v>2019</v>
      </c>
      <c r="C427" s="20" t="s">
        <v>102</v>
      </c>
      <c r="D427" s="20">
        <v>69</v>
      </c>
      <c r="E427" s="20">
        <v>0</v>
      </c>
      <c r="F427" s="22">
        <f>IFERROR(E427/D427*100,"")</f>
        <v>0</v>
      </c>
      <c r="G427" s="23">
        <f>IFERROR(INDEX(Population_by_Province_Year!$B$5:$J$29,MATCH($A427,Population_by_Province_Year!$A$5:$A$29,0),MATCH($B427,Population_by_Province_Year!$B$4:$J$4,0)),"")</f>
        <v>434419</v>
      </c>
      <c r="H427" s="22">
        <f>IFERROR(D427/G427*100000,"")</f>
        <v>15.883283189731573</v>
      </c>
    </row>
    <row r="428" spans="1:8" ht="15" customHeight="1" x14ac:dyDescent="0.3">
      <c r="A428" s="20" t="s">
        <v>22</v>
      </c>
      <c r="B428" s="20">
        <v>2019</v>
      </c>
      <c r="C428" s="20" t="s">
        <v>102</v>
      </c>
      <c r="D428" s="20">
        <v>379</v>
      </c>
      <c r="E428" s="20">
        <v>0</v>
      </c>
      <c r="F428" s="22">
        <f>IFERROR(E428/D428*100,"")</f>
        <v>0</v>
      </c>
      <c r="G428" s="23">
        <f>IFERROR(INDEX(Population_by_Province_Year!$B$5:$J$29,MATCH($A428,Population_by_Province_Year!$A$5:$A$29,0),MATCH($B428,Population_by_Province_Year!$B$4:$J$4,0)),"")</f>
        <v>224943</v>
      </c>
      <c r="H428" s="22">
        <f>IFERROR(D428/G428*100000,"")</f>
        <v>168.48712785016647</v>
      </c>
    </row>
    <row r="429" spans="1:8" ht="15" customHeight="1" x14ac:dyDescent="0.3">
      <c r="A429" s="20" t="s">
        <v>23</v>
      </c>
      <c r="B429" s="20">
        <v>2019</v>
      </c>
      <c r="C429" s="20" t="s">
        <v>102</v>
      </c>
      <c r="D429" s="20">
        <v>1668</v>
      </c>
      <c r="E429" s="20">
        <v>0</v>
      </c>
      <c r="F429" s="22">
        <f>IFERROR(E429/D429*100,"")</f>
        <v>0</v>
      </c>
      <c r="G429" s="23">
        <f>IFERROR(INDEX(Population_by_Province_Year!$B$5:$J$29,MATCH($A429,Population_by_Province_Year!$A$5:$A$29,0),MATCH($B429,Population_by_Province_Year!$B$4:$J$4,0)),"")</f>
        <v>1049175</v>
      </c>
      <c r="H429" s="22">
        <f>IFERROR(D429/G429*100000,"")</f>
        <v>158.98205733075989</v>
      </c>
    </row>
    <row r="430" spans="1:8" ht="15" customHeight="1" x14ac:dyDescent="0.3">
      <c r="A430" s="20" t="s">
        <v>24</v>
      </c>
      <c r="B430" s="20">
        <v>2019</v>
      </c>
      <c r="C430" s="20" t="s">
        <v>102</v>
      </c>
      <c r="D430" s="20">
        <v>150</v>
      </c>
      <c r="E430" s="20">
        <v>0</v>
      </c>
      <c r="F430" s="22">
        <f>IFERROR(E430/D430*100,"")</f>
        <v>0</v>
      </c>
      <c r="G430" s="23">
        <f>IFERROR(INDEX(Population_by_Province_Year!$B$5:$J$29,MATCH($A430,Population_by_Province_Year!$A$5:$A$29,0),MATCH($B430,Population_by_Province_Year!$B$4:$J$4,0)),"")</f>
        <v>171422</v>
      </c>
      <c r="H430" s="22">
        <f>IFERROR(D430/G430*100000,"")</f>
        <v>87.503354295247988</v>
      </c>
    </row>
    <row r="431" spans="1:8" ht="15" customHeight="1" x14ac:dyDescent="0.3">
      <c r="A431" s="20" t="s">
        <v>25</v>
      </c>
      <c r="B431" s="20">
        <v>2019</v>
      </c>
      <c r="C431" s="20" t="s">
        <v>102</v>
      </c>
      <c r="D431" s="20">
        <v>126</v>
      </c>
      <c r="E431" s="20">
        <v>1</v>
      </c>
      <c r="F431" s="22">
        <f>IFERROR(E431/D431*100,"")</f>
        <v>0.79365079365079361</v>
      </c>
      <c r="G431" s="23">
        <f>IFERROR(INDEX(Population_by_Province_Year!$B$5:$J$29,MATCH($A431,Population_by_Province_Year!$A$5:$A$29,0),MATCH($B431,Population_by_Province_Year!$B$4:$J$4,0)),"")</f>
        <v>543599</v>
      </c>
      <c r="H431" s="22">
        <f>IFERROR(D431/G431*100000,"")</f>
        <v>23.17885058655369</v>
      </c>
    </row>
    <row r="432" spans="1:8" ht="15" customHeight="1" x14ac:dyDescent="0.3">
      <c r="A432" s="20" t="s">
        <v>26</v>
      </c>
      <c r="B432" s="20">
        <v>2019</v>
      </c>
      <c r="C432" s="20" t="s">
        <v>102</v>
      </c>
      <c r="D432" s="20">
        <v>136</v>
      </c>
      <c r="E432" s="20">
        <v>0</v>
      </c>
      <c r="F432" s="22">
        <f>IFERROR(E432/D432*100,"")</f>
        <v>0</v>
      </c>
      <c r="G432" s="23">
        <f>IFERROR(INDEX(Population_by_Province_Year!$B$5:$J$29,MATCH($A432,Population_by_Province_Year!$A$5:$A$29,0),MATCH($B432,Population_by_Province_Year!$B$4:$J$4,0)),"")</f>
        <v>931951</v>
      </c>
      <c r="H432" s="22">
        <f>IFERROR(D432/G432*100000,"")</f>
        <v>14.593041908855724</v>
      </c>
    </row>
    <row r="433" spans="1:8" ht="15" customHeight="1" x14ac:dyDescent="0.3">
      <c r="A433" s="20" t="s">
        <v>27</v>
      </c>
      <c r="B433" s="20">
        <v>2019</v>
      </c>
      <c r="C433" s="20" t="s">
        <v>102</v>
      </c>
      <c r="D433" s="20">
        <v>225</v>
      </c>
      <c r="E433" s="20">
        <v>4</v>
      </c>
      <c r="F433" s="22">
        <f>IFERROR(E433/D433*100,"")</f>
        <v>1.7777777777777777</v>
      </c>
      <c r="G433" s="23">
        <f>IFERROR(INDEX(Population_by_Province_Year!$B$5:$J$29,MATCH($A433,Population_by_Province_Year!$A$5:$A$29,0),MATCH($B433,Population_by_Province_Year!$B$4:$J$4,0)),"")</f>
        <v>803603</v>
      </c>
      <c r="H433" s="22">
        <f>IFERROR(D433/G433*100000,"")</f>
        <v>27.998899954330685</v>
      </c>
    </row>
    <row r="434" spans="1:8" ht="15" customHeight="1" x14ac:dyDescent="0.3">
      <c r="A434" s="20" t="s">
        <v>3</v>
      </c>
      <c r="B434" s="20">
        <v>2019</v>
      </c>
      <c r="C434" s="20" t="s">
        <v>101</v>
      </c>
      <c r="D434" s="20">
        <v>1349</v>
      </c>
      <c r="E434" s="20">
        <v>0</v>
      </c>
      <c r="F434" s="22">
        <f>IFERROR(E434/D434*100,"")</f>
        <v>0</v>
      </c>
      <c r="G434" s="23">
        <f>IFERROR(INDEX(Population_by_Province_Year!$B$5:$J$29,MATCH($A434,Population_by_Province_Year!$A$5:$A$29,0),MATCH($B434,Population_by_Province_Year!$B$4:$J$4,0)),"")</f>
        <v>891574</v>
      </c>
      <c r="H434" s="22">
        <f>IFERROR(D434/G434*100000,"")</f>
        <v>151.30544407979596</v>
      </c>
    </row>
    <row r="435" spans="1:8" ht="15" customHeight="1" x14ac:dyDescent="0.3">
      <c r="A435" s="20" t="s">
        <v>4</v>
      </c>
      <c r="B435" s="20">
        <v>2019</v>
      </c>
      <c r="C435" s="20" t="s">
        <v>101</v>
      </c>
      <c r="D435" s="20">
        <v>932</v>
      </c>
      <c r="E435" s="20">
        <v>3</v>
      </c>
      <c r="F435" s="22">
        <f>IFERROR(E435/D435*100,"")</f>
        <v>0.32188841201716739</v>
      </c>
      <c r="G435" s="23">
        <f>IFERROR(INDEX(Population_by_Province_Year!$B$5:$J$29,MATCH($A435,Population_by_Province_Year!$A$5:$A$29,0),MATCH($B435,Population_by_Province_Year!$B$4:$J$4,0)),"")</f>
        <v>1031520</v>
      </c>
      <c r="H435" s="22">
        <f>IFERROR(D435/G435*100000,"")</f>
        <v>90.352101752753214</v>
      </c>
    </row>
    <row r="436" spans="1:8" ht="15" customHeight="1" x14ac:dyDescent="0.3">
      <c r="A436" s="20" t="s">
        <v>5</v>
      </c>
      <c r="B436" s="20">
        <v>2019</v>
      </c>
      <c r="C436" s="20" t="s">
        <v>101</v>
      </c>
      <c r="D436" s="20">
        <v>905</v>
      </c>
      <c r="E436" s="20">
        <v>3</v>
      </c>
      <c r="F436" s="22">
        <f>IFERROR(E436/D436*100,"")</f>
        <v>0.33149171270718231</v>
      </c>
      <c r="G436" s="23">
        <f>IFERROR(INDEX(Population_by_Province_Year!$B$5:$J$29,MATCH($A436,Population_by_Province_Year!$A$5:$A$29,0),MATCH($B436,Population_by_Province_Year!$B$4:$J$4,0)),"")</f>
        <v>930789</v>
      </c>
      <c r="H436" s="22">
        <f>IFERROR(D436/G436*100000,"")</f>
        <v>97.229339839641426</v>
      </c>
    </row>
    <row r="437" spans="1:8" ht="15" customHeight="1" x14ac:dyDescent="0.3">
      <c r="A437" s="20" t="s">
        <v>6</v>
      </c>
      <c r="B437" s="20">
        <v>2019</v>
      </c>
      <c r="C437" s="20" t="s">
        <v>101</v>
      </c>
      <c r="D437" s="20">
        <v>754</v>
      </c>
      <c r="E437" s="20">
        <v>3</v>
      </c>
      <c r="F437" s="22">
        <f>IFERROR(E437/D437*100,"")</f>
        <v>0.39787798408488062</v>
      </c>
      <c r="G437" s="23">
        <f>IFERROR(INDEX(Population_by_Province_Year!$B$5:$J$29,MATCH($A437,Population_by_Province_Year!$A$5:$A$29,0),MATCH($B437,Population_by_Province_Year!$B$4:$J$4,0)),"")</f>
        <v>545182</v>
      </c>
      <c r="H437" s="22">
        <f>IFERROR(D437/G437*100000,"")</f>
        <v>138.30243845174638</v>
      </c>
    </row>
    <row r="438" spans="1:8" ht="15" customHeight="1" x14ac:dyDescent="0.3">
      <c r="A438" s="20" t="s">
        <v>7</v>
      </c>
      <c r="B438" s="20">
        <v>2019</v>
      </c>
      <c r="C438" s="20" t="s">
        <v>101</v>
      </c>
      <c r="D438" s="20">
        <v>672</v>
      </c>
      <c r="E438" s="20">
        <v>0</v>
      </c>
      <c r="F438" s="22">
        <f>IFERROR(E438/D438*100,"")</f>
        <v>0</v>
      </c>
      <c r="G438" s="23">
        <f>IFERROR(INDEX(Population_by_Province_Year!$B$5:$J$29,MATCH($A438,Population_by_Province_Year!$A$5:$A$29,0),MATCH($B438,Population_by_Province_Year!$B$4:$J$4,0)),"")</f>
        <v>907754</v>
      </c>
      <c r="H438" s="22">
        <f>IFERROR(D438/G438*100000,"")</f>
        <v>74.028866851591943</v>
      </c>
    </row>
    <row r="439" spans="1:8" ht="15" customHeight="1" x14ac:dyDescent="0.3">
      <c r="A439" s="20" t="s">
        <v>8</v>
      </c>
      <c r="B439" s="20">
        <v>2019</v>
      </c>
      <c r="C439" s="20" t="s">
        <v>101</v>
      </c>
      <c r="D439" s="20">
        <v>1697</v>
      </c>
      <c r="E439" s="20">
        <v>3</v>
      </c>
      <c r="F439" s="22">
        <f>IFERROR(E439/D439*100,"")</f>
        <v>0.17678255745433119</v>
      </c>
      <c r="G439" s="23">
        <f>IFERROR(INDEX(Population_by_Province_Year!$B$5:$J$29,MATCH($A439,Population_by_Province_Year!$A$5:$A$29,0),MATCH($B439,Population_by_Province_Year!$B$4:$J$4,0)),"")</f>
        <v>705028</v>
      </c>
      <c r="H439" s="22">
        <f>IFERROR(D439/G439*100000,"")</f>
        <v>240.69966015534138</v>
      </c>
    </row>
    <row r="440" spans="1:8" ht="15" customHeight="1" x14ac:dyDescent="0.3">
      <c r="A440" s="20" t="s">
        <v>9</v>
      </c>
      <c r="B440" s="20">
        <v>2019</v>
      </c>
      <c r="C440" s="20" t="s">
        <v>101</v>
      </c>
      <c r="D440" s="20">
        <v>448</v>
      </c>
      <c r="E440" s="20">
        <v>0</v>
      </c>
      <c r="F440" s="22">
        <f>IFERROR(E440/D440*100,"")</f>
        <v>0</v>
      </c>
      <c r="G440" s="23">
        <f>IFERROR(INDEX(Population_by_Province_Year!$B$5:$J$29,MATCH($A440,Population_by_Province_Year!$A$5:$A$29,0),MATCH($B440,Population_by_Province_Year!$B$4:$J$4,0)),"")</f>
        <v>614285</v>
      </c>
      <c r="H440" s="22">
        <f>IFERROR(D440/G440*100000,"")</f>
        <v>72.930317360834138</v>
      </c>
    </row>
    <row r="441" spans="1:8" ht="15" customHeight="1" x14ac:dyDescent="0.3">
      <c r="A441" s="20" t="s">
        <v>10</v>
      </c>
      <c r="B441" s="20">
        <v>2019</v>
      </c>
      <c r="C441" s="20" t="s">
        <v>101</v>
      </c>
      <c r="D441" s="20">
        <v>1347</v>
      </c>
      <c r="E441" s="20">
        <v>3</v>
      </c>
      <c r="F441" s="22">
        <f>IFERROR(E441/D441*100,"")</f>
        <v>0.22271714922048996</v>
      </c>
      <c r="G441" s="23">
        <f>IFERROR(INDEX(Population_by_Province_Year!$B$5:$J$29,MATCH($A441,Population_by_Province_Year!$A$5:$A$29,0),MATCH($B441,Population_by_Province_Year!$B$4:$J$4,0)),"")</f>
        <v>1242975</v>
      </c>
      <c r="H441" s="22">
        <f>IFERROR(D441/G441*100000,"")</f>
        <v>108.36903397091655</v>
      </c>
    </row>
    <row r="442" spans="1:8" ht="15" customHeight="1" x14ac:dyDescent="0.3">
      <c r="A442" s="20" t="s">
        <v>11</v>
      </c>
      <c r="B442" s="20">
        <v>2019</v>
      </c>
      <c r="C442" s="20" t="s">
        <v>101</v>
      </c>
      <c r="D442" s="20">
        <v>123</v>
      </c>
      <c r="E442" s="20">
        <v>0</v>
      </c>
      <c r="F442" s="22">
        <f>IFERROR(E442/D442*100,"")</f>
        <v>0</v>
      </c>
      <c r="G442" s="23">
        <f>IFERROR(INDEX(Population_by_Province_Year!$B$5:$J$29,MATCH($A442,Population_by_Province_Year!$A$5:$A$29,0),MATCH($B442,Population_by_Province_Year!$B$4:$J$4,0)),"")</f>
        <v>44135</v>
      </c>
      <c r="H442" s="22">
        <f>IFERROR(D442/G442*100000,"")</f>
        <v>278.69038178316532</v>
      </c>
    </row>
    <row r="443" spans="1:8" ht="15" customHeight="1" x14ac:dyDescent="0.3">
      <c r="A443" s="20" t="s">
        <v>12</v>
      </c>
      <c r="B443" s="20">
        <v>2019</v>
      </c>
      <c r="C443" s="20" t="s">
        <v>101</v>
      </c>
      <c r="D443" s="20">
        <v>108</v>
      </c>
      <c r="E443" s="20">
        <v>1</v>
      </c>
      <c r="F443" s="22">
        <f>IFERROR(E443/D443*100,"")</f>
        <v>0.92592592592592582</v>
      </c>
      <c r="G443" s="23">
        <f>IFERROR(INDEX(Population_by_Province_Year!$B$5:$J$29,MATCH($A443,Population_by_Province_Year!$A$5:$A$29,0),MATCH($B443,Population_by_Province_Year!$B$4:$J$4,0)),"")</f>
        <v>130239</v>
      </c>
      <c r="H443" s="22">
        <f>IFERROR(D443/G443*100000,"")</f>
        <v>82.924469628913002</v>
      </c>
    </row>
    <row r="444" spans="1:8" ht="15" customHeight="1" x14ac:dyDescent="0.3">
      <c r="A444" s="20" t="s">
        <v>13</v>
      </c>
      <c r="B444" s="20">
        <v>2019</v>
      </c>
      <c r="C444" s="20" t="s">
        <v>101</v>
      </c>
      <c r="D444" s="20">
        <v>82</v>
      </c>
      <c r="E444" s="20">
        <v>0</v>
      </c>
      <c r="F444" s="22">
        <f>IFERROR(E444/D444*100,"")</f>
        <v>0</v>
      </c>
      <c r="G444" s="23">
        <f>IFERROR(INDEX(Population_by_Province_Year!$B$5:$J$29,MATCH($A444,Population_by_Province_Year!$A$5:$A$29,0),MATCH($B444,Population_by_Province_Year!$B$4:$J$4,0)),"")</f>
        <v>387666</v>
      </c>
      <c r="H444" s="22">
        <f>IFERROR(D444/G444*100000,"")</f>
        <v>21.152228980617334</v>
      </c>
    </row>
    <row r="445" spans="1:8" ht="15" customHeight="1" x14ac:dyDescent="0.3">
      <c r="A445" s="20" t="s">
        <v>14</v>
      </c>
      <c r="B445" s="20">
        <v>2019</v>
      </c>
      <c r="C445" s="20" t="s">
        <v>101</v>
      </c>
      <c r="D445" s="20">
        <v>407</v>
      </c>
      <c r="E445" s="20">
        <v>0</v>
      </c>
      <c r="F445" s="22">
        <f>IFERROR(E445/D445*100,"")</f>
        <v>0</v>
      </c>
      <c r="G445" s="23">
        <f>IFERROR(INDEX(Population_by_Province_Year!$B$5:$J$29,MATCH($A445,Population_by_Province_Year!$A$5:$A$29,0),MATCH($B445,Population_by_Province_Year!$B$4:$J$4,0)),"")</f>
        <v>95390</v>
      </c>
      <c r="H445" s="22">
        <f>IFERROR(D445/G445*100000,"")</f>
        <v>426.66946220777857</v>
      </c>
    </row>
    <row r="446" spans="1:8" ht="15" customHeight="1" x14ac:dyDescent="0.3">
      <c r="A446" s="20" t="s">
        <v>15</v>
      </c>
      <c r="B446" s="20">
        <v>2019</v>
      </c>
      <c r="C446" s="20" t="s">
        <v>101</v>
      </c>
      <c r="D446" s="20">
        <v>695</v>
      </c>
      <c r="E446" s="20">
        <v>0</v>
      </c>
      <c r="F446" s="22">
        <f>IFERROR(E446/D446*100,"")</f>
        <v>0</v>
      </c>
      <c r="G446" s="23">
        <f>IFERROR(INDEX(Population_by_Province_Year!$B$5:$J$29,MATCH($A446,Population_by_Province_Year!$A$5:$A$29,0),MATCH($B446,Population_by_Province_Year!$B$4:$J$4,0)),"")</f>
        <v>285548</v>
      </c>
      <c r="H446" s="22">
        <f>IFERROR(D446/G446*100000,"")</f>
        <v>243.39165394259456</v>
      </c>
    </row>
    <row r="447" spans="1:8" ht="15" customHeight="1" x14ac:dyDescent="0.3">
      <c r="A447" s="20" t="s">
        <v>16</v>
      </c>
      <c r="B447" s="20">
        <v>2019</v>
      </c>
      <c r="C447" s="20" t="s">
        <v>101</v>
      </c>
      <c r="D447" s="20">
        <v>125</v>
      </c>
      <c r="E447" s="20">
        <v>0</v>
      </c>
      <c r="F447" s="22">
        <f>IFERROR(E447/D447*100,"")</f>
        <v>0</v>
      </c>
      <c r="G447" s="23">
        <f>IFERROR(INDEX(Population_by_Province_Year!$B$5:$J$29,MATCH($A447,Population_by_Province_Year!$A$5:$A$29,0),MATCH($B447,Population_by_Province_Year!$B$4:$J$4,0)),"")</f>
        <v>77701</v>
      </c>
      <c r="H447" s="22">
        <f>IFERROR(D447/G447*100000,"")</f>
        <v>160.87309043641653</v>
      </c>
    </row>
    <row r="448" spans="1:8" ht="15" customHeight="1" x14ac:dyDescent="0.3">
      <c r="A448" s="20" t="s">
        <v>17</v>
      </c>
      <c r="B448" s="20">
        <v>2019</v>
      </c>
      <c r="C448" s="20" t="s">
        <v>101</v>
      </c>
      <c r="D448" s="20">
        <v>1588</v>
      </c>
      <c r="E448" s="20">
        <v>4</v>
      </c>
      <c r="F448" s="22">
        <f>IFERROR(E448/D448*100,"")</f>
        <v>0.25188916876574308</v>
      </c>
      <c r="G448" s="23">
        <f>IFERROR(INDEX(Population_by_Province_Year!$B$5:$J$29,MATCH($A448,Population_by_Province_Year!$A$5:$A$29,0),MATCH($B448,Population_by_Province_Year!$B$4:$J$4,0)),"")</f>
        <v>2360562</v>
      </c>
      <c r="H448" s="22">
        <f>IFERROR(D448/G448*100000,"")</f>
        <v>67.272115708039024</v>
      </c>
    </row>
    <row r="449" spans="1:8" ht="15" customHeight="1" x14ac:dyDescent="0.3">
      <c r="A449" s="20" t="s">
        <v>18</v>
      </c>
      <c r="B449" s="20">
        <v>2019</v>
      </c>
      <c r="C449" s="20" t="s">
        <v>101</v>
      </c>
      <c r="D449" s="20">
        <v>377</v>
      </c>
      <c r="E449" s="20">
        <v>0</v>
      </c>
      <c r="F449" s="22">
        <f>IFERROR(E449/D449*100,"")</f>
        <v>0</v>
      </c>
      <c r="G449" s="23">
        <f>IFERROR(INDEX(Population_by_Province_Year!$B$5:$J$29,MATCH($A449,Population_by_Province_Year!$A$5:$A$29,0),MATCH($B449,Population_by_Province_Year!$B$4:$J$4,0)),"")</f>
        <v>320753</v>
      </c>
      <c r="H449" s="22">
        <f>IFERROR(D449/G449*100000,"")</f>
        <v>117.5359232805305</v>
      </c>
    </row>
    <row r="450" spans="1:8" ht="15" customHeight="1" x14ac:dyDescent="0.3">
      <c r="A450" s="20" t="s">
        <v>19</v>
      </c>
      <c r="B450" s="20">
        <v>2019</v>
      </c>
      <c r="C450" s="20" t="s">
        <v>101</v>
      </c>
      <c r="D450" s="20">
        <v>741</v>
      </c>
      <c r="E450" s="20">
        <v>0</v>
      </c>
      <c r="F450" s="22">
        <f>IFERROR(E450/D450*100,"")</f>
        <v>0</v>
      </c>
      <c r="G450" s="23">
        <f>IFERROR(INDEX(Population_by_Province_Year!$B$5:$J$29,MATCH($A450,Population_by_Province_Year!$A$5:$A$29,0),MATCH($B450,Population_by_Province_Year!$B$4:$J$4,0)),"")</f>
        <v>263606</v>
      </c>
      <c r="H450" s="22">
        <f>IFERROR(D450/G450*100000,"")</f>
        <v>281.10134063716305</v>
      </c>
    </row>
    <row r="451" spans="1:8" ht="15" customHeight="1" x14ac:dyDescent="0.3">
      <c r="A451" s="20" t="s">
        <v>20</v>
      </c>
      <c r="B451" s="20">
        <v>2019</v>
      </c>
      <c r="C451" s="20" t="s">
        <v>101</v>
      </c>
      <c r="D451" s="20">
        <v>571</v>
      </c>
      <c r="E451" s="20">
        <v>3</v>
      </c>
      <c r="F451" s="22">
        <f>IFERROR(E451/D451*100,"")</f>
        <v>0.52539404553415059</v>
      </c>
      <c r="G451" s="23">
        <f>IFERROR(INDEX(Population_by_Province_Year!$B$5:$J$29,MATCH($A451,Population_by_Province_Year!$A$5:$A$29,0),MATCH($B451,Population_by_Province_Year!$B$4:$J$4,0)),"")</f>
        <v>1094157</v>
      </c>
      <c r="H451" s="22">
        <f>IFERROR(D451/G451*100000,"")</f>
        <v>52.186295019818914</v>
      </c>
    </row>
    <row r="452" spans="1:8" ht="15" customHeight="1" x14ac:dyDescent="0.3">
      <c r="A452" s="20" t="s">
        <v>21</v>
      </c>
      <c r="B452" s="20">
        <v>2019</v>
      </c>
      <c r="C452" s="20" t="s">
        <v>101</v>
      </c>
      <c r="D452" s="20">
        <v>83</v>
      </c>
      <c r="E452" s="20">
        <v>2</v>
      </c>
      <c r="F452" s="22">
        <f>IFERROR(E452/D452*100,"")</f>
        <v>2.4096385542168677</v>
      </c>
      <c r="G452" s="23">
        <f>IFERROR(INDEX(Population_by_Province_Year!$B$5:$J$29,MATCH($A452,Population_by_Province_Year!$A$5:$A$29,0),MATCH($B452,Population_by_Province_Year!$B$4:$J$4,0)),"")</f>
        <v>434419</v>
      </c>
      <c r="H452" s="22">
        <f>IFERROR(D452/G452*100000,"")</f>
        <v>19.105978329677111</v>
      </c>
    </row>
    <row r="453" spans="1:8" ht="15" customHeight="1" x14ac:dyDescent="0.3">
      <c r="A453" s="20" t="s">
        <v>22</v>
      </c>
      <c r="B453" s="20">
        <v>2019</v>
      </c>
      <c r="C453" s="20" t="s">
        <v>101</v>
      </c>
      <c r="D453" s="20">
        <v>665</v>
      </c>
      <c r="E453" s="20">
        <v>0</v>
      </c>
      <c r="F453" s="22">
        <f>IFERROR(E453/D453*100,"")</f>
        <v>0</v>
      </c>
      <c r="G453" s="23">
        <f>IFERROR(INDEX(Population_by_Province_Year!$B$5:$J$29,MATCH($A453,Population_by_Province_Year!$A$5:$A$29,0),MATCH($B453,Population_by_Province_Year!$B$4:$J$4,0)),"")</f>
        <v>224943</v>
      </c>
      <c r="H453" s="22">
        <f>IFERROR(D453/G453*100000,"")</f>
        <v>295.6304486025349</v>
      </c>
    </row>
    <row r="454" spans="1:8" ht="15" customHeight="1" x14ac:dyDescent="0.3">
      <c r="A454" s="20" t="s">
        <v>23</v>
      </c>
      <c r="B454" s="20">
        <v>2019</v>
      </c>
      <c r="C454" s="20" t="s">
        <v>101</v>
      </c>
      <c r="D454" s="20">
        <v>2818</v>
      </c>
      <c r="E454" s="20">
        <v>2</v>
      </c>
      <c r="F454" s="22">
        <f>IFERROR(E454/D454*100,"")</f>
        <v>7.0972320794889993E-2</v>
      </c>
      <c r="G454" s="23">
        <f>IFERROR(INDEX(Population_by_Province_Year!$B$5:$J$29,MATCH($A454,Population_by_Province_Year!$A$5:$A$29,0),MATCH($B454,Population_by_Province_Year!$B$4:$J$4,0)),"")</f>
        <v>1049175</v>
      </c>
      <c r="H454" s="22">
        <f>IFERROR(D454/G454*100000,"")</f>
        <v>268.59198894369388</v>
      </c>
    </row>
    <row r="455" spans="1:8" ht="15" customHeight="1" x14ac:dyDescent="0.3">
      <c r="A455" s="20" t="s">
        <v>24</v>
      </c>
      <c r="B455" s="20">
        <v>2019</v>
      </c>
      <c r="C455" s="20" t="s">
        <v>101</v>
      </c>
      <c r="D455" s="20">
        <v>30</v>
      </c>
      <c r="E455" s="20">
        <v>0</v>
      </c>
      <c r="F455" s="22">
        <f>IFERROR(E455/D455*100,"")</f>
        <v>0</v>
      </c>
      <c r="G455" s="23">
        <f>IFERROR(INDEX(Population_by_Province_Year!$B$5:$J$29,MATCH($A455,Population_by_Province_Year!$A$5:$A$29,0),MATCH($B455,Population_by_Province_Year!$B$4:$J$4,0)),"")</f>
        <v>171422</v>
      </c>
      <c r="H455" s="22">
        <f>IFERROR(D455/G455*100000,"")</f>
        <v>17.500670859049595</v>
      </c>
    </row>
    <row r="456" spans="1:8" ht="15" customHeight="1" x14ac:dyDescent="0.3">
      <c r="A456" s="20" t="s">
        <v>25</v>
      </c>
      <c r="B456" s="20">
        <v>2019</v>
      </c>
      <c r="C456" s="20" t="s">
        <v>101</v>
      </c>
      <c r="D456" s="20">
        <v>304</v>
      </c>
      <c r="E456" s="20">
        <v>1</v>
      </c>
      <c r="F456" s="22">
        <f>IFERROR(E456/D456*100,"")</f>
        <v>0.3289473684210526</v>
      </c>
      <c r="G456" s="23">
        <f>IFERROR(INDEX(Population_by_Province_Year!$B$5:$J$29,MATCH($A456,Population_by_Province_Year!$A$5:$A$29,0),MATCH($B456,Population_by_Province_Year!$B$4:$J$4,0)),"")</f>
        <v>543599</v>
      </c>
      <c r="H456" s="22">
        <f>IFERROR(D456/G456*100000,"")</f>
        <v>55.923576018351767</v>
      </c>
    </row>
    <row r="457" spans="1:8" ht="15" customHeight="1" x14ac:dyDescent="0.3">
      <c r="A457" s="20" t="s">
        <v>26</v>
      </c>
      <c r="B457" s="20">
        <v>2019</v>
      </c>
      <c r="C457" s="20" t="s">
        <v>101</v>
      </c>
      <c r="D457" s="20">
        <v>370</v>
      </c>
      <c r="E457" s="20">
        <v>0</v>
      </c>
      <c r="F457" s="22">
        <f>IFERROR(E457/D457*100,"")</f>
        <v>0</v>
      </c>
      <c r="G457" s="23">
        <f>IFERROR(INDEX(Population_by_Province_Year!$B$5:$J$29,MATCH($A457,Population_by_Province_Year!$A$5:$A$29,0),MATCH($B457,Population_by_Province_Year!$B$4:$J$4,0)),"")</f>
        <v>931951</v>
      </c>
      <c r="H457" s="22">
        <f>IFERROR(D457/G457*100000,"")</f>
        <v>39.701658134386889</v>
      </c>
    </row>
    <row r="458" spans="1:8" ht="15" customHeight="1" x14ac:dyDescent="0.3">
      <c r="A458" s="20" t="s">
        <v>27</v>
      </c>
      <c r="B458" s="20">
        <v>2019</v>
      </c>
      <c r="C458" s="20" t="s">
        <v>101</v>
      </c>
      <c r="D458" s="20">
        <v>1017</v>
      </c>
      <c r="E458" s="20">
        <v>1</v>
      </c>
      <c r="F458" s="22">
        <f>IFERROR(E458/D458*100,"")</f>
        <v>9.8328416912487712E-2</v>
      </c>
      <c r="G458" s="23">
        <f>IFERROR(INDEX(Population_by_Province_Year!$B$5:$J$29,MATCH($A458,Population_by_Province_Year!$A$5:$A$29,0),MATCH($B458,Population_by_Province_Year!$B$4:$J$4,0)),"")</f>
        <v>803603</v>
      </c>
      <c r="H458" s="22">
        <f>IFERROR(D458/G458*100000,"")</f>
        <v>126.55502779357469</v>
      </c>
    </row>
    <row r="459" spans="1:8" ht="15" customHeight="1" x14ac:dyDescent="0.3">
      <c r="A459" s="20" t="s">
        <v>3</v>
      </c>
      <c r="B459" s="20">
        <v>2019</v>
      </c>
      <c r="C459" s="20" t="s">
        <v>97</v>
      </c>
      <c r="D459" s="20">
        <v>941</v>
      </c>
      <c r="E459" s="20">
        <v>0</v>
      </c>
      <c r="F459" s="22">
        <f>IFERROR(E459/D459*100,"")</f>
        <v>0</v>
      </c>
      <c r="G459" s="23">
        <f>IFERROR(INDEX(Population_by_Province_Year!$B$5:$J$29,MATCH($A459,Population_by_Province_Year!$A$5:$A$29,0),MATCH($B459,Population_by_Province_Year!$B$4:$J$4,0)),"")</f>
        <v>891574</v>
      </c>
      <c r="H459" s="22">
        <f>IFERROR(D459/G459*100000,"")</f>
        <v>105.54367893186657</v>
      </c>
    </row>
    <row r="460" spans="1:8" ht="15" customHeight="1" x14ac:dyDescent="0.3">
      <c r="A460" s="20" t="s">
        <v>4</v>
      </c>
      <c r="B460" s="20">
        <v>2019</v>
      </c>
      <c r="C460" s="20" t="s">
        <v>97</v>
      </c>
      <c r="D460" s="20">
        <v>616</v>
      </c>
      <c r="E460" s="20">
        <v>2</v>
      </c>
      <c r="F460" s="22">
        <f>IFERROR(E460/D460*100,"")</f>
        <v>0.32467532467532467</v>
      </c>
      <c r="G460" s="23">
        <f>IFERROR(INDEX(Population_by_Province_Year!$B$5:$J$29,MATCH($A460,Population_by_Province_Year!$A$5:$A$29,0),MATCH($B460,Population_by_Province_Year!$B$4:$J$4,0)),"")</f>
        <v>1031520</v>
      </c>
      <c r="H460" s="22">
        <f>IFERROR(D460/G460*100000,"")</f>
        <v>59.717698154180241</v>
      </c>
    </row>
    <row r="461" spans="1:8" ht="15" customHeight="1" x14ac:dyDescent="0.3">
      <c r="A461" s="20" t="s">
        <v>5</v>
      </c>
      <c r="B461" s="20">
        <v>2019</v>
      </c>
      <c r="C461" s="20" t="s">
        <v>97</v>
      </c>
      <c r="D461" s="20">
        <v>544</v>
      </c>
      <c r="E461" s="20">
        <v>0</v>
      </c>
      <c r="F461" s="22">
        <f>IFERROR(E461/D461*100,"")</f>
        <v>0</v>
      </c>
      <c r="G461" s="23">
        <f>IFERROR(INDEX(Population_by_Province_Year!$B$5:$J$29,MATCH($A461,Population_by_Province_Year!$A$5:$A$29,0),MATCH($B461,Population_by_Province_Year!$B$4:$J$4,0)),"")</f>
        <v>930789</v>
      </c>
      <c r="H461" s="22">
        <f>IFERROR(D461/G461*100000,"")</f>
        <v>58.445039638414286</v>
      </c>
    </row>
    <row r="462" spans="1:8" ht="15" customHeight="1" x14ac:dyDescent="0.3">
      <c r="A462" s="20" t="s">
        <v>6</v>
      </c>
      <c r="B462" s="20">
        <v>2019</v>
      </c>
      <c r="C462" s="20" t="s">
        <v>97</v>
      </c>
      <c r="D462" s="20">
        <v>335</v>
      </c>
      <c r="E462" s="20">
        <v>1</v>
      </c>
      <c r="F462" s="22">
        <f>IFERROR(E462/D462*100,"")</f>
        <v>0.29850746268656719</v>
      </c>
      <c r="G462" s="23">
        <f>IFERROR(INDEX(Population_by_Province_Year!$B$5:$J$29,MATCH($A462,Population_by_Province_Year!$A$5:$A$29,0),MATCH($B462,Population_by_Province_Year!$B$4:$J$4,0)),"")</f>
        <v>545182</v>
      </c>
      <c r="H462" s="22">
        <f>IFERROR(D462/G462*100000,"")</f>
        <v>61.447369869144623</v>
      </c>
    </row>
    <row r="463" spans="1:8" ht="15" customHeight="1" x14ac:dyDescent="0.3">
      <c r="A463" s="20" t="s">
        <v>7</v>
      </c>
      <c r="B463" s="20">
        <v>2019</v>
      </c>
      <c r="C463" s="20" t="s">
        <v>97</v>
      </c>
      <c r="D463" s="20">
        <v>714</v>
      </c>
      <c r="E463" s="20">
        <v>1</v>
      </c>
      <c r="F463" s="22">
        <f>IFERROR(E463/D463*100,"")</f>
        <v>0.14005602240896359</v>
      </c>
      <c r="G463" s="23">
        <f>IFERROR(INDEX(Population_by_Province_Year!$B$5:$J$29,MATCH($A463,Population_by_Province_Year!$A$5:$A$29,0),MATCH($B463,Population_by_Province_Year!$B$4:$J$4,0)),"")</f>
        <v>907754</v>
      </c>
      <c r="H463" s="22">
        <f>IFERROR(D463/G463*100000,"")</f>
        <v>78.655671029816446</v>
      </c>
    </row>
    <row r="464" spans="1:8" ht="15" customHeight="1" x14ac:dyDescent="0.3">
      <c r="A464" s="20" t="s">
        <v>8</v>
      </c>
      <c r="B464" s="20">
        <v>2019</v>
      </c>
      <c r="C464" s="20" t="s">
        <v>97</v>
      </c>
      <c r="D464" s="20">
        <v>682</v>
      </c>
      <c r="E464" s="20">
        <v>1</v>
      </c>
      <c r="F464" s="22">
        <f>IFERROR(E464/D464*100,"")</f>
        <v>0.1466275659824047</v>
      </c>
      <c r="G464" s="23">
        <f>IFERROR(INDEX(Population_by_Province_Year!$B$5:$J$29,MATCH($A464,Population_by_Province_Year!$A$5:$A$29,0),MATCH($B464,Population_by_Province_Year!$B$4:$J$4,0)),"")</f>
        <v>705028</v>
      </c>
      <c r="H464" s="22">
        <f>IFERROR(D464/G464*100000,"")</f>
        <v>96.733746744810134</v>
      </c>
    </row>
    <row r="465" spans="1:8" ht="15" customHeight="1" x14ac:dyDescent="0.3">
      <c r="A465" s="20" t="s">
        <v>9</v>
      </c>
      <c r="B465" s="20">
        <v>2019</v>
      </c>
      <c r="C465" s="20" t="s">
        <v>97</v>
      </c>
      <c r="D465" s="20">
        <v>254</v>
      </c>
      <c r="E465" s="20">
        <v>0</v>
      </c>
      <c r="F465" s="22">
        <f>IFERROR(E465/D465*100,"")</f>
        <v>0</v>
      </c>
      <c r="G465" s="23">
        <f>IFERROR(INDEX(Population_by_Province_Year!$B$5:$J$29,MATCH($A465,Population_by_Province_Year!$A$5:$A$29,0),MATCH($B465,Population_by_Province_Year!$B$4:$J$4,0)),"")</f>
        <v>614285</v>
      </c>
      <c r="H465" s="22">
        <f>IFERROR(D465/G465*100000,"")</f>
        <v>41.348885289401501</v>
      </c>
    </row>
    <row r="466" spans="1:8" ht="15" customHeight="1" x14ac:dyDescent="0.3">
      <c r="A466" s="20" t="s">
        <v>10</v>
      </c>
      <c r="B466" s="20">
        <v>2019</v>
      </c>
      <c r="C466" s="20" t="s">
        <v>97</v>
      </c>
      <c r="D466" s="20">
        <v>1085</v>
      </c>
      <c r="E466" s="20">
        <v>3</v>
      </c>
      <c r="F466" s="22">
        <f>IFERROR(E466/D466*100,"")</f>
        <v>0.27649769585253459</v>
      </c>
      <c r="G466" s="23">
        <f>IFERROR(INDEX(Population_by_Province_Year!$B$5:$J$29,MATCH($A466,Population_by_Province_Year!$A$5:$A$29,0),MATCH($B466,Population_by_Province_Year!$B$4:$J$4,0)),"")</f>
        <v>1242975</v>
      </c>
      <c r="H466" s="22">
        <f>IFERROR(D466/G466*100000,"")</f>
        <v>87.290573020374495</v>
      </c>
    </row>
    <row r="467" spans="1:8" ht="15" customHeight="1" x14ac:dyDescent="0.3">
      <c r="A467" s="20" t="s">
        <v>11</v>
      </c>
      <c r="B467" s="20">
        <v>2019</v>
      </c>
      <c r="C467" s="20" t="s">
        <v>97</v>
      </c>
      <c r="D467" s="20">
        <v>19</v>
      </c>
      <c r="E467" s="20">
        <v>0</v>
      </c>
      <c r="F467" s="22">
        <f>IFERROR(E467/D467*100,"")</f>
        <v>0</v>
      </c>
      <c r="G467" s="23">
        <f>IFERROR(INDEX(Population_by_Province_Year!$B$5:$J$29,MATCH($A467,Population_by_Province_Year!$A$5:$A$29,0),MATCH($B467,Population_by_Province_Year!$B$4:$J$4,0)),"")</f>
        <v>44135</v>
      </c>
      <c r="H467" s="22">
        <f>IFERROR(D467/G467*100000,"")</f>
        <v>43.049733771383252</v>
      </c>
    </row>
    <row r="468" spans="1:8" ht="15" customHeight="1" x14ac:dyDescent="0.3">
      <c r="A468" s="20" t="s">
        <v>12</v>
      </c>
      <c r="B468" s="20">
        <v>2019</v>
      </c>
      <c r="C468" s="20" t="s">
        <v>97</v>
      </c>
      <c r="D468" s="20">
        <v>34</v>
      </c>
      <c r="E468" s="20">
        <v>0</v>
      </c>
      <c r="F468" s="22">
        <f>IFERROR(E468/D468*100,"")</f>
        <v>0</v>
      </c>
      <c r="G468" s="23">
        <f>IFERROR(INDEX(Population_by_Province_Year!$B$5:$J$29,MATCH($A468,Population_by_Province_Year!$A$5:$A$29,0),MATCH($B468,Population_by_Province_Year!$B$4:$J$4,0)),"")</f>
        <v>130239</v>
      </c>
      <c r="H468" s="22">
        <f>IFERROR(D468/G468*100000,"")</f>
        <v>26.105851549842981</v>
      </c>
    </row>
    <row r="469" spans="1:8" ht="15" customHeight="1" x14ac:dyDescent="0.3">
      <c r="A469" s="20" t="s">
        <v>13</v>
      </c>
      <c r="B469" s="20">
        <v>2019</v>
      </c>
      <c r="C469" s="20" t="s">
        <v>97</v>
      </c>
      <c r="D469" s="20">
        <v>36</v>
      </c>
      <c r="E469" s="20">
        <v>0</v>
      </c>
      <c r="F469" s="22">
        <f>IFERROR(E469/D469*100,"")</f>
        <v>0</v>
      </c>
      <c r="G469" s="23">
        <f>IFERROR(INDEX(Population_by_Province_Year!$B$5:$J$29,MATCH($A469,Population_by_Province_Year!$A$5:$A$29,0),MATCH($B469,Population_by_Province_Year!$B$4:$J$4,0)),"")</f>
        <v>387666</v>
      </c>
      <c r="H469" s="22">
        <f>IFERROR(D469/G469*100000,"")</f>
        <v>9.2863444305149283</v>
      </c>
    </row>
    <row r="470" spans="1:8" ht="15" customHeight="1" x14ac:dyDescent="0.3">
      <c r="A470" s="20" t="s">
        <v>14</v>
      </c>
      <c r="B470" s="20">
        <v>2019</v>
      </c>
      <c r="C470" s="20" t="s">
        <v>97</v>
      </c>
      <c r="D470" s="20">
        <v>95</v>
      </c>
      <c r="E470" s="20">
        <v>1</v>
      </c>
      <c r="F470" s="22">
        <f>IFERROR(E470/D470*100,"")</f>
        <v>1.0526315789473684</v>
      </c>
      <c r="G470" s="23">
        <f>IFERROR(INDEX(Population_by_Province_Year!$B$5:$J$29,MATCH($A470,Population_by_Province_Year!$A$5:$A$29,0),MATCH($B470,Population_by_Province_Year!$B$4:$J$4,0)),"")</f>
        <v>95390</v>
      </c>
      <c r="H470" s="22">
        <f>IFERROR(D470/G470*100000,"")</f>
        <v>99.59115211238074</v>
      </c>
    </row>
    <row r="471" spans="1:8" ht="15" customHeight="1" x14ac:dyDescent="0.3">
      <c r="A471" s="20" t="s">
        <v>15</v>
      </c>
      <c r="B471" s="20">
        <v>2019</v>
      </c>
      <c r="C471" s="20" t="s">
        <v>97</v>
      </c>
      <c r="D471" s="20">
        <v>369</v>
      </c>
      <c r="E471" s="20">
        <v>0</v>
      </c>
      <c r="F471" s="22">
        <f>IFERROR(E471/D471*100,"")</f>
        <v>0</v>
      </c>
      <c r="G471" s="23">
        <f>IFERROR(INDEX(Population_by_Province_Year!$B$5:$J$29,MATCH($A471,Population_by_Province_Year!$A$5:$A$29,0),MATCH($B471,Population_by_Province_Year!$B$4:$J$4,0)),"")</f>
        <v>285548</v>
      </c>
      <c r="H471" s="22">
        <f>IFERROR(D471/G471*100000,"")</f>
        <v>129.22520907167973</v>
      </c>
    </row>
    <row r="472" spans="1:8" ht="15" customHeight="1" x14ac:dyDescent="0.3">
      <c r="A472" s="20" t="s">
        <v>16</v>
      </c>
      <c r="B472" s="20">
        <v>2019</v>
      </c>
      <c r="C472" s="20" t="s">
        <v>97</v>
      </c>
      <c r="D472" s="20">
        <v>55</v>
      </c>
      <c r="E472" s="20">
        <v>0</v>
      </c>
      <c r="F472" s="22">
        <f>IFERROR(E472/D472*100,"")</f>
        <v>0</v>
      </c>
      <c r="G472" s="23">
        <f>IFERROR(INDEX(Population_by_Province_Year!$B$5:$J$29,MATCH($A472,Population_by_Province_Year!$A$5:$A$29,0),MATCH($B472,Population_by_Province_Year!$B$4:$J$4,0)),"")</f>
        <v>77701</v>
      </c>
      <c r="H472" s="22">
        <f>IFERROR(D472/G472*100000,"")</f>
        <v>70.784159792023274</v>
      </c>
    </row>
    <row r="473" spans="1:8" ht="15" customHeight="1" x14ac:dyDescent="0.3">
      <c r="A473" s="20" t="s">
        <v>17</v>
      </c>
      <c r="B473" s="20">
        <v>2019</v>
      </c>
      <c r="C473" s="20" t="s">
        <v>97</v>
      </c>
      <c r="D473" s="20">
        <v>1270</v>
      </c>
      <c r="E473" s="20">
        <v>3</v>
      </c>
      <c r="F473" s="22">
        <f>IFERROR(E473/D473*100,"")</f>
        <v>0.23622047244094488</v>
      </c>
      <c r="G473" s="23">
        <f>IFERROR(INDEX(Population_by_Province_Year!$B$5:$J$29,MATCH($A473,Population_by_Province_Year!$A$5:$A$29,0),MATCH($B473,Population_by_Province_Year!$B$4:$J$4,0)),"")</f>
        <v>2360562</v>
      </c>
      <c r="H473" s="22">
        <f>IFERROR(D473/G473*100000,"")</f>
        <v>53.800747449124401</v>
      </c>
    </row>
    <row r="474" spans="1:8" ht="15" customHeight="1" x14ac:dyDescent="0.3">
      <c r="A474" s="20" t="s">
        <v>18</v>
      </c>
      <c r="B474" s="20">
        <v>2019</v>
      </c>
      <c r="C474" s="20" t="s">
        <v>97</v>
      </c>
      <c r="D474" s="20">
        <v>246</v>
      </c>
      <c r="E474" s="20">
        <v>0</v>
      </c>
      <c r="F474" s="22">
        <f>IFERROR(E474/D474*100,"")</f>
        <v>0</v>
      </c>
      <c r="G474" s="23">
        <f>IFERROR(INDEX(Population_by_Province_Year!$B$5:$J$29,MATCH($A474,Population_by_Province_Year!$A$5:$A$29,0),MATCH($B474,Population_by_Province_Year!$B$4:$J$4,0)),"")</f>
        <v>320753</v>
      </c>
      <c r="H474" s="22">
        <f>IFERROR(D474/G474*100000,"")</f>
        <v>76.69452818835677</v>
      </c>
    </row>
    <row r="475" spans="1:8" ht="15" customHeight="1" x14ac:dyDescent="0.3">
      <c r="A475" s="20" t="s">
        <v>19</v>
      </c>
      <c r="B475" s="20">
        <v>2019</v>
      </c>
      <c r="C475" s="20" t="s">
        <v>97</v>
      </c>
      <c r="D475" s="20">
        <v>185</v>
      </c>
      <c r="E475" s="20">
        <v>0</v>
      </c>
      <c r="F475" s="22">
        <f>IFERROR(E475/D475*100,"")</f>
        <v>0</v>
      </c>
      <c r="G475" s="23">
        <f>IFERROR(INDEX(Population_by_Province_Year!$B$5:$J$29,MATCH($A475,Population_by_Province_Year!$A$5:$A$29,0),MATCH($B475,Population_by_Province_Year!$B$4:$J$4,0)),"")</f>
        <v>263606</v>
      </c>
      <c r="H475" s="22">
        <f>IFERROR(D475/G475*100000,"")</f>
        <v>70.180496650303866</v>
      </c>
    </row>
    <row r="476" spans="1:8" ht="15" customHeight="1" x14ac:dyDescent="0.3">
      <c r="A476" s="20" t="s">
        <v>20</v>
      </c>
      <c r="B476" s="20">
        <v>2019</v>
      </c>
      <c r="C476" s="20" t="s">
        <v>97</v>
      </c>
      <c r="D476" s="20">
        <v>341</v>
      </c>
      <c r="E476" s="20">
        <v>3</v>
      </c>
      <c r="F476" s="22">
        <f>IFERROR(E476/D476*100,"")</f>
        <v>0.87976539589442826</v>
      </c>
      <c r="G476" s="23">
        <f>IFERROR(INDEX(Population_by_Province_Year!$B$5:$J$29,MATCH($A476,Population_by_Province_Year!$A$5:$A$29,0),MATCH($B476,Population_by_Province_Year!$B$4:$J$4,0)),"")</f>
        <v>1094157</v>
      </c>
      <c r="H476" s="22">
        <f>IFERROR(D476/G476*100000,"")</f>
        <v>31.165545712361205</v>
      </c>
    </row>
    <row r="477" spans="1:8" ht="15" customHeight="1" x14ac:dyDescent="0.3">
      <c r="A477" s="20" t="s">
        <v>21</v>
      </c>
      <c r="B477" s="20">
        <v>2019</v>
      </c>
      <c r="C477" s="20" t="s">
        <v>97</v>
      </c>
      <c r="D477" s="20">
        <v>62</v>
      </c>
      <c r="E477" s="20">
        <v>1</v>
      </c>
      <c r="F477" s="22">
        <f>IFERROR(E477/D477*100,"")</f>
        <v>1.6129032258064515</v>
      </c>
      <c r="G477" s="23">
        <f>IFERROR(INDEX(Population_by_Province_Year!$B$5:$J$29,MATCH($A477,Population_by_Province_Year!$A$5:$A$29,0),MATCH($B477,Population_by_Province_Year!$B$4:$J$4,0)),"")</f>
        <v>434419</v>
      </c>
      <c r="H477" s="22">
        <f>IFERROR(D477/G477*100000,"")</f>
        <v>14.271935619758805</v>
      </c>
    </row>
    <row r="478" spans="1:8" ht="15" customHeight="1" x14ac:dyDescent="0.3">
      <c r="A478" s="20" t="s">
        <v>22</v>
      </c>
      <c r="B478" s="20">
        <v>2019</v>
      </c>
      <c r="C478" s="20" t="s">
        <v>97</v>
      </c>
      <c r="D478" s="20">
        <v>260</v>
      </c>
      <c r="E478" s="20">
        <v>0</v>
      </c>
      <c r="F478" s="22">
        <f>IFERROR(E478/D478*100,"")</f>
        <v>0</v>
      </c>
      <c r="G478" s="23">
        <f>IFERROR(INDEX(Population_by_Province_Year!$B$5:$J$29,MATCH($A478,Population_by_Province_Year!$A$5:$A$29,0),MATCH($B478,Population_by_Province_Year!$B$4:$J$4,0)),"")</f>
        <v>224943</v>
      </c>
      <c r="H478" s="22">
        <f>IFERROR(D478/G478*100000,"")</f>
        <v>115.58483704760762</v>
      </c>
    </row>
    <row r="479" spans="1:8" ht="15" customHeight="1" x14ac:dyDescent="0.3">
      <c r="A479" s="20" t="s">
        <v>23</v>
      </c>
      <c r="B479" s="20">
        <v>2019</v>
      </c>
      <c r="C479" s="20" t="s">
        <v>97</v>
      </c>
      <c r="D479" s="20">
        <v>1726</v>
      </c>
      <c r="E479" s="20">
        <v>0</v>
      </c>
      <c r="F479" s="22">
        <f>IFERROR(E479/D479*100,"")</f>
        <v>0</v>
      </c>
      <c r="G479" s="23">
        <f>IFERROR(INDEX(Population_by_Province_Year!$B$5:$J$29,MATCH($A479,Population_by_Province_Year!$A$5:$A$29,0),MATCH($B479,Population_by_Province_Year!$B$4:$J$4,0)),"")</f>
        <v>1049175</v>
      </c>
      <c r="H479" s="22">
        <f>IFERROR(D479/G479*100000,"")</f>
        <v>164.5102104034122</v>
      </c>
    </row>
    <row r="480" spans="1:8" ht="15" customHeight="1" x14ac:dyDescent="0.3">
      <c r="A480" s="20" t="s">
        <v>24</v>
      </c>
      <c r="B480" s="20">
        <v>2019</v>
      </c>
      <c r="C480" s="20" t="s">
        <v>97</v>
      </c>
      <c r="D480" s="20">
        <v>20</v>
      </c>
      <c r="E480" s="20">
        <v>0</v>
      </c>
      <c r="F480" s="22">
        <f>IFERROR(E480/D480*100,"")</f>
        <v>0</v>
      </c>
      <c r="G480" s="23">
        <f>IFERROR(INDEX(Population_by_Province_Year!$B$5:$J$29,MATCH($A480,Population_by_Province_Year!$A$5:$A$29,0),MATCH($B480,Population_by_Province_Year!$B$4:$J$4,0)),"")</f>
        <v>171422</v>
      </c>
      <c r="H480" s="22">
        <f>IFERROR(D480/G480*100000,"")</f>
        <v>11.667113906033064</v>
      </c>
    </row>
    <row r="481" spans="1:8" ht="15" customHeight="1" x14ac:dyDescent="0.3">
      <c r="A481" s="20" t="s">
        <v>25</v>
      </c>
      <c r="B481" s="20">
        <v>2019</v>
      </c>
      <c r="C481" s="20" t="s">
        <v>97</v>
      </c>
      <c r="D481" s="20">
        <v>209</v>
      </c>
      <c r="E481" s="20">
        <v>0</v>
      </c>
      <c r="F481" s="22">
        <f>IFERROR(E481/D481*100,"")</f>
        <v>0</v>
      </c>
      <c r="G481" s="23">
        <f>IFERROR(INDEX(Population_by_Province_Year!$B$5:$J$29,MATCH($A481,Population_by_Province_Year!$A$5:$A$29,0),MATCH($B481,Population_by_Province_Year!$B$4:$J$4,0)),"")</f>
        <v>543599</v>
      </c>
      <c r="H481" s="22">
        <f>IFERROR(D481/G481*100000,"")</f>
        <v>38.447458512616841</v>
      </c>
    </row>
    <row r="482" spans="1:8" ht="15" customHeight="1" x14ac:dyDescent="0.3">
      <c r="A482" s="20" t="s">
        <v>26</v>
      </c>
      <c r="B482" s="20">
        <v>2019</v>
      </c>
      <c r="C482" s="20" t="s">
        <v>97</v>
      </c>
      <c r="D482" s="20">
        <v>164</v>
      </c>
      <c r="E482" s="20">
        <v>0</v>
      </c>
      <c r="F482" s="22">
        <f>IFERROR(E482/D482*100,"")</f>
        <v>0</v>
      </c>
      <c r="G482" s="23">
        <f>IFERROR(INDEX(Population_by_Province_Year!$B$5:$J$29,MATCH($A482,Population_by_Province_Year!$A$5:$A$29,0),MATCH($B482,Population_by_Province_Year!$B$4:$J$4,0)),"")</f>
        <v>931951</v>
      </c>
      <c r="H482" s="22">
        <f>IFERROR(D482/G482*100000,"")</f>
        <v>17.597491713620137</v>
      </c>
    </row>
    <row r="483" spans="1:8" ht="15" customHeight="1" x14ac:dyDescent="0.3">
      <c r="A483" s="20" t="s">
        <v>27</v>
      </c>
      <c r="B483" s="20">
        <v>2019</v>
      </c>
      <c r="C483" s="20" t="s">
        <v>97</v>
      </c>
      <c r="D483" s="20">
        <v>475</v>
      </c>
      <c r="E483" s="20">
        <v>2</v>
      </c>
      <c r="F483" s="22">
        <f>IFERROR(E483/D483*100,"")</f>
        <v>0.42105263157894735</v>
      </c>
      <c r="G483" s="23">
        <f>IFERROR(INDEX(Population_by_Province_Year!$B$5:$J$29,MATCH($A483,Population_by_Province_Year!$A$5:$A$29,0),MATCH($B483,Population_by_Province_Year!$B$4:$J$4,0)),"")</f>
        <v>803603</v>
      </c>
      <c r="H483" s="22">
        <f>IFERROR(D483/G483*100000,"")</f>
        <v>59.108788792475892</v>
      </c>
    </row>
    <row r="484" spans="1:8" ht="15" customHeight="1" x14ac:dyDescent="0.3">
      <c r="A484" s="20" t="s">
        <v>3</v>
      </c>
      <c r="B484" s="20">
        <v>2019</v>
      </c>
      <c r="C484" s="20" t="s">
        <v>107</v>
      </c>
      <c r="D484" s="20">
        <v>413</v>
      </c>
      <c r="E484" s="20">
        <v>0</v>
      </c>
      <c r="F484" s="22">
        <f>IFERROR(E484/D484*100,"")</f>
        <v>0</v>
      </c>
      <c r="G484" s="23">
        <f>IFERROR(INDEX(Population_by_Province_Year!$B$5:$J$29,MATCH($A484,Population_by_Province_Year!$A$5:$A$29,0),MATCH($B484,Population_by_Province_Year!$B$4:$J$4,0)),"")</f>
        <v>891574</v>
      </c>
      <c r="H484" s="22">
        <f>IFERROR(D484/G484*100000,"")</f>
        <v>46.322571093369703</v>
      </c>
    </row>
    <row r="485" spans="1:8" ht="15" customHeight="1" x14ac:dyDescent="0.3">
      <c r="A485" s="20" t="s">
        <v>4</v>
      </c>
      <c r="B485" s="20">
        <v>2019</v>
      </c>
      <c r="C485" s="20" t="s">
        <v>107</v>
      </c>
      <c r="D485" s="20">
        <v>182</v>
      </c>
      <c r="E485" s="20">
        <v>1</v>
      </c>
      <c r="F485" s="22">
        <f>IFERROR(E485/D485*100,"")</f>
        <v>0.5494505494505495</v>
      </c>
      <c r="G485" s="23">
        <f>IFERROR(INDEX(Population_by_Province_Year!$B$5:$J$29,MATCH($A485,Population_by_Province_Year!$A$5:$A$29,0),MATCH($B485,Population_by_Province_Year!$B$4:$J$4,0)),"")</f>
        <v>1031520</v>
      </c>
      <c r="H485" s="22">
        <f>IFERROR(D485/G485*100000,"")</f>
        <v>17.64386536373507</v>
      </c>
    </row>
    <row r="486" spans="1:8" ht="15" customHeight="1" x14ac:dyDescent="0.3">
      <c r="A486" s="20" t="s">
        <v>5</v>
      </c>
      <c r="B486" s="20">
        <v>2019</v>
      </c>
      <c r="C486" s="20" t="s">
        <v>107</v>
      </c>
      <c r="D486" s="20">
        <v>152</v>
      </c>
      <c r="E486" s="20">
        <v>0</v>
      </c>
      <c r="F486" s="22">
        <f>IFERROR(E486/D486*100,"")</f>
        <v>0</v>
      </c>
      <c r="G486" s="23">
        <f>IFERROR(INDEX(Population_by_Province_Year!$B$5:$J$29,MATCH($A486,Population_by_Province_Year!$A$5:$A$29,0),MATCH($B486,Population_by_Province_Year!$B$4:$J$4,0)),"")</f>
        <v>930789</v>
      </c>
      <c r="H486" s="22">
        <f>IFERROR(D486/G486*100000,"")</f>
        <v>16.330231663674581</v>
      </c>
    </row>
    <row r="487" spans="1:8" ht="15" customHeight="1" x14ac:dyDescent="0.3">
      <c r="A487" s="20" t="s">
        <v>6</v>
      </c>
      <c r="B487" s="20">
        <v>2019</v>
      </c>
      <c r="C487" s="20" t="s">
        <v>107</v>
      </c>
      <c r="D487" s="20">
        <v>95</v>
      </c>
      <c r="E487" s="20">
        <v>0</v>
      </c>
      <c r="F487" s="22">
        <f>IFERROR(E487/D487*100,"")</f>
        <v>0</v>
      </c>
      <c r="G487" s="23">
        <f>IFERROR(INDEX(Population_by_Province_Year!$B$5:$J$29,MATCH($A487,Population_by_Province_Year!$A$5:$A$29,0),MATCH($B487,Population_by_Province_Year!$B$4:$J$4,0)),"")</f>
        <v>545182</v>
      </c>
      <c r="H487" s="22">
        <f>IFERROR(D487/G487*100000,"")</f>
        <v>17.425373544981309</v>
      </c>
    </row>
    <row r="488" spans="1:8" ht="15" customHeight="1" x14ac:dyDescent="0.3">
      <c r="A488" s="20" t="s">
        <v>7</v>
      </c>
      <c r="B488" s="20">
        <v>2019</v>
      </c>
      <c r="C488" s="20" t="s">
        <v>107</v>
      </c>
      <c r="D488" s="20">
        <v>274</v>
      </c>
      <c r="E488" s="20">
        <v>0</v>
      </c>
      <c r="F488" s="22">
        <f>IFERROR(E488/D488*100,"")</f>
        <v>0</v>
      </c>
      <c r="G488" s="23">
        <f>IFERROR(INDEX(Population_by_Province_Year!$B$5:$J$29,MATCH($A488,Population_by_Province_Year!$A$5:$A$29,0),MATCH($B488,Population_by_Province_Year!$B$4:$J$4,0)),"")</f>
        <v>907754</v>
      </c>
      <c r="H488" s="22">
        <f>IFERROR(D488/G488*100000,"")</f>
        <v>30.184389162702672</v>
      </c>
    </row>
    <row r="489" spans="1:8" ht="15" customHeight="1" x14ac:dyDescent="0.3">
      <c r="A489" s="20" t="s">
        <v>8</v>
      </c>
      <c r="B489" s="20">
        <v>2019</v>
      </c>
      <c r="C489" s="20" t="s">
        <v>107</v>
      </c>
      <c r="D489" s="20">
        <v>195</v>
      </c>
      <c r="E489" s="20">
        <v>0</v>
      </c>
      <c r="F489" s="22">
        <f>IFERROR(E489/D489*100,"")</f>
        <v>0</v>
      </c>
      <c r="G489" s="23">
        <f>IFERROR(INDEX(Population_by_Province_Year!$B$5:$J$29,MATCH($A489,Population_by_Province_Year!$A$5:$A$29,0),MATCH($B489,Population_by_Province_Year!$B$4:$J$4,0)),"")</f>
        <v>705028</v>
      </c>
      <c r="H489" s="22">
        <f>IFERROR(D489/G489*100000,"")</f>
        <v>27.658475975422256</v>
      </c>
    </row>
    <row r="490" spans="1:8" ht="15" customHeight="1" x14ac:dyDescent="0.3">
      <c r="A490" s="20" t="s">
        <v>9</v>
      </c>
      <c r="B490" s="20">
        <v>2019</v>
      </c>
      <c r="C490" s="20" t="s">
        <v>107</v>
      </c>
      <c r="D490" s="20">
        <v>68</v>
      </c>
      <c r="E490" s="20">
        <v>0</v>
      </c>
      <c r="F490" s="22">
        <f>IFERROR(E490/D490*100,"")</f>
        <v>0</v>
      </c>
      <c r="G490" s="23">
        <f>IFERROR(INDEX(Population_by_Province_Year!$B$5:$J$29,MATCH($A490,Population_by_Province_Year!$A$5:$A$29,0),MATCH($B490,Population_by_Province_Year!$B$4:$J$4,0)),"")</f>
        <v>614285</v>
      </c>
      <c r="H490" s="22">
        <f>IFERROR(D490/G490*100000,"")</f>
        <v>11.06978031369804</v>
      </c>
    </row>
    <row r="491" spans="1:8" ht="15" customHeight="1" x14ac:dyDescent="0.3">
      <c r="A491" s="20" t="s">
        <v>10</v>
      </c>
      <c r="B491" s="20">
        <v>2019</v>
      </c>
      <c r="C491" s="20" t="s">
        <v>107</v>
      </c>
      <c r="D491" s="20">
        <v>575</v>
      </c>
      <c r="E491" s="20">
        <v>2</v>
      </c>
      <c r="F491" s="22">
        <f>IFERROR(E491/D491*100,"")</f>
        <v>0.34782608695652173</v>
      </c>
      <c r="G491" s="23">
        <f>IFERROR(INDEX(Population_by_Province_Year!$B$5:$J$29,MATCH($A491,Population_by_Province_Year!$A$5:$A$29,0),MATCH($B491,Population_by_Province_Year!$B$4:$J$4,0)),"")</f>
        <v>1242975</v>
      </c>
      <c r="H491" s="22">
        <f>IFERROR(D491/G491*100000,"")</f>
        <v>46.259981093746852</v>
      </c>
    </row>
    <row r="492" spans="1:8" ht="15" customHeight="1" x14ac:dyDescent="0.3">
      <c r="A492" s="20" t="s">
        <v>11</v>
      </c>
      <c r="B492" s="20">
        <v>2019</v>
      </c>
      <c r="C492" s="20" t="s">
        <v>107</v>
      </c>
      <c r="D492" s="20">
        <v>7</v>
      </c>
      <c r="E492" s="20">
        <v>0</v>
      </c>
      <c r="F492" s="22">
        <f>IFERROR(E492/D492*100,"")</f>
        <v>0</v>
      </c>
      <c r="G492" s="23">
        <f>IFERROR(INDEX(Population_by_Province_Year!$B$5:$J$29,MATCH($A492,Population_by_Province_Year!$A$5:$A$29,0),MATCH($B492,Population_by_Province_Year!$B$4:$J$4,0)),"")</f>
        <v>44135</v>
      </c>
      <c r="H492" s="22">
        <f>IFERROR(D492/G492*100000,"")</f>
        <v>15.860428231562253</v>
      </c>
    </row>
    <row r="493" spans="1:8" ht="15" customHeight="1" x14ac:dyDescent="0.3">
      <c r="A493" s="20" t="s">
        <v>12</v>
      </c>
      <c r="B493" s="20">
        <v>2019</v>
      </c>
      <c r="C493" s="20" t="s">
        <v>107</v>
      </c>
      <c r="D493" s="20">
        <v>14</v>
      </c>
      <c r="E493" s="20">
        <v>0</v>
      </c>
      <c r="F493" s="22">
        <f>IFERROR(E493/D493*100,"")</f>
        <v>0</v>
      </c>
      <c r="G493" s="23">
        <f>IFERROR(INDEX(Population_by_Province_Year!$B$5:$J$29,MATCH($A493,Population_by_Province_Year!$A$5:$A$29,0),MATCH($B493,Population_by_Province_Year!$B$4:$J$4,0)),"")</f>
        <v>130239</v>
      </c>
      <c r="H493" s="22">
        <f>IFERROR(D493/G493*100000,"")</f>
        <v>10.749468285229463</v>
      </c>
    </row>
    <row r="494" spans="1:8" ht="15" customHeight="1" x14ac:dyDescent="0.3">
      <c r="A494" s="20" t="s">
        <v>13</v>
      </c>
      <c r="B494" s="20">
        <v>2019</v>
      </c>
      <c r="C494" s="20" t="s">
        <v>107</v>
      </c>
      <c r="D494" s="20">
        <v>17</v>
      </c>
      <c r="E494" s="20">
        <v>0</v>
      </c>
      <c r="F494" s="22">
        <f>IFERROR(E494/D494*100,"")</f>
        <v>0</v>
      </c>
      <c r="G494" s="23">
        <f>IFERROR(INDEX(Population_by_Province_Year!$B$5:$J$29,MATCH($A494,Population_by_Province_Year!$A$5:$A$29,0),MATCH($B494,Population_by_Province_Year!$B$4:$J$4,0)),"")</f>
        <v>387666</v>
      </c>
      <c r="H494" s="22">
        <f>IFERROR(D494/G494*100000,"")</f>
        <v>4.3852182032987157</v>
      </c>
    </row>
    <row r="495" spans="1:8" ht="15" customHeight="1" x14ac:dyDescent="0.3">
      <c r="A495" s="20" t="s">
        <v>14</v>
      </c>
      <c r="B495" s="20">
        <v>2019</v>
      </c>
      <c r="C495" s="20" t="s">
        <v>107</v>
      </c>
      <c r="D495" s="20">
        <v>24</v>
      </c>
      <c r="E495" s="20">
        <v>0</v>
      </c>
      <c r="F495" s="22">
        <f>IFERROR(E495/D495*100,"")</f>
        <v>0</v>
      </c>
      <c r="G495" s="23">
        <f>IFERROR(INDEX(Population_by_Province_Year!$B$5:$J$29,MATCH($A495,Population_by_Province_Year!$A$5:$A$29,0),MATCH($B495,Population_by_Province_Year!$B$4:$J$4,0)),"")</f>
        <v>95390</v>
      </c>
      <c r="H495" s="22">
        <f>IFERROR(D495/G495*100000,"")</f>
        <v>25.159870007338295</v>
      </c>
    </row>
    <row r="496" spans="1:8" ht="15" customHeight="1" x14ac:dyDescent="0.3">
      <c r="A496" s="20" t="s">
        <v>15</v>
      </c>
      <c r="B496" s="20">
        <v>2019</v>
      </c>
      <c r="C496" s="20" t="s">
        <v>107</v>
      </c>
      <c r="D496" s="20">
        <v>139</v>
      </c>
      <c r="E496" s="20">
        <v>1</v>
      </c>
      <c r="F496" s="22">
        <f>IFERROR(E496/D496*100,"")</f>
        <v>0.71942446043165476</v>
      </c>
      <c r="G496" s="23">
        <f>IFERROR(INDEX(Population_by_Province_Year!$B$5:$J$29,MATCH($A496,Population_by_Province_Year!$A$5:$A$29,0),MATCH($B496,Population_by_Province_Year!$B$4:$J$4,0)),"")</f>
        <v>285548</v>
      </c>
      <c r="H496" s="22">
        <f>IFERROR(D496/G496*100000,"")</f>
        <v>48.67833078851892</v>
      </c>
    </row>
    <row r="497" spans="1:8" ht="15" customHeight="1" x14ac:dyDescent="0.3">
      <c r="A497" s="20" t="s">
        <v>16</v>
      </c>
      <c r="B497" s="20">
        <v>2019</v>
      </c>
      <c r="C497" s="20" t="s">
        <v>107</v>
      </c>
      <c r="D497" s="20">
        <v>15</v>
      </c>
      <c r="E497" s="20">
        <v>0</v>
      </c>
      <c r="F497" s="22">
        <f>IFERROR(E497/D497*100,"")</f>
        <v>0</v>
      </c>
      <c r="G497" s="23">
        <f>IFERROR(INDEX(Population_by_Province_Year!$B$5:$J$29,MATCH($A497,Population_by_Province_Year!$A$5:$A$29,0),MATCH($B497,Population_by_Province_Year!$B$4:$J$4,0)),"")</f>
        <v>77701</v>
      </c>
      <c r="H497" s="22">
        <f>IFERROR(D497/G497*100000,"")</f>
        <v>19.30477085236998</v>
      </c>
    </row>
    <row r="498" spans="1:8" ht="15" customHeight="1" x14ac:dyDescent="0.3">
      <c r="A498" s="20" t="s">
        <v>17</v>
      </c>
      <c r="B498" s="20">
        <v>2019</v>
      </c>
      <c r="C498" s="20" t="s">
        <v>107</v>
      </c>
      <c r="D498" s="20">
        <v>836</v>
      </c>
      <c r="E498" s="20">
        <v>0</v>
      </c>
      <c r="F498" s="22">
        <f>IFERROR(E498/D498*100,"")</f>
        <v>0</v>
      </c>
      <c r="G498" s="23">
        <f>IFERROR(INDEX(Population_by_Province_Year!$B$5:$J$29,MATCH($A498,Population_by_Province_Year!$A$5:$A$29,0),MATCH($B498,Population_by_Province_Year!$B$4:$J$4,0)),"")</f>
        <v>2360562</v>
      </c>
      <c r="H498" s="22">
        <f>IFERROR(D498/G498*100000,"")</f>
        <v>35.415295171234646</v>
      </c>
    </row>
    <row r="499" spans="1:8" ht="15" customHeight="1" x14ac:dyDescent="0.3">
      <c r="A499" s="20" t="s">
        <v>18</v>
      </c>
      <c r="B499" s="20">
        <v>2019</v>
      </c>
      <c r="C499" s="20" t="s">
        <v>107</v>
      </c>
      <c r="D499" s="20">
        <v>109</v>
      </c>
      <c r="E499" s="20">
        <v>0</v>
      </c>
      <c r="F499" s="22">
        <f>IFERROR(E499/D499*100,"")</f>
        <v>0</v>
      </c>
      <c r="G499" s="23">
        <f>IFERROR(INDEX(Population_by_Province_Year!$B$5:$J$29,MATCH($A499,Population_by_Province_Year!$A$5:$A$29,0),MATCH($B499,Population_by_Province_Year!$B$4:$J$4,0)),"")</f>
        <v>320753</v>
      </c>
      <c r="H499" s="22">
        <f>IFERROR(D499/G499*100000,"")</f>
        <v>33.982534847686537</v>
      </c>
    </row>
    <row r="500" spans="1:8" ht="15" customHeight="1" x14ac:dyDescent="0.3">
      <c r="A500" s="20" t="s">
        <v>19</v>
      </c>
      <c r="B500" s="20">
        <v>2019</v>
      </c>
      <c r="C500" s="20" t="s">
        <v>107</v>
      </c>
      <c r="D500" s="20">
        <v>51</v>
      </c>
      <c r="E500" s="20">
        <v>0</v>
      </c>
      <c r="F500" s="22">
        <f>IFERROR(E500/D500*100,"")</f>
        <v>0</v>
      </c>
      <c r="G500" s="23">
        <f>IFERROR(INDEX(Population_by_Province_Year!$B$5:$J$29,MATCH($A500,Population_by_Province_Year!$A$5:$A$29,0),MATCH($B500,Population_by_Province_Year!$B$4:$J$4,0)),"")</f>
        <v>263606</v>
      </c>
      <c r="H500" s="22">
        <f>IFERROR(D500/G500*100000,"")</f>
        <v>19.347055833327012</v>
      </c>
    </row>
    <row r="501" spans="1:8" ht="15" customHeight="1" x14ac:dyDescent="0.3">
      <c r="A501" s="20" t="s">
        <v>20</v>
      </c>
      <c r="B501" s="20">
        <v>2019</v>
      </c>
      <c r="C501" s="20" t="s">
        <v>107</v>
      </c>
      <c r="D501" s="20">
        <v>147</v>
      </c>
      <c r="E501" s="20">
        <v>1</v>
      </c>
      <c r="F501" s="22">
        <f>IFERROR(E501/D501*100,"")</f>
        <v>0.68027210884353739</v>
      </c>
      <c r="G501" s="23">
        <f>IFERROR(INDEX(Population_by_Province_Year!$B$5:$J$29,MATCH($A501,Population_by_Province_Year!$A$5:$A$29,0),MATCH($B501,Population_by_Province_Year!$B$4:$J$4,0)),"")</f>
        <v>1094157</v>
      </c>
      <c r="H501" s="22">
        <f>IFERROR(D501/G501*100000,"")</f>
        <v>13.435000644331662</v>
      </c>
    </row>
    <row r="502" spans="1:8" ht="15" customHeight="1" x14ac:dyDescent="0.3">
      <c r="A502" s="20" t="s">
        <v>21</v>
      </c>
      <c r="B502" s="20">
        <v>2019</v>
      </c>
      <c r="C502" s="20" t="s">
        <v>107</v>
      </c>
      <c r="D502" s="20">
        <v>23</v>
      </c>
      <c r="E502" s="20">
        <v>0</v>
      </c>
      <c r="F502" s="22">
        <f>IFERROR(E502/D502*100,"")</f>
        <v>0</v>
      </c>
      <c r="G502" s="23">
        <f>IFERROR(INDEX(Population_by_Province_Year!$B$5:$J$29,MATCH($A502,Population_by_Province_Year!$A$5:$A$29,0),MATCH($B502,Population_by_Province_Year!$B$4:$J$4,0)),"")</f>
        <v>434419</v>
      </c>
      <c r="H502" s="22">
        <f>IFERROR(D502/G502*100000,"")</f>
        <v>5.2944277299105238</v>
      </c>
    </row>
    <row r="503" spans="1:8" ht="15" customHeight="1" x14ac:dyDescent="0.3">
      <c r="A503" s="20" t="s">
        <v>22</v>
      </c>
      <c r="B503" s="20">
        <v>2019</v>
      </c>
      <c r="C503" s="20" t="s">
        <v>107</v>
      </c>
      <c r="D503" s="20">
        <v>47</v>
      </c>
      <c r="E503" s="20">
        <v>0</v>
      </c>
      <c r="F503" s="22">
        <f>IFERROR(E503/D503*100,"")</f>
        <v>0</v>
      </c>
      <c r="G503" s="23">
        <f>IFERROR(INDEX(Population_by_Province_Year!$B$5:$J$29,MATCH($A503,Population_by_Province_Year!$A$5:$A$29,0),MATCH($B503,Population_by_Province_Year!$B$4:$J$4,0)),"")</f>
        <v>224943</v>
      </c>
      <c r="H503" s="22">
        <f>IFERROR(D503/G503*100000,"")</f>
        <v>20.894182081682914</v>
      </c>
    </row>
    <row r="504" spans="1:8" ht="15" customHeight="1" x14ac:dyDescent="0.3">
      <c r="A504" s="20" t="s">
        <v>23</v>
      </c>
      <c r="B504" s="20">
        <v>2019</v>
      </c>
      <c r="C504" s="20" t="s">
        <v>107</v>
      </c>
      <c r="D504" s="20">
        <v>762</v>
      </c>
      <c r="E504" s="20">
        <v>0</v>
      </c>
      <c r="F504" s="22">
        <f>IFERROR(E504/D504*100,"")</f>
        <v>0</v>
      </c>
      <c r="G504" s="23">
        <f>IFERROR(INDEX(Population_by_Province_Year!$B$5:$J$29,MATCH($A504,Population_by_Province_Year!$A$5:$A$29,0),MATCH($B504,Population_by_Province_Year!$B$4:$J$4,0)),"")</f>
        <v>1049175</v>
      </c>
      <c r="H504" s="22">
        <f>IFERROR(D504/G504*100000,"")</f>
        <v>72.628493816570156</v>
      </c>
    </row>
    <row r="505" spans="1:8" ht="15" customHeight="1" x14ac:dyDescent="0.3">
      <c r="A505" s="20" t="s">
        <v>24</v>
      </c>
      <c r="B505" s="20">
        <v>2019</v>
      </c>
      <c r="C505" s="20" t="s">
        <v>107</v>
      </c>
      <c r="D505" s="20">
        <v>24</v>
      </c>
      <c r="E505" s="20">
        <v>0</v>
      </c>
      <c r="F505" s="22">
        <f>IFERROR(E505/D505*100,"")</f>
        <v>0</v>
      </c>
      <c r="G505" s="23">
        <f>IFERROR(INDEX(Population_by_Province_Year!$B$5:$J$29,MATCH($A505,Population_by_Province_Year!$A$5:$A$29,0),MATCH($B505,Population_by_Province_Year!$B$4:$J$4,0)),"")</f>
        <v>171422</v>
      </c>
      <c r="H505" s="22">
        <f>IFERROR(D505/G505*100000,"")</f>
        <v>14.000536687239679</v>
      </c>
    </row>
    <row r="506" spans="1:8" ht="15" customHeight="1" x14ac:dyDescent="0.3">
      <c r="A506" s="20" t="s">
        <v>25</v>
      </c>
      <c r="B506" s="20">
        <v>2019</v>
      </c>
      <c r="C506" s="20" t="s">
        <v>107</v>
      </c>
      <c r="D506" s="20">
        <v>102</v>
      </c>
      <c r="E506" s="20">
        <v>0</v>
      </c>
      <c r="F506" s="22">
        <f>IFERROR(E506/D506*100,"")</f>
        <v>0</v>
      </c>
      <c r="G506" s="23">
        <f>IFERROR(INDEX(Population_by_Province_Year!$B$5:$J$29,MATCH($A506,Population_by_Province_Year!$A$5:$A$29,0),MATCH($B506,Population_by_Province_Year!$B$4:$J$4,0)),"")</f>
        <v>543599</v>
      </c>
      <c r="H506" s="22">
        <f>IFERROR(D506/G506*100000,"")</f>
        <v>18.763831427210128</v>
      </c>
    </row>
    <row r="507" spans="1:8" ht="15" customHeight="1" x14ac:dyDescent="0.3">
      <c r="A507" s="20" t="s">
        <v>26</v>
      </c>
      <c r="B507" s="20">
        <v>2019</v>
      </c>
      <c r="C507" s="20" t="s">
        <v>107</v>
      </c>
      <c r="D507" s="20">
        <v>64</v>
      </c>
      <c r="E507" s="20">
        <v>0</v>
      </c>
      <c r="F507" s="22">
        <f>IFERROR(E507/D507*100,"")</f>
        <v>0</v>
      </c>
      <c r="G507" s="23">
        <f>IFERROR(INDEX(Population_by_Province_Year!$B$5:$J$29,MATCH($A507,Population_by_Province_Year!$A$5:$A$29,0),MATCH($B507,Population_by_Province_Year!$B$4:$J$4,0)),"")</f>
        <v>931951</v>
      </c>
      <c r="H507" s="22">
        <f>IFERROR(D507/G507*100000,"")</f>
        <v>6.8673138394615165</v>
      </c>
    </row>
    <row r="508" spans="1:8" ht="15" customHeight="1" x14ac:dyDescent="0.3">
      <c r="A508" s="20" t="s">
        <v>27</v>
      </c>
      <c r="B508" s="20">
        <v>2019</v>
      </c>
      <c r="C508" s="20" t="s">
        <v>107</v>
      </c>
      <c r="D508" s="20">
        <v>238</v>
      </c>
      <c r="E508" s="20">
        <v>1</v>
      </c>
      <c r="F508" s="22">
        <f>IFERROR(E508/D508*100,"")</f>
        <v>0.42016806722689076</v>
      </c>
      <c r="G508" s="23">
        <f>IFERROR(INDEX(Population_by_Province_Year!$B$5:$J$29,MATCH($A508,Population_by_Province_Year!$A$5:$A$29,0),MATCH($B508,Population_by_Province_Year!$B$4:$J$4,0)),"")</f>
        <v>803603</v>
      </c>
      <c r="H508" s="22">
        <f>IFERROR(D508/G508*100000,"")</f>
        <v>29.616614173914233</v>
      </c>
    </row>
    <row r="509" spans="1:8" ht="15" customHeight="1" x14ac:dyDescent="0.3">
      <c r="A509" s="20" t="s">
        <v>3</v>
      </c>
      <c r="B509" s="20">
        <v>2019</v>
      </c>
      <c r="C509" s="20" t="s">
        <v>106</v>
      </c>
      <c r="D509" s="20">
        <v>318</v>
      </c>
      <c r="E509" s="20">
        <v>0</v>
      </c>
      <c r="F509" s="22">
        <f>IFERROR(E509/D509*100,"")</f>
        <v>0</v>
      </c>
      <c r="G509" s="23">
        <f>IFERROR(INDEX(Population_by_Province_Year!$B$5:$J$29,MATCH($A509,Population_by_Province_Year!$A$5:$A$29,0),MATCH($B509,Population_by_Province_Year!$B$4:$J$4,0)),"")</f>
        <v>891574</v>
      </c>
      <c r="H509" s="22">
        <f>IFERROR(D509/G509*100000,"")</f>
        <v>35.667258130003795</v>
      </c>
    </row>
    <row r="510" spans="1:8" ht="15" customHeight="1" x14ac:dyDescent="0.3">
      <c r="A510" s="20" t="s">
        <v>4</v>
      </c>
      <c r="B510" s="20">
        <v>2019</v>
      </c>
      <c r="C510" s="20" t="s">
        <v>106</v>
      </c>
      <c r="D510" s="20">
        <v>150</v>
      </c>
      <c r="E510" s="20">
        <v>2</v>
      </c>
      <c r="F510" s="22">
        <f>IFERROR(E510/D510*100,"")</f>
        <v>1.3333333333333335</v>
      </c>
      <c r="G510" s="23">
        <f>IFERROR(INDEX(Population_by_Province_Year!$B$5:$J$29,MATCH($A510,Population_by_Province_Year!$A$5:$A$29,0),MATCH($B510,Population_by_Province_Year!$B$4:$J$4,0)),"")</f>
        <v>1031520</v>
      </c>
      <c r="H510" s="22">
        <f>IFERROR(D510/G510*100000,"")</f>
        <v>14.54164727780363</v>
      </c>
    </row>
    <row r="511" spans="1:8" ht="15" customHeight="1" x14ac:dyDescent="0.3">
      <c r="A511" s="20" t="s">
        <v>5</v>
      </c>
      <c r="B511" s="20">
        <v>2019</v>
      </c>
      <c r="C511" s="20" t="s">
        <v>106</v>
      </c>
      <c r="D511" s="20">
        <v>107</v>
      </c>
      <c r="E511" s="20">
        <v>0</v>
      </c>
      <c r="F511" s="22">
        <f>IFERROR(E511/D511*100,"")</f>
        <v>0</v>
      </c>
      <c r="G511" s="23">
        <f>IFERROR(INDEX(Population_by_Province_Year!$B$5:$J$29,MATCH($A511,Population_by_Province_Year!$A$5:$A$29,0),MATCH($B511,Population_by_Province_Year!$B$4:$J$4,0)),"")</f>
        <v>930789</v>
      </c>
      <c r="H511" s="22">
        <f>IFERROR(D511/G511*100000,"")</f>
        <v>11.49562360534987</v>
      </c>
    </row>
    <row r="512" spans="1:8" ht="15" customHeight="1" x14ac:dyDescent="0.3">
      <c r="A512" s="20" t="s">
        <v>6</v>
      </c>
      <c r="B512" s="20">
        <v>2019</v>
      </c>
      <c r="C512" s="20" t="s">
        <v>106</v>
      </c>
      <c r="D512" s="20">
        <v>46</v>
      </c>
      <c r="E512" s="20">
        <v>0</v>
      </c>
      <c r="F512" s="22">
        <f>IFERROR(E512/D512*100,"")</f>
        <v>0</v>
      </c>
      <c r="G512" s="23">
        <f>IFERROR(INDEX(Population_by_Province_Year!$B$5:$J$29,MATCH($A512,Population_by_Province_Year!$A$5:$A$29,0),MATCH($B512,Population_by_Province_Year!$B$4:$J$4,0)),"")</f>
        <v>545182</v>
      </c>
      <c r="H512" s="22">
        <f>IFERROR(D512/G512*100000,"")</f>
        <v>8.4375492954646329</v>
      </c>
    </row>
    <row r="513" spans="1:8" ht="15" customHeight="1" x14ac:dyDescent="0.3">
      <c r="A513" s="20" t="s">
        <v>7</v>
      </c>
      <c r="B513" s="20">
        <v>2019</v>
      </c>
      <c r="C513" s="20" t="s">
        <v>106</v>
      </c>
      <c r="D513" s="20">
        <v>200</v>
      </c>
      <c r="E513" s="20">
        <v>0</v>
      </c>
      <c r="F513" s="22">
        <f>IFERROR(E513/D513*100,"")</f>
        <v>0</v>
      </c>
      <c r="G513" s="23">
        <f>IFERROR(INDEX(Population_by_Province_Year!$B$5:$J$29,MATCH($A513,Population_by_Province_Year!$A$5:$A$29,0),MATCH($B513,Population_by_Province_Year!$B$4:$J$4,0)),"")</f>
        <v>907754</v>
      </c>
      <c r="H513" s="22">
        <f>IFERROR(D513/G513*100000,"")</f>
        <v>22.032400848688081</v>
      </c>
    </row>
    <row r="514" spans="1:8" ht="15" customHeight="1" x14ac:dyDescent="0.3">
      <c r="A514" s="20" t="s">
        <v>8</v>
      </c>
      <c r="B514" s="20">
        <v>2019</v>
      </c>
      <c r="C514" s="20" t="s">
        <v>106</v>
      </c>
      <c r="D514" s="20">
        <v>106</v>
      </c>
      <c r="E514" s="20">
        <v>0</v>
      </c>
      <c r="F514" s="22">
        <f>IFERROR(E514/D514*100,"")</f>
        <v>0</v>
      </c>
      <c r="G514" s="23">
        <f>IFERROR(INDEX(Population_by_Province_Year!$B$5:$J$29,MATCH($A514,Population_by_Province_Year!$A$5:$A$29,0),MATCH($B514,Population_by_Province_Year!$B$4:$J$4,0)),"")</f>
        <v>705028</v>
      </c>
      <c r="H514" s="22">
        <f>IFERROR(D514/G514*100000,"")</f>
        <v>15.034863863562867</v>
      </c>
    </row>
    <row r="515" spans="1:8" ht="15" customHeight="1" x14ac:dyDescent="0.3">
      <c r="A515" s="20" t="s">
        <v>9</v>
      </c>
      <c r="B515" s="20">
        <v>2019</v>
      </c>
      <c r="C515" s="20" t="s">
        <v>106</v>
      </c>
      <c r="D515" s="20">
        <v>34</v>
      </c>
      <c r="E515" s="20">
        <v>0</v>
      </c>
      <c r="F515" s="22">
        <f>IFERROR(E515/D515*100,"")</f>
        <v>0</v>
      </c>
      <c r="G515" s="23">
        <f>IFERROR(INDEX(Population_by_Province_Year!$B$5:$J$29,MATCH($A515,Population_by_Province_Year!$A$5:$A$29,0),MATCH($B515,Population_by_Province_Year!$B$4:$J$4,0)),"")</f>
        <v>614285</v>
      </c>
      <c r="H515" s="22">
        <f>IFERROR(D515/G515*100000,"")</f>
        <v>5.5348901568490199</v>
      </c>
    </row>
    <row r="516" spans="1:8" ht="15" customHeight="1" x14ac:dyDescent="0.3">
      <c r="A516" s="20" t="s">
        <v>10</v>
      </c>
      <c r="B516" s="20">
        <v>2019</v>
      </c>
      <c r="C516" s="20" t="s">
        <v>106</v>
      </c>
      <c r="D516" s="20">
        <v>506</v>
      </c>
      <c r="E516" s="20">
        <v>0</v>
      </c>
      <c r="F516" s="22">
        <f>IFERROR(E516/D516*100,"")</f>
        <v>0</v>
      </c>
      <c r="G516" s="23">
        <f>IFERROR(INDEX(Population_by_Province_Year!$B$5:$J$29,MATCH($A516,Population_by_Province_Year!$A$5:$A$29,0),MATCH($B516,Population_by_Province_Year!$B$4:$J$4,0)),"")</f>
        <v>1242975</v>
      </c>
      <c r="H516" s="22">
        <f>IFERROR(D516/G516*100000,"")</f>
        <v>40.708783362497236</v>
      </c>
    </row>
    <row r="517" spans="1:8" ht="15" customHeight="1" x14ac:dyDescent="0.3">
      <c r="A517" s="20" t="s">
        <v>11</v>
      </c>
      <c r="B517" s="20">
        <v>2019</v>
      </c>
      <c r="C517" s="20" t="s">
        <v>106</v>
      </c>
      <c r="D517" s="20">
        <v>2</v>
      </c>
      <c r="E517" s="20">
        <v>0</v>
      </c>
      <c r="F517" s="22">
        <f>IFERROR(E517/D517*100,"")</f>
        <v>0</v>
      </c>
      <c r="G517" s="23">
        <f>IFERROR(INDEX(Population_by_Province_Year!$B$5:$J$29,MATCH($A517,Population_by_Province_Year!$A$5:$A$29,0),MATCH($B517,Population_by_Province_Year!$B$4:$J$4,0)),"")</f>
        <v>44135</v>
      </c>
      <c r="H517" s="22">
        <f>IFERROR(D517/G517*100000,"")</f>
        <v>4.5315509233035005</v>
      </c>
    </row>
    <row r="518" spans="1:8" ht="15" customHeight="1" x14ac:dyDescent="0.3">
      <c r="A518" s="20" t="s">
        <v>12</v>
      </c>
      <c r="B518" s="20">
        <v>2019</v>
      </c>
      <c r="C518" s="20" t="s">
        <v>106</v>
      </c>
      <c r="D518" s="20">
        <v>6</v>
      </c>
      <c r="E518" s="20">
        <v>0</v>
      </c>
      <c r="F518" s="22">
        <f>IFERROR(E518/D518*100,"")</f>
        <v>0</v>
      </c>
      <c r="G518" s="23">
        <f>IFERROR(INDEX(Population_by_Province_Year!$B$5:$J$29,MATCH($A518,Population_by_Province_Year!$A$5:$A$29,0),MATCH($B518,Population_by_Province_Year!$B$4:$J$4,0)),"")</f>
        <v>130239</v>
      </c>
      <c r="H518" s="22">
        <f>IFERROR(D518/G518*100000,"")</f>
        <v>4.6069149793840554</v>
      </c>
    </row>
    <row r="519" spans="1:8" ht="15" customHeight="1" x14ac:dyDescent="0.3">
      <c r="A519" s="20" t="s">
        <v>13</v>
      </c>
      <c r="B519" s="20">
        <v>2019</v>
      </c>
      <c r="C519" s="20" t="s">
        <v>106</v>
      </c>
      <c r="D519" s="20">
        <v>4</v>
      </c>
      <c r="E519" s="20">
        <v>0</v>
      </c>
      <c r="F519" s="22">
        <f>IFERROR(E519/D519*100,"")</f>
        <v>0</v>
      </c>
      <c r="G519" s="23">
        <f>IFERROR(INDEX(Population_by_Province_Year!$B$5:$J$29,MATCH($A519,Population_by_Province_Year!$A$5:$A$29,0),MATCH($B519,Population_by_Province_Year!$B$4:$J$4,0)),"")</f>
        <v>387666</v>
      </c>
      <c r="H519" s="22">
        <f>IFERROR(D519/G519*100000,"")</f>
        <v>1.031816047834992</v>
      </c>
    </row>
    <row r="520" spans="1:8" ht="15" customHeight="1" x14ac:dyDescent="0.3">
      <c r="A520" s="20" t="s">
        <v>14</v>
      </c>
      <c r="B520" s="20">
        <v>2019</v>
      </c>
      <c r="C520" s="20" t="s">
        <v>106</v>
      </c>
      <c r="D520" s="20">
        <v>12</v>
      </c>
      <c r="E520" s="20">
        <v>0</v>
      </c>
      <c r="F520" s="22">
        <f>IFERROR(E520/D520*100,"")</f>
        <v>0</v>
      </c>
      <c r="G520" s="23">
        <f>IFERROR(INDEX(Population_by_Province_Year!$B$5:$J$29,MATCH($A520,Population_by_Province_Year!$A$5:$A$29,0),MATCH($B520,Population_by_Province_Year!$B$4:$J$4,0)),"")</f>
        <v>95390</v>
      </c>
      <c r="H520" s="22">
        <f>IFERROR(D520/G520*100000,"")</f>
        <v>12.579935003669148</v>
      </c>
    </row>
    <row r="521" spans="1:8" ht="15" customHeight="1" x14ac:dyDescent="0.3">
      <c r="A521" s="20" t="s">
        <v>15</v>
      </c>
      <c r="B521" s="20">
        <v>2019</v>
      </c>
      <c r="C521" s="20" t="s">
        <v>106</v>
      </c>
      <c r="D521" s="20">
        <v>76</v>
      </c>
      <c r="E521" s="20">
        <v>0</v>
      </c>
      <c r="F521" s="22">
        <f>IFERROR(E521/D521*100,"")</f>
        <v>0</v>
      </c>
      <c r="G521" s="23">
        <f>IFERROR(INDEX(Population_by_Province_Year!$B$5:$J$29,MATCH($A521,Population_by_Province_Year!$A$5:$A$29,0),MATCH($B521,Population_by_Province_Year!$B$4:$J$4,0)),"")</f>
        <v>285548</v>
      </c>
      <c r="H521" s="22">
        <f>IFERROR(D521/G521*100000,"")</f>
        <v>26.615490215305304</v>
      </c>
    </row>
    <row r="522" spans="1:8" ht="15" customHeight="1" x14ac:dyDescent="0.3">
      <c r="A522" s="20" t="s">
        <v>16</v>
      </c>
      <c r="B522" s="20">
        <v>2019</v>
      </c>
      <c r="C522" s="20" t="s">
        <v>106</v>
      </c>
      <c r="D522" s="20">
        <v>37</v>
      </c>
      <c r="E522" s="20">
        <v>0</v>
      </c>
      <c r="F522" s="22">
        <f>IFERROR(E522/D522*100,"")</f>
        <v>0</v>
      </c>
      <c r="G522" s="23">
        <f>IFERROR(INDEX(Population_by_Province_Year!$B$5:$J$29,MATCH($A522,Population_by_Province_Year!$A$5:$A$29,0),MATCH($B522,Population_by_Province_Year!$B$4:$J$4,0)),"")</f>
        <v>77701</v>
      </c>
      <c r="H522" s="22">
        <f>IFERROR(D522/G522*100000,"")</f>
        <v>47.618434769179288</v>
      </c>
    </row>
    <row r="523" spans="1:8" ht="15" customHeight="1" x14ac:dyDescent="0.3">
      <c r="A523" s="20" t="s">
        <v>17</v>
      </c>
      <c r="B523" s="20">
        <v>2019</v>
      </c>
      <c r="C523" s="20" t="s">
        <v>106</v>
      </c>
      <c r="D523" s="20">
        <v>910</v>
      </c>
      <c r="E523" s="20">
        <v>0</v>
      </c>
      <c r="F523" s="22">
        <f>IFERROR(E523/D523*100,"")</f>
        <v>0</v>
      </c>
      <c r="G523" s="23">
        <f>IFERROR(INDEX(Population_by_Province_Year!$B$5:$J$29,MATCH($A523,Population_by_Province_Year!$A$5:$A$29,0),MATCH($B523,Population_by_Province_Year!$B$4:$J$4,0)),"")</f>
        <v>2360562</v>
      </c>
      <c r="H523" s="22">
        <f>IFERROR(D523/G523*100000,"")</f>
        <v>38.550141872994651</v>
      </c>
    </row>
    <row r="524" spans="1:8" ht="15" customHeight="1" x14ac:dyDescent="0.3">
      <c r="A524" s="20" t="s">
        <v>18</v>
      </c>
      <c r="B524" s="20">
        <v>2019</v>
      </c>
      <c r="C524" s="20" t="s">
        <v>106</v>
      </c>
      <c r="D524" s="20">
        <v>123</v>
      </c>
      <c r="E524" s="20">
        <v>0</v>
      </c>
      <c r="F524" s="22">
        <f>IFERROR(E524/D524*100,"")</f>
        <v>0</v>
      </c>
      <c r="G524" s="23">
        <f>IFERROR(INDEX(Population_by_Province_Year!$B$5:$J$29,MATCH($A524,Population_by_Province_Year!$A$5:$A$29,0),MATCH($B524,Population_by_Province_Year!$B$4:$J$4,0)),"")</f>
        <v>320753</v>
      </c>
      <c r="H524" s="22">
        <f>IFERROR(D524/G524*100000,"")</f>
        <v>38.347264094178385</v>
      </c>
    </row>
    <row r="525" spans="1:8" ht="15" customHeight="1" x14ac:dyDescent="0.3">
      <c r="A525" s="20" t="s">
        <v>19</v>
      </c>
      <c r="B525" s="20">
        <v>2019</v>
      </c>
      <c r="C525" s="20" t="s">
        <v>106</v>
      </c>
      <c r="D525" s="20">
        <v>26</v>
      </c>
      <c r="E525" s="20">
        <v>0</v>
      </c>
      <c r="F525" s="22">
        <f>IFERROR(E525/D525*100,"")</f>
        <v>0</v>
      </c>
      <c r="G525" s="23">
        <f>IFERROR(INDEX(Population_by_Province_Year!$B$5:$J$29,MATCH($A525,Population_by_Province_Year!$A$5:$A$29,0),MATCH($B525,Population_by_Province_Year!$B$4:$J$4,0)),"")</f>
        <v>263606</v>
      </c>
      <c r="H525" s="22">
        <f>IFERROR(D525/G525*100000,"")</f>
        <v>9.8632049346372987</v>
      </c>
    </row>
    <row r="526" spans="1:8" ht="15" customHeight="1" x14ac:dyDescent="0.3">
      <c r="A526" s="20" t="s">
        <v>20</v>
      </c>
      <c r="B526" s="20">
        <v>2019</v>
      </c>
      <c r="C526" s="20" t="s">
        <v>106</v>
      </c>
      <c r="D526" s="20">
        <v>119</v>
      </c>
      <c r="E526" s="20">
        <v>0</v>
      </c>
      <c r="F526" s="22">
        <f>IFERROR(E526/D526*100,"")</f>
        <v>0</v>
      </c>
      <c r="G526" s="23">
        <f>IFERROR(INDEX(Population_by_Province_Year!$B$5:$J$29,MATCH($A526,Population_by_Province_Year!$A$5:$A$29,0),MATCH($B526,Population_by_Province_Year!$B$4:$J$4,0)),"")</f>
        <v>1094157</v>
      </c>
      <c r="H526" s="22">
        <f>IFERROR(D526/G526*100000,"")</f>
        <v>10.875952902554204</v>
      </c>
    </row>
    <row r="527" spans="1:8" ht="15" customHeight="1" x14ac:dyDescent="0.3">
      <c r="A527" s="20" t="s">
        <v>21</v>
      </c>
      <c r="B527" s="20">
        <v>2019</v>
      </c>
      <c r="C527" s="20" t="s">
        <v>106</v>
      </c>
      <c r="D527" s="20">
        <v>116</v>
      </c>
      <c r="E527" s="20">
        <v>0</v>
      </c>
      <c r="F527" s="22">
        <f>IFERROR(E527/D527*100,"")</f>
        <v>0</v>
      </c>
      <c r="G527" s="23">
        <f>IFERROR(INDEX(Population_by_Province_Year!$B$5:$J$29,MATCH($A527,Population_by_Province_Year!$A$5:$A$29,0),MATCH($B527,Population_by_Province_Year!$B$4:$J$4,0)),"")</f>
        <v>434419</v>
      </c>
      <c r="H527" s="22">
        <f>IFERROR(D527/G527*100000,"")</f>
        <v>26.702331159548727</v>
      </c>
    </row>
    <row r="528" spans="1:8" ht="15" customHeight="1" x14ac:dyDescent="0.3">
      <c r="A528" s="20" t="s">
        <v>22</v>
      </c>
      <c r="B528" s="20">
        <v>2019</v>
      </c>
      <c r="C528" s="20" t="s">
        <v>106</v>
      </c>
      <c r="D528" s="20">
        <v>17</v>
      </c>
      <c r="E528" s="20">
        <v>0</v>
      </c>
      <c r="F528" s="22">
        <f>IFERROR(E528/D528*100,"")</f>
        <v>0</v>
      </c>
      <c r="G528" s="23">
        <f>IFERROR(INDEX(Population_by_Province_Year!$B$5:$J$29,MATCH($A528,Population_by_Province_Year!$A$5:$A$29,0),MATCH($B528,Population_by_Province_Year!$B$4:$J$4,0)),"")</f>
        <v>224943</v>
      </c>
      <c r="H528" s="22">
        <f>IFERROR(D528/G528*100000,"")</f>
        <v>7.5574701146512666</v>
      </c>
    </row>
    <row r="529" spans="1:8" ht="15" customHeight="1" x14ac:dyDescent="0.3">
      <c r="A529" s="20" t="s">
        <v>23</v>
      </c>
      <c r="B529" s="20">
        <v>2019</v>
      </c>
      <c r="C529" s="20" t="s">
        <v>106</v>
      </c>
      <c r="D529" s="20">
        <v>505</v>
      </c>
      <c r="E529" s="20">
        <v>2</v>
      </c>
      <c r="F529" s="22">
        <f>IFERROR(E529/D529*100,"")</f>
        <v>0.39603960396039606</v>
      </c>
      <c r="G529" s="23">
        <f>IFERROR(INDEX(Population_by_Province_Year!$B$5:$J$29,MATCH($A529,Population_by_Province_Year!$A$5:$A$29,0),MATCH($B529,Population_by_Province_Year!$B$4:$J$4,0)),"")</f>
        <v>1049175</v>
      </c>
      <c r="H529" s="22">
        <f>IFERROR(D529/G529*100000,"")</f>
        <v>48.133056925679703</v>
      </c>
    </row>
    <row r="530" spans="1:8" ht="15" customHeight="1" x14ac:dyDescent="0.3">
      <c r="A530" s="20" t="s">
        <v>24</v>
      </c>
      <c r="B530" s="20">
        <v>2019</v>
      </c>
      <c r="C530" s="20" t="s">
        <v>106</v>
      </c>
      <c r="D530" s="20">
        <v>8</v>
      </c>
      <c r="E530" s="20">
        <v>0</v>
      </c>
      <c r="F530" s="22">
        <f>IFERROR(E530/D530*100,"")</f>
        <v>0</v>
      </c>
      <c r="G530" s="23">
        <f>IFERROR(INDEX(Population_by_Province_Year!$B$5:$J$29,MATCH($A530,Population_by_Province_Year!$A$5:$A$29,0),MATCH($B530,Population_by_Province_Year!$B$4:$J$4,0)),"")</f>
        <v>171422</v>
      </c>
      <c r="H530" s="22">
        <f>IFERROR(D530/G530*100000,"")</f>
        <v>4.6668455624132257</v>
      </c>
    </row>
    <row r="531" spans="1:8" ht="15" customHeight="1" x14ac:dyDescent="0.3">
      <c r="A531" s="20" t="s">
        <v>25</v>
      </c>
      <c r="B531" s="20">
        <v>2019</v>
      </c>
      <c r="C531" s="20" t="s">
        <v>106</v>
      </c>
      <c r="D531" s="20">
        <v>57</v>
      </c>
      <c r="E531" s="20">
        <v>0</v>
      </c>
      <c r="F531" s="22">
        <f>IFERROR(E531/D531*100,"")</f>
        <v>0</v>
      </c>
      <c r="G531" s="23">
        <f>IFERROR(INDEX(Population_by_Province_Year!$B$5:$J$29,MATCH($A531,Population_by_Province_Year!$A$5:$A$29,0),MATCH($B531,Population_by_Province_Year!$B$4:$J$4,0)),"")</f>
        <v>543599</v>
      </c>
      <c r="H531" s="22">
        <f>IFERROR(D531/G531*100000,"")</f>
        <v>10.485670503440955</v>
      </c>
    </row>
    <row r="532" spans="1:8" ht="15" customHeight="1" x14ac:dyDescent="0.3">
      <c r="A532" s="20" t="s">
        <v>26</v>
      </c>
      <c r="B532" s="20">
        <v>2019</v>
      </c>
      <c r="C532" s="20" t="s">
        <v>106</v>
      </c>
      <c r="D532" s="20">
        <v>81</v>
      </c>
      <c r="E532" s="20">
        <v>0</v>
      </c>
      <c r="F532" s="22">
        <f>IFERROR(E532/D532*100,"")</f>
        <v>0</v>
      </c>
      <c r="G532" s="23">
        <f>IFERROR(INDEX(Population_by_Province_Year!$B$5:$J$29,MATCH($A532,Population_by_Province_Year!$A$5:$A$29,0),MATCH($B532,Population_by_Province_Year!$B$4:$J$4,0)),"")</f>
        <v>931951</v>
      </c>
      <c r="H532" s="22">
        <f>IFERROR(D532/G532*100000,"")</f>
        <v>8.6914440780684821</v>
      </c>
    </row>
    <row r="533" spans="1:8" ht="15" customHeight="1" x14ac:dyDescent="0.3">
      <c r="A533" s="20" t="s">
        <v>27</v>
      </c>
      <c r="B533" s="20">
        <v>2019</v>
      </c>
      <c r="C533" s="20" t="s">
        <v>106</v>
      </c>
      <c r="D533" s="20">
        <v>125</v>
      </c>
      <c r="E533" s="20">
        <v>0</v>
      </c>
      <c r="F533" s="22">
        <f>IFERROR(E533/D533*100,"")</f>
        <v>0</v>
      </c>
      <c r="G533" s="23">
        <f>IFERROR(INDEX(Population_by_Province_Year!$B$5:$J$29,MATCH($A533,Population_by_Province_Year!$A$5:$A$29,0),MATCH($B533,Population_by_Province_Year!$B$4:$J$4,0)),"")</f>
        <v>803603</v>
      </c>
      <c r="H533" s="22">
        <f>IFERROR(D533/G533*100000,"")</f>
        <v>15.554944419072603</v>
      </c>
    </row>
    <row r="534" spans="1:8" ht="15" customHeight="1" x14ac:dyDescent="0.3">
      <c r="A534" s="20" t="s">
        <v>3</v>
      </c>
      <c r="B534" s="20">
        <v>2019</v>
      </c>
      <c r="C534" s="20" t="s">
        <v>105</v>
      </c>
      <c r="D534" s="20">
        <v>164</v>
      </c>
      <c r="E534" s="20">
        <v>0</v>
      </c>
      <c r="F534" s="22">
        <f>IFERROR(E534/D534*100,"")</f>
        <v>0</v>
      </c>
      <c r="G534" s="23">
        <f>IFERROR(INDEX(Population_by_Province_Year!$B$5:$J$29,MATCH($A534,Population_by_Province_Year!$A$5:$A$29,0),MATCH($B534,Population_by_Province_Year!$B$4:$J$4,0)),"")</f>
        <v>891574</v>
      </c>
      <c r="H534" s="22">
        <f>IFERROR(D534/G534*100000,"")</f>
        <v>18.394435010442205</v>
      </c>
    </row>
    <row r="535" spans="1:8" ht="15" customHeight="1" x14ac:dyDescent="0.3">
      <c r="A535" s="20" t="s">
        <v>4</v>
      </c>
      <c r="B535" s="20">
        <v>2019</v>
      </c>
      <c r="C535" s="20" t="s">
        <v>105</v>
      </c>
      <c r="D535" s="20">
        <v>68</v>
      </c>
      <c r="E535" s="20">
        <v>0</v>
      </c>
      <c r="F535" s="22">
        <f>IFERROR(E535/D535*100,"")</f>
        <v>0</v>
      </c>
      <c r="G535" s="23">
        <f>IFERROR(INDEX(Population_by_Province_Year!$B$5:$J$29,MATCH($A535,Population_by_Province_Year!$A$5:$A$29,0),MATCH($B535,Population_by_Province_Year!$B$4:$J$4,0)),"")</f>
        <v>1031520</v>
      </c>
      <c r="H535" s="22">
        <f>IFERROR(D535/G535*100000,"")</f>
        <v>6.5922134326043125</v>
      </c>
    </row>
    <row r="536" spans="1:8" ht="15" customHeight="1" x14ac:dyDescent="0.3">
      <c r="A536" s="20" t="s">
        <v>5</v>
      </c>
      <c r="B536" s="20">
        <v>2019</v>
      </c>
      <c r="C536" s="20" t="s">
        <v>105</v>
      </c>
      <c r="D536" s="20">
        <v>73</v>
      </c>
      <c r="E536" s="20">
        <v>0</v>
      </c>
      <c r="F536" s="22">
        <f>IFERROR(E536/D536*100,"")</f>
        <v>0</v>
      </c>
      <c r="G536" s="23">
        <f>IFERROR(INDEX(Population_by_Province_Year!$B$5:$J$29,MATCH($A536,Population_by_Province_Year!$A$5:$A$29,0),MATCH($B536,Population_by_Province_Year!$B$4:$J$4,0)),"")</f>
        <v>930789</v>
      </c>
      <c r="H536" s="22">
        <f>IFERROR(D536/G536*100000,"")</f>
        <v>7.842808627948977</v>
      </c>
    </row>
    <row r="537" spans="1:8" ht="15" customHeight="1" x14ac:dyDescent="0.3">
      <c r="A537" s="20" t="s">
        <v>6</v>
      </c>
      <c r="B537" s="20">
        <v>2019</v>
      </c>
      <c r="C537" s="20" t="s">
        <v>105</v>
      </c>
      <c r="D537" s="20">
        <v>11</v>
      </c>
      <c r="E537" s="20">
        <v>0</v>
      </c>
      <c r="F537" s="22">
        <f>IFERROR(E537/D537*100,"")</f>
        <v>0</v>
      </c>
      <c r="G537" s="23">
        <f>IFERROR(INDEX(Population_by_Province_Year!$B$5:$J$29,MATCH($A537,Population_by_Province_Year!$A$5:$A$29,0),MATCH($B537,Population_by_Province_Year!$B$4:$J$4,0)),"")</f>
        <v>545182</v>
      </c>
      <c r="H537" s="22">
        <f>IFERROR(D537/G537*100000,"")</f>
        <v>2.0176748315241517</v>
      </c>
    </row>
    <row r="538" spans="1:8" ht="15" customHeight="1" x14ac:dyDescent="0.3">
      <c r="A538" s="20" t="s">
        <v>7</v>
      </c>
      <c r="B538" s="20">
        <v>2019</v>
      </c>
      <c r="C538" s="20" t="s">
        <v>105</v>
      </c>
      <c r="D538" s="20">
        <v>87</v>
      </c>
      <c r="E538" s="20">
        <v>0</v>
      </c>
      <c r="F538" s="22">
        <f>IFERROR(E538/D538*100,"")</f>
        <v>0</v>
      </c>
      <c r="G538" s="23">
        <f>IFERROR(INDEX(Population_by_Province_Year!$B$5:$J$29,MATCH($A538,Population_by_Province_Year!$A$5:$A$29,0),MATCH($B538,Population_by_Province_Year!$B$4:$J$4,0)),"")</f>
        <v>907754</v>
      </c>
      <c r="H538" s="22">
        <f>IFERROR(D538/G538*100000,"")</f>
        <v>9.584094369179315</v>
      </c>
    </row>
    <row r="539" spans="1:8" ht="15" customHeight="1" x14ac:dyDescent="0.3">
      <c r="A539" s="20" t="s">
        <v>8</v>
      </c>
      <c r="B539" s="20">
        <v>2019</v>
      </c>
      <c r="C539" s="20" t="s">
        <v>105</v>
      </c>
      <c r="D539" s="20">
        <v>50</v>
      </c>
      <c r="E539" s="20">
        <v>0</v>
      </c>
      <c r="F539" s="22">
        <f>IFERROR(E539/D539*100,"")</f>
        <v>0</v>
      </c>
      <c r="G539" s="23">
        <f>IFERROR(INDEX(Population_by_Province_Year!$B$5:$J$29,MATCH($A539,Population_by_Province_Year!$A$5:$A$29,0),MATCH($B539,Population_by_Province_Year!$B$4:$J$4,0)),"")</f>
        <v>705028</v>
      </c>
      <c r="H539" s="22">
        <f>IFERROR(D539/G539*100000,"")</f>
        <v>7.0919169167749363</v>
      </c>
    </row>
    <row r="540" spans="1:8" ht="15" customHeight="1" x14ac:dyDescent="0.3">
      <c r="A540" s="20" t="s">
        <v>9</v>
      </c>
      <c r="B540" s="20">
        <v>2019</v>
      </c>
      <c r="C540" s="20" t="s">
        <v>105</v>
      </c>
      <c r="D540" s="20">
        <v>20</v>
      </c>
      <c r="E540" s="20">
        <v>0</v>
      </c>
      <c r="F540" s="22">
        <f>IFERROR(E540/D540*100,"")</f>
        <v>0</v>
      </c>
      <c r="G540" s="23">
        <f>IFERROR(INDEX(Population_by_Province_Year!$B$5:$J$29,MATCH($A540,Population_by_Province_Year!$A$5:$A$29,0),MATCH($B540,Population_by_Province_Year!$B$4:$J$4,0)),"")</f>
        <v>614285</v>
      </c>
      <c r="H540" s="22">
        <f>IFERROR(D540/G540*100000,"")</f>
        <v>3.255817739322953</v>
      </c>
    </row>
    <row r="541" spans="1:8" ht="15" customHeight="1" x14ac:dyDescent="0.3">
      <c r="A541" s="20" t="s">
        <v>10</v>
      </c>
      <c r="B541" s="20">
        <v>2019</v>
      </c>
      <c r="C541" s="20" t="s">
        <v>105</v>
      </c>
      <c r="D541" s="20">
        <v>327</v>
      </c>
      <c r="E541" s="20">
        <v>0</v>
      </c>
      <c r="F541" s="22">
        <f>IFERROR(E541/D541*100,"")</f>
        <v>0</v>
      </c>
      <c r="G541" s="23">
        <f>IFERROR(INDEX(Population_by_Province_Year!$B$5:$J$29,MATCH($A541,Population_by_Province_Year!$A$5:$A$29,0),MATCH($B541,Population_by_Province_Year!$B$4:$J$4,0)),"")</f>
        <v>1242975</v>
      </c>
      <c r="H541" s="22">
        <f>IFERROR(D541/G541*100000,"")</f>
        <v>26.307850117661257</v>
      </c>
    </row>
    <row r="542" spans="1:8" ht="15" customHeight="1" x14ac:dyDescent="0.3">
      <c r="A542" s="20" t="s">
        <v>11</v>
      </c>
      <c r="B542" s="20">
        <v>2019</v>
      </c>
      <c r="C542" s="20" t="s">
        <v>105</v>
      </c>
      <c r="D542" s="20">
        <v>3</v>
      </c>
      <c r="E542" s="20">
        <v>0</v>
      </c>
      <c r="F542" s="22">
        <f>IFERROR(E542/D542*100,"")</f>
        <v>0</v>
      </c>
      <c r="G542" s="23">
        <f>IFERROR(INDEX(Population_by_Province_Year!$B$5:$J$29,MATCH($A542,Population_by_Province_Year!$A$5:$A$29,0),MATCH($B542,Population_by_Province_Year!$B$4:$J$4,0)),"")</f>
        <v>44135</v>
      </c>
      <c r="H542" s="22">
        <f>IFERROR(D542/G542*100000,"")</f>
        <v>6.7973263849552508</v>
      </c>
    </row>
    <row r="543" spans="1:8" ht="15" customHeight="1" x14ac:dyDescent="0.3">
      <c r="A543" s="20" t="s">
        <v>12</v>
      </c>
      <c r="B543" s="20">
        <v>2019</v>
      </c>
      <c r="C543" s="20" t="s">
        <v>105</v>
      </c>
      <c r="D543" s="20">
        <v>7</v>
      </c>
      <c r="E543" s="20">
        <v>0</v>
      </c>
      <c r="F543" s="22">
        <f>IFERROR(E543/D543*100,"")</f>
        <v>0</v>
      </c>
      <c r="G543" s="23">
        <f>IFERROR(INDEX(Population_by_Province_Year!$B$5:$J$29,MATCH($A543,Population_by_Province_Year!$A$5:$A$29,0),MATCH($B543,Population_by_Province_Year!$B$4:$J$4,0)),"")</f>
        <v>130239</v>
      </c>
      <c r="H543" s="22">
        <f>IFERROR(D543/G543*100000,"")</f>
        <v>5.3747341426147317</v>
      </c>
    </row>
    <row r="544" spans="1:8" ht="15" customHeight="1" x14ac:dyDescent="0.3">
      <c r="A544" s="20" t="s">
        <v>13</v>
      </c>
      <c r="B544" s="20">
        <v>2019</v>
      </c>
      <c r="C544" s="20" t="s">
        <v>105</v>
      </c>
      <c r="D544" s="20">
        <v>3</v>
      </c>
      <c r="E544" s="20">
        <v>0</v>
      </c>
      <c r="F544" s="22">
        <f>IFERROR(E544/D544*100,"")</f>
        <v>0</v>
      </c>
      <c r="G544" s="23">
        <f>IFERROR(INDEX(Population_by_Province_Year!$B$5:$J$29,MATCH($A544,Population_by_Province_Year!$A$5:$A$29,0),MATCH($B544,Population_by_Province_Year!$B$4:$J$4,0)),"")</f>
        <v>387666</v>
      </c>
      <c r="H544" s="22">
        <f>IFERROR(D544/G544*100000,"")</f>
        <v>0.77386203587624403</v>
      </c>
    </row>
    <row r="545" spans="1:8" ht="15" customHeight="1" x14ac:dyDescent="0.3">
      <c r="A545" s="20" t="s">
        <v>14</v>
      </c>
      <c r="B545" s="20">
        <v>2019</v>
      </c>
      <c r="C545" s="20" t="s">
        <v>105</v>
      </c>
      <c r="D545" s="20">
        <v>8</v>
      </c>
      <c r="E545" s="20">
        <v>0</v>
      </c>
      <c r="F545" s="22">
        <f>IFERROR(E545/D545*100,"")</f>
        <v>0</v>
      </c>
      <c r="G545" s="23">
        <f>IFERROR(INDEX(Population_by_Province_Year!$B$5:$J$29,MATCH($A545,Population_by_Province_Year!$A$5:$A$29,0),MATCH($B545,Population_by_Province_Year!$B$4:$J$4,0)),"")</f>
        <v>95390</v>
      </c>
      <c r="H545" s="22">
        <f>IFERROR(D545/G545*100000,"")</f>
        <v>8.3866233357794329</v>
      </c>
    </row>
    <row r="546" spans="1:8" ht="15" customHeight="1" x14ac:dyDescent="0.3">
      <c r="A546" s="20" t="s">
        <v>15</v>
      </c>
      <c r="B546" s="20">
        <v>2019</v>
      </c>
      <c r="C546" s="20" t="s">
        <v>105</v>
      </c>
      <c r="D546" s="20">
        <v>22</v>
      </c>
      <c r="E546" s="20">
        <v>0</v>
      </c>
      <c r="F546" s="22">
        <f>IFERROR(E546/D546*100,"")</f>
        <v>0</v>
      </c>
      <c r="G546" s="23">
        <f>IFERROR(INDEX(Population_by_Province_Year!$B$5:$J$29,MATCH($A546,Population_by_Province_Year!$A$5:$A$29,0),MATCH($B546,Population_by_Province_Year!$B$4:$J$4,0)),"")</f>
        <v>285548</v>
      </c>
      <c r="H546" s="22">
        <f>IFERROR(D546/G546*100000,"")</f>
        <v>7.7044840096936422</v>
      </c>
    </row>
    <row r="547" spans="1:8" ht="15" customHeight="1" x14ac:dyDescent="0.3">
      <c r="A547" s="20" t="s">
        <v>16</v>
      </c>
      <c r="B547" s="20">
        <v>2019</v>
      </c>
      <c r="C547" s="20" t="s">
        <v>105</v>
      </c>
      <c r="D547" s="20">
        <v>23</v>
      </c>
      <c r="E547" s="20">
        <v>0</v>
      </c>
      <c r="F547" s="22">
        <f>IFERROR(E547/D547*100,"")</f>
        <v>0</v>
      </c>
      <c r="G547" s="23">
        <f>IFERROR(INDEX(Population_by_Province_Year!$B$5:$J$29,MATCH($A547,Population_by_Province_Year!$A$5:$A$29,0),MATCH($B547,Population_by_Province_Year!$B$4:$J$4,0)),"")</f>
        <v>77701</v>
      </c>
      <c r="H547" s="22">
        <f>IFERROR(D547/G547*100000,"")</f>
        <v>29.600648640300637</v>
      </c>
    </row>
    <row r="548" spans="1:8" ht="15" customHeight="1" x14ac:dyDescent="0.3">
      <c r="A548" s="20" t="s">
        <v>17</v>
      </c>
      <c r="B548" s="20">
        <v>2019</v>
      </c>
      <c r="C548" s="20" t="s">
        <v>105</v>
      </c>
      <c r="D548" s="20">
        <v>806</v>
      </c>
      <c r="E548" s="20">
        <v>0</v>
      </c>
      <c r="F548" s="22">
        <f>IFERROR(E548/D548*100,"")</f>
        <v>0</v>
      </c>
      <c r="G548" s="23">
        <f>IFERROR(INDEX(Population_by_Province_Year!$B$5:$J$29,MATCH($A548,Population_by_Province_Year!$A$5:$A$29,0),MATCH($B548,Population_by_Province_Year!$B$4:$J$4,0)),"")</f>
        <v>2360562</v>
      </c>
      <c r="H548" s="22">
        <f>IFERROR(D548/G548*100000,"")</f>
        <v>34.144411373223832</v>
      </c>
    </row>
    <row r="549" spans="1:8" ht="15" customHeight="1" x14ac:dyDescent="0.3">
      <c r="A549" s="20" t="s">
        <v>18</v>
      </c>
      <c r="B549" s="20">
        <v>2019</v>
      </c>
      <c r="C549" s="20" t="s">
        <v>105</v>
      </c>
      <c r="D549" s="20">
        <v>67</v>
      </c>
      <c r="E549" s="20">
        <v>0</v>
      </c>
      <c r="F549" s="22">
        <f>IFERROR(E549/D549*100,"")</f>
        <v>0</v>
      </c>
      <c r="G549" s="23">
        <f>IFERROR(INDEX(Population_by_Province_Year!$B$5:$J$29,MATCH($A549,Population_by_Province_Year!$A$5:$A$29,0),MATCH($B549,Population_by_Province_Year!$B$4:$J$4,0)),"")</f>
        <v>320753</v>
      </c>
      <c r="H549" s="22">
        <f>IFERROR(D549/G549*100000,"")</f>
        <v>20.88834710821099</v>
      </c>
    </row>
    <row r="550" spans="1:8" ht="15" customHeight="1" x14ac:dyDescent="0.3">
      <c r="A550" s="20" t="s">
        <v>19</v>
      </c>
      <c r="B550" s="20">
        <v>2019</v>
      </c>
      <c r="C550" s="20" t="s">
        <v>105</v>
      </c>
      <c r="D550" s="20">
        <v>14</v>
      </c>
      <c r="E550" s="20">
        <v>0</v>
      </c>
      <c r="F550" s="22">
        <f>IFERROR(E550/D550*100,"")</f>
        <v>0</v>
      </c>
      <c r="G550" s="23">
        <f>IFERROR(INDEX(Population_by_Province_Year!$B$5:$J$29,MATCH($A550,Population_by_Province_Year!$A$5:$A$29,0),MATCH($B550,Population_by_Province_Year!$B$4:$J$4,0)),"")</f>
        <v>263606</v>
      </c>
      <c r="H550" s="22">
        <f>IFERROR(D550/G550*100000,"")</f>
        <v>5.3109565032662385</v>
      </c>
    </row>
    <row r="551" spans="1:8" ht="15" customHeight="1" x14ac:dyDescent="0.3">
      <c r="A551" s="20" t="s">
        <v>20</v>
      </c>
      <c r="B551" s="20">
        <v>2019</v>
      </c>
      <c r="C551" s="20" t="s">
        <v>105</v>
      </c>
      <c r="D551" s="20">
        <v>80</v>
      </c>
      <c r="E551" s="20">
        <v>0</v>
      </c>
      <c r="F551" s="22">
        <f>IFERROR(E551/D551*100,"")</f>
        <v>0</v>
      </c>
      <c r="G551" s="23">
        <f>IFERROR(INDEX(Population_by_Province_Year!$B$5:$J$29,MATCH($A551,Population_by_Province_Year!$A$5:$A$29,0),MATCH($B551,Population_by_Province_Year!$B$4:$J$4,0)),"")</f>
        <v>1094157</v>
      </c>
      <c r="H551" s="22">
        <f>IFERROR(D551/G551*100000,"")</f>
        <v>7.3115649765070279</v>
      </c>
    </row>
    <row r="552" spans="1:8" ht="15" customHeight="1" x14ac:dyDescent="0.3">
      <c r="A552" s="20" t="s">
        <v>21</v>
      </c>
      <c r="B552" s="20">
        <v>2019</v>
      </c>
      <c r="C552" s="20" t="s">
        <v>105</v>
      </c>
      <c r="D552" s="20">
        <v>76</v>
      </c>
      <c r="E552" s="20">
        <v>0</v>
      </c>
      <c r="F552" s="22">
        <f>IFERROR(E552/D552*100,"")</f>
        <v>0</v>
      </c>
      <c r="G552" s="23">
        <f>IFERROR(INDEX(Population_by_Province_Year!$B$5:$J$29,MATCH($A552,Population_by_Province_Year!$A$5:$A$29,0),MATCH($B552,Population_by_Province_Year!$B$4:$J$4,0)),"")</f>
        <v>434419</v>
      </c>
      <c r="H552" s="22">
        <f>IFERROR(D552/G552*100000,"")</f>
        <v>17.494630759704343</v>
      </c>
    </row>
    <row r="553" spans="1:8" ht="15" customHeight="1" x14ac:dyDescent="0.3">
      <c r="A553" s="20" t="s">
        <v>22</v>
      </c>
      <c r="B553" s="20">
        <v>2019</v>
      </c>
      <c r="C553" s="20" t="s">
        <v>105</v>
      </c>
      <c r="D553" s="20">
        <v>3</v>
      </c>
      <c r="E553" s="20">
        <v>0</v>
      </c>
      <c r="F553" s="22">
        <f>IFERROR(E553/D553*100,"")</f>
        <v>0</v>
      </c>
      <c r="G553" s="23">
        <f>IFERROR(INDEX(Population_by_Province_Year!$B$5:$J$29,MATCH($A553,Population_by_Province_Year!$A$5:$A$29,0),MATCH($B553,Population_by_Province_Year!$B$4:$J$4,0)),"")</f>
        <v>224943</v>
      </c>
      <c r="H553" s="22">
        <f>IFERROR(D553/G553*100000,"")</f>
        <v>1.3336711967031649</v>
      </c>
    </row>
    <row r="554" spans="1:8" ht="15" customHeight="1" x14ac:dyDescent="0.3">
      <c r="A554" s="20" t="s">
        <v>23</v>
      </c>
      <c r="B554" s="20">
        <v>2019</v>
      </c>
      <c r="C554" s="20" t="s">
        <v>105</v>
      </c>
      <c r="D554" s="20">
        <v>227</v>
      </c>
      <c r="E554" s="20">
        <v>0</v>
      </c>
      <c r="F554" s="22">
        <f>IFERROR(E554/D554*100,"")</f>
        <v>0</v>
      </c>
      <c r="G554" s="23">
        <f>IFERROR(INDEX(Population_by_Province_Year!$B$5:$J$29,MATCH($A554,Population_by_Province_Year!$A$5:$A$29,0),MATCH($B554,Population_by_Province_Year!$B$4:$J$4,0)),"")</f>
        <v>1049175</v>
      </c>
      <c r="H554" s="22">
        <f>IFERROR(D554/G554*100000,"")</f>
        <v>21.636047370553051</v>
      </c>
    </row>
    <row r="555" spans="1:8" ht="15" customHeight="1" x14ac:dyDescent="0.3">
      <c r="A555" s="20" t="s">
        <v>24</v>
      </c>
      <c r="B555" s="20">
        <v>2019</v>
      </c>
      <c r="C555" s="20" t="s">
        <v>105</v>
      </c>
      <c r="D555" s="20">
        <v>7</v>
      </c>
      <c r="E555" s="20">
        <v>0</v>
      </c>
      <c r="F555" s="22">
        <f>IFERROR(E555/D555*100,"")</f>
        <v>0</v>
      </c>
      <c r="G555" s="23">
        <f>IFERROR(INDEX(Population_by_Province_Year!$B$5:$J$29,MATCH($A555,Population_by_Province_Year!$A$5:$A$29,0),MATCH($B555,Population_by_Province_Year!$B$4:$J$4,0)),"")</f>
        <v>171422</v>
      </c>
      <c r="H555" s="22">
        <f>IFERROR(D555/G555*100000,"")</f>
        <v>4.0834898671115729</v>
      </c>
    </row>
    <row r="556" spans="1:8" ht="15" customHeight="1" x14ac:dyDescent="0.3">
      <c r="A556" s="20" t="s">
        <v>25</v>
      </c>
      <c r="B556" s="20">
        <v>2019</v>
      </c>
      <c r="C556" s="20" t="s">
        <v>105</v>
      </c>
      <c r="D556" s="20">
        <v>28</v>
      </c>
      <c r="E556" s="20">
        <v>0</v>
      </c>
      <c r="F556" s="22">
        <f>IFERROR(E556/D556*100,"")</f>
        <v>0</v>
      </c>
      <c r="G556" s="23">
        <f>IFERROR(INDEX(Population_by_Province_Year!$B$5:$J$29,MATCH($A556,Population_by_Province_Year!$A$5:$A$29,0),MATCH($B556,Population_by_Province_Year!$B$4:$J$4,0)),"")</f>
        <v>543599</v>
      </c>
      <c r="H556" s="22">
        <f>IFERROR(D556/G556*100000,"")</f>
        <v>5.1508556859008197</v>
      </c>
    </row>
    <row r="557" spans="1:8" ht="15" customHeight="1" x14ac:dyDescent="0.3">
      <c r="A557" s="20" t="s">
        <v>26</v>
      </c>
      <c r="B557" s="20">
        <v>2019</v>
      </c>
      <c r="C557" s="20" t="s">
        <v>105</v>
      </c>
      <c r="D557" s="20">
        <v>49</v>
      </c>
      <c r="E557" s="20">
        <v>0</v>
      </c>
      <c r="F557" s="22">
        <f>IFERROR(E557/D557*100,"")</f>
        <v>0</v>
      </c>
      <c r="G557" s="23">
        <f>IFERROR(INDEX(Population_by_Province_Year!$B$5:$J$29,MATCH($A557,Population_by_Province_Year!$A$5:$A$29,0),MATCH($B557,Population_by_Province_Year!$B$4:$J$4,0)),"")</f>
        <v>931951</v>
      </c>
      <c r="H557" s="22">
        <f>IFERROR(D557/G557*100000,"")</f>
        <v>5.2577871583377238</v>
      </c>
    </row>
    <row r="558" spans="1:8" ht="15" customHeight="1" x14ac:dyDescent="0.3">
      <c r="A558" s="20" t="s">
        <v>27</v>
      </c>
      <c r="B558" s="20">
        <v>2019</v>
      </c>
      <c r="C558" s="20" t="s">
        <v>105</v>
      </c>
      <c r="D558" s="20">
        <v>59</v>
      </c>
      <c r="E558" s="20">
        <v>0</v>
      </c>
      <c r="F558" s="22">
        <f>IFERROR(E558/D558*100,"")</f>
        <v>0</v>
      </c>
      <c r="G558" s="23">
        <f>IFERROR(INDEX(Population_by_Province_Year!$B$5:$J$29,MATCH($A558,Population_by_Province_Year!$A$5:$A$29,0),MATCH($B558,Population_by_Province_Year!$B$4:$J$4,0)),"")</f>
        <v>803603</v>
      </c>
      <c r="H558" s="22">
        <f>IFERROR(D558/G558*100000,"")</f>
        <v>7.3419337658022688</v>
      </c>
    </row>
    <row r="559" spans="1:8" ht="15" customHeight="1" x14ac:dyDescent="0.3">
      <c r="A559" s="20" t="s">
        <v>3</v>
      </c>
      <c r="B559" s="20">
        <v>2019</v>
      </c>
      <c r="C559" s="20" t="s">
        <v>98</v>
      </c>
      <c r="D559" s="20">
        <v>53</v>
      </c>
      <c r="E559" s="20">
        <v>0</v>
      </c>
      <c r="F559" s="22">
        <f>IFERROR(E559/D559*100,"")</f>
        <v>0</v>
      </c>
      <c r="G559" s="23">
        <f>IFERROR(INDEX(Population_by_Province_Year!$B$5:$J$29,MATCH($A559,Population_by_Province_Year!$A$5:$A$29,0),MATCH($B559,Population_by_Province_Year!$B$4:$J$4,0)),"")</f>
        <v>891574</v>
      </c>
      <c r="H559" s="22">
        <f>IFERROR(D559/G559*100000,"")</f>
        <v>5.9445430216672985</v>
      </c>
    </row>
    <row r="560" spans="1:8" ht="15" customHeight="1" x14ac:dyDescent="0.3">
      <c r="A560" s="20" t="s">
        <v>4</v>
      </c>
      <c r="B560" s="20">
        <v>2019</v>
      </c>
      <c r="C560" s="20" t="s">
        <v>98</v>
      </c>
      <c r="D560" s="20">
        <v>21</v>
      </c>
      <c r="E560" s="20">
        <v>0</v>
      </c>
      <c r="F560" s="22">
        <f>IFERROR(E560/D560*100,"")</f>
        <v>0</v>
      </c>
      <c r="G560" s="23">
        <f>IFERROR(INDEX(Population_by_Province_Year!$B$5:$J$29,MATCH($A560,Population_by_Province_Year!$A$5:$A$29,0),MATCH($B560,Population_by_Province_Year!$B$4:$J$4,0)),"")</f>
        <v>1031520</v>
      </c>
      <c r="H560" s="22">
        <f>IFERROR(D560/G560*100000,"")</f>
        <v>2.0358306188925082</v>
      </c>
    </row>
    <row r="561" spans="1:8" ht="15" customHeight="1" x14ac:dyDescent="0.3">
      <c r="A561" s="20" t="s">
        <v>5</v>
      </c>
      <c r="B561" s="20">
        <v>2019</v>
      </c>
      <c r="C561" s="20" t="s">
        <v>98</v>
      </c>
      <c r="D561" s="20">
        <v>35</v>
      </c>
      <c r="E561" s="20">
        <v>0</v>
      </c>
      <c r="F561" s="22">
        <f>IFERROR(E561/D561*100,"")</f>
        <v>0</v>
      </c>
      <c r="G561" s="23">
        <f>IFERROR(INDEX(Population_by_Province_Year!$B$5:$J$29,MATCH($A561,Population_by_Province_Year!$A$5:$A$29,0),MATCH($B561,Population_by_Province_Year!$B$4:$J$4,0)),"")</f>
        <v>930789</v>
      </c>
      <c r="H561" s="22">
        <f>IFERROR(D561/G561*100000,"")</f>
        <v>3.7602507120303312</v>
      </c>
    </row>
    <row r="562" spans="1:8" ht="15" customHeight="1" x14ac:dyDescent="0.3">
      <c r="A562" s="20" t="s">
        <v>6</v>
      </c>
      <c r="B562" s="20">
        <v>2019</v>
      </c>
      <c r="C562" s="20" t="s">
        <v>98</v>
      </c>
      <c r="D562" s="20">
        <v>4</v>
      </c>
      <c r="E562" s="20">
        <v>0</v>
      </c>
      <c r="F562" s="22">
        <f>IFERROR(E562/D562*100,"")</f>
        <v>0</v>
      </c>
      <c r="G562" s="23">
        <f>IFERROR(INDEX(Population_by_Province_Year!$B$5:$J$29,MATCH($A562,Population_by_Province_Year!$A$5:$A$29,0),MATCH($B562,Population_by_Province_Year!$B$4:$J$4,0)),"")</f>
        <v>545182</v>
      </c>
      <c r="H562" s="22">
        <f>IFERROR(D562/G562*100000,"")</f>
        <v>0.7336999387360551</v>
      </c>
    </row>
    <row r="563" spans="1:8" ht="15" customHeight="1" x14ac:dyDescent="0.3">
      <c r="A563" s="20" t="s">
        <v>7</v>
      </c>
      <c r="B563" s="20">
        <v>2019</v>
      </c>
      <c r="C563" s="20" t="s">
        <v>98</v>
      </c>
      <c r="D563" s="20">
        <v>46</v>
      </c>
      <c r="E563" s="20">
        <v>1</v>
      </c>
      <c r="F563" s="22">
        <f>IFERROR(E563/D563*100,"")</f>
        <v>2.1739130434782608</v>
      </c>
      <c r="G563" s="23">
        <f>IFERROR(INDEX(Population_by_Province_Year!$B$5:$J$29,MATCH($A563,Population_by_Province_Year!$A$5:$A$29,0),MATCH($B563,Population_by_Province_Year!$B$4:$J$4,0)),"")</f>
        <v>907754</v>
      </c>
      <c r="H563" s="22">
        <f>IFERROR(D563/G563*100000,"")</f>
        <v>5.0674521951982587</v>
      </c>
    </row>
    <row r="564" spans="1:8" ht="15" customHeight="1" x14ac:dyDescent="0.3">
      <c r="A564" s="20" t="s">
        <v>8</v>
      </c>
      <c r="B564" s="20">
        <v>2019</v>
      </c>
      <c r="C564" s="20" t="s">
        <v>98</v>
      </c>
      <c r="D564" s="20">
        <v>31</v>
      </c>
      <c r="E564" s="20">
        <v>0</v>
      </c>
      <c r="F564" s="22">
        <f>IFERROR(E564/D564*100,"")</f>
        <v>0</v>
      </c>
      <c r="G564" s="23">
        <f>IFERROR(INDEX(Population_by_Province_Year!$B$5:$J$29,MATCH($A564,Population_by_Province_Year!$A$5:$A$29,0),MATCH($B564,Population_by_Province_Year!$B$4:$J$4,0)),"")</f>
        <v>705028</v>
      </c>
      <c r="H564" s="22">
        <f>IFERROR(D564/G564*100000,"")</f>
        <v>4.39698848840046</v>
      </c>
    </row>
    <row r="565" spans="1:8" ht="15" customHeight="1" x14ac:dyDescent="0.3">
      <c r="A565" s="20" t="s">
        <v>9</v>
      </c>
      <c r="B565" s="20">
        <v>2019</v>
      </c>
      <c r="C565" s="20" t="s">
        <v>98</v>
      </c>
      <c r="D565" s="20">
        <v>10</v>
      </c>
      <c r="E565" s="20">
        <v>0</v>
      </c>
      <c r="F565" s="22">
        <f>IFERROR(E565/D565*100,"")</f>
        <v>0</v>
      </c>
      <c r="G565" s="23">
        <f>IFERROR(INDEX(Population_by_Province_Year!$B$5:$J$29,MATCH($A565,Population_by_Province_Year!$A$5:$A$29,0),MATCH($B565,Population_by_Province_Year!$B$4:$J$4,0)),"")</f>
        <v>614285</v>
      </c>
      <c r="H565" s="22">
        <f>IFERROR(D565/G565*100000,"")</f>
        <v>1.6279088696614765</v>
      </c>
    </row>
    <row r="566" spans="1:8" ht="15" customHeight="1" x14ac:dyDescent="0.3">
      <c r="A566" s="20" t="s">
        <v>10</v>
      </c>
      <c r="B566" s="20">
        <v>2019</v>
      </c>
      <c r="C566" s="20" t="s">
        <v>98</v>
      </c>
      <c r="D566" s="20">
        <v>160</v>
      </c>
      <c r="E566" s="20">
        <v>0</v>
      </c>
      <c r="F566" s="22">
        <f>IFERROR(E566/D566*100,"")</f>
        <v>0</v>
      </c>
      <c r="G566" s="23">
        <f>IFERROR(INDEX(Population_by_Province_Year!$B$5:$J$29,MATCH($A566,Population_by_Province_Year!$A$5:$A$29,0),MATCH($B566,Population_by_Province_Year!$B$4:$J$4,0)),"")</f>
        <v>1242975</v>
      </c>
      <c r="H566" s="22">
        <f>IFERROR(D566/G566*100000,"")</f>
        <v>12.872342565216517</v>
      </c>
    </row>
    <row r="567" spans="1:8" ht="15" customHeight="1" x14ac:dyDescent="0.3">
      <c r="A567" s="20" t="s">
        <v>12</v>
      </c>
      <c r="B567" s="20">
        <v>2019</v>
      </c>
      <c r="C567" s="20" t="s">
        <v>98</v>
      </c>
      <c r="D567" s="20">
        <v>12</v>
      </c>
      <c r="E567" s="20">
        <v>0</v>
      </c>
      <c r="F567" s="22">
        <f>IFERROR(E567/D567*100,"")</f>
        <v>0</v>
      </c>
      <c r="G567" s="23">
        <f>IFERROR(INDEX(Population_by_Province_Year!$B$5:$J$29,MATCH($A567,Population_by_Province_Year!$A$5:$A$29,0),MATCH($B567,Population_by_Province_Year!$B$4:$J$4,0)),"")</f>
        <v>130239</v>
      </c>
      <c r="H567" s="22">
        <f>IFERROR(D567/G567*100000,"")</f>
        <v>9.2138299587681107</v>
      </c>
    </row>
    <row r="568" spans="1:8" ht="15" customHeight="1" x14ac:dyDescent="0.3">
      <c r="A568" s="20" t="s">
        <v>13</v>
      </c>
      <c r="B568" s="20">
        <v>2019</v>
      </c>
      <c r="C568" s="20" t="s">
        <v>98</v>
      </c>
      <c r="D568" s="20">
        <v>1</v>
      </c>
      <c r="E568" s="20">
        <v>0</v>
      </c>
      <c r="F568" s="22">
        <f>IFERROR(E568/D568*100,"")</f>
        <v>0</v>
      </c>
      <c r="G568" s="23">
        <f>IFERROR(INDEX(Population_by_Province_Year!$B$5:$J$29,MATCH($A568,Population_by_Province_Year!$A$5:$A$29,0),MATCH($B568,Population_by_Province_Year!$B$4:$J$4,0)),"")</f>
        <v>387666</v>
      </c>
      <c r="H568" s="22">
        <f>IFERROR(D568/G568*100000,"")</f>
        <v>0.25795401195874801</v>
      </c>
    </row>
    <row r="569" spans="1:8" ht="15" customHeight="1" x14ac:dyDescent="0.3">
      <c r="A569" s="20" t="s">
        <v>15</v>
      </c>
      <c r="B569" s="20">
        <v>2019</v>
      </c>
      <c r="C569" s="20" t="s">
        <v>98</v>
      </c>
      <c r="D569" s="20">
        <v>5</v>
      </c>
      <c r="E569" s="20">
        <v>0</v>
      </c>
      <c r="F569" s="22">
        <f>IFERROR(E569/D569*100,"")</f>
        <v>0</v>
      </c>
      <c r="G569" s="23">
        <f>IFERROR(INDEX(Population_by_Province_Year!$B$5:$J$29,MATCH($A569,Population_by_Province_Year!$A$5:$A$29,0),MATCH($B569,Population_by_Province_Year!$B$4:$J$4,0)),"")</f>
        <v>285548</v>
      </c>
      <c r="H569" s="22">
        <f>IFERROR(D569/G569*100000,"")</f>
        <v>1.7510190931121912</v>
      </c>
    </row>
    <row r="570" spans="1:8" ht="15" customHeight="1" x14ac:dyDescent="0.3">
      <c r="A570" s="20" t="s">
        <v>16</v>
      </c>
      <c r="B570" s="20">
        <v>2019</v>
      </c>
      <c r="C570" s="20" t="s">
        <v>98</v>
      </c>
      <c r="D570" s="20">
        <v>9</v>
      </c>
      <c r="E570" s="20">
        <v>0</v>
      </c>
      <c r="F570" s="22">
        <f>IFERROR(E570/D570*100,"")</f>
        <v>0</v>
      </c>
      <c r="G570" s="23">
        <f>IFERROR(INDEX(Population_by_Province_Year!$B$5:$J$29,MATCH($A570,Population_by_Province_Year!$A$5:$A$29,0),MATCH($B570,Population_by_Province_Year!$B$4:$J$4,0)),"")</f>
        <v>77701</v>
      </c>
      <c r="H570" s="22">
        <f>IFERROR(D570/G570*100000,"")</f>
        <v>11.58286251142199</v>
      </c>
    </row>
    <row r="571" spans="1:8" ht="15" customHeight="1" x14ac:dyDescent="0.3">
      <c r="A571" s="20" t="s">
        <v>17</v>
      </c>
      <c r="B571" s="20">
        <v>2019</v>
      </c>
      <c r="C571" s="20" t="s">
        <v>98</v>
      </c>
      <c r="D571" s="20">
        <v>465</v>
      </c>
      <c r="E571" s="20">
        <v>1</v>
      </c>
      <c r="F571" s="22">
        <f>IFERROR(E571/D571*100,"")</f>
        <v>0.21505376344086022</v>
      </c>
      <c r="G571" s="23">
        <f>IFERROR(INDEX(Population_by_Province_Year!$B$5:$J$29,MATCH($A571,Population_by_Province_Year!$A$5:$A$29,0),MATCH($B571,Population_by_Province_Year!$B$4:$J$4,0)),"")</f>
        <v>2360562</v>
      </c>
      <c r="H571" s="22">
        <f>IFERROR(D571/G571*100000,"")</f>
        <v>19.698698869167597</v>
      </c>
    </row>
    <row r="572" spans="1:8" ht="15" customHeight="1" x14ac:dyDescent="0.3">
      <c r="A572" s="20" t="s">
        <v>18</v>
      </c>
      <c r="B572" s="20">
        <v>2019</v>
      </c>
      <c r="C572" s="20" t="s">
        <v>98</v>
      </c>
      <c r="D572" s="20">
        <v>47</v>
      </c>
      <c r="E572" s="20">
        <v>0</v>
      </c>
      <c r="F572" s="22">
        <f>IFERROR(E572/D572*100,"")</f>
        <v>0</v>
      </c>
      <c r="G572" s="23">
        <f>IFERROR(INDEX(Population_by_Province_Year!$B$5:$J$29,MATCH($A572,Population_by_Province_Year!$A$5:$A$29,0),MATCH($B572,Population_by_Province_Year!$B$4:$J$4,0)),"")</f>
        <v>320753</v>
      </c>
      <c r="H572" s="22">
        <f>IFERROR(D572/G572*100000,"")</f>
        <v>14.653019613222638</v>
      </c>
    </row>
    <row r="573" spans="1:8" ht="15" customHeight="1" x14ac:dyDescent="0.3">
      <c r="A573" s="20" t="s">
        <v>19</v>
      </c>
      <c r="B573" s="20">
        <v>2019</v>
      </c>
      <c r="C573" s="20" t="s">
        <v>98</v>
      </c>
      <c r="D573" s="20">
        <v>5</v>
      </c>
      <c r="E573" s="20">
        <v>0</v>
      </c>
      <c r="F573" s="22">
        <f>IFERROR(E573/D573*100,"")</f>
        <v>0</v>
      </c>
      <c r="G573" s="23">
        <f>IFERROR(INDEX(Population_by_Province_Year!$B$5:$J$29,MATCH($A573,Population_by_Province_Year!$A$5:$A$29,0),MATCH($B573,Population_by_Province_Year!$B$4:$J$4,0)),"")</f>
        <v>263606</v>
      </c>
      <c r="H573" s="22">
        <f>IFERROR(D573/G573*100000,"")</f>
        <v>1.8967701797379424</v>
      </c>
    </row>
    <row r="574" spans="1:8" ht="15" customHeight="1" x14ac:dyDescent="0.3">
      <c r="A574" s="20" t="s">
        <v>20</v>
      </c>
      <c r="B574" s="20">
        <v>2019</v>
      </c>
      <c r="C574" s="20" t="s">
        <v>98</v>
      </c>
      <c r="D574" s="20">
        <v>32</v>
      </c>
      <c r="E574" s="20">
        <v>0</v>
      </c>
      <c r="F574" s="22">
        <f>IFERROR(E574/D574*100,"")</f>
        <v>0</v>
      </c>
      <c r="G574" s="23">
        <f>IFERROR(INDEX(Population_by_Province_Year!$B$5:$J$29,MATCH($A574,Population_by_Province_Year!$A$5:$A$29,0),MATCH($B574,Population_by_Province_Year!$B$4:$J$4,0)),"")</f>
        <v>1094157</v>
      </c>
      <c r="H574" s="22">
        <f>IFERROR(D574/G574*100000,"")</f>
        <v>2.9246259906028111</v>
      </c>
    </row>
    <row r="575" spans="1:8" ht="15" customHeight="1" x14ac:dyDescent="0.3">
      <c r="A575" s="20" t="s">
        <v>21</v>
      </c>
      <c r="B575" s="20">
        <v>2019</v>
      </c>
      <c r="C575" s="20" t="s">
        <v>98</v>
      </c>
      <c r="D575" s="20">
        <v>27</v>
      </c>
      <c r="E575" s="20">
        <v>0</v>
      </c>
      <c r="F575" s="22">
        <f>IFERROR(E575/D575*100,"")</f>
        <v>0</v>
      </c>
      <c r="G575" s="23">
        <f>IFERROR(INDEX(Population_by_Province_Year!$B$5:$J$29,MATCH($A575,Population_by_Province_Year!$A$5:$A$29,0),MATCH($B575,Population_by_Province_Year!$B$4:$J$4,0)),"")</f>
        <v>434419</v>
      </c>
      <c r="H575" s="22">
        <f>IFERROR(D575/G575*100000,"")</f>
        <v>6.2151977698949628</v>
      </c>
    </row>
    <row r="576" spans="1:8" ht="15" customHeight="1" x14ac:dyDescent="0.3">
      <c r="A576" s="20" t="s">
        <v>22</v>
      </c>
      <c r="B576" s="20">
        <v>2019</v>
      </c>
      <c r="C576" s="20" t="s">
        <v>98</v>
      </c>
      <c r="D576" s="20">
        <v>3</v>
      </c>
      <c r="E576" s="20">
        <v>0</v>
      </c>
      <c r="F576" s="22">
        <f>IFERROR(E576/D576*100,"")</f>
        <v>0</v>
      </c>
      <c r="G576" s="23">
        <f>IFERROR(INDEX(Population_by_Province_Year!$B$5:$J$29,MATCH($A576,Population_by_Province_Year!$A$5:$A$29,0),MATCH($B576,Population_by_Province_Year!$B$4:$J$4,0)),"")</f>
        <v>224943</v>
      </c>
      <c r="H576" s="22">
        <f>IFERROR(D576/G576*100000,"")</f>
        <v>1.3336711967031649</v>
      </c>
    </row>
    <row r="577" spans="1:8" ht="15" customHeight="1" x14ac:dyDescent="0.3">
      <c r="A577" s="20" t="s">
        <v>23</v>
      </c>
      <c r="B577" s="20">
        <v>2019</v>
      </c>
      <c r="C577" s="20" t="s">
        <v>98</v>
      </c>
      <c r="D577" s="20">
        <v>79</v>
      </c>
      <c r="E577" s="20">
        <v>0</v>
      </c>
      <c r="F577" s="22">
        <f>IFERROR(E577/D577*100,"")</f>
        <v>0</v>
      </c>
      <c r="G577" s="23">
        <f>IFERROR(INDEX(Population_by_Province_Year!$B$5:$J$29,MATCH($A577,Population_by_Province_Year!$A$5:$A$29,0),MATCH($B577,Population_by_Province_Year!$B$4:$J$4,0)),"")</f>
        <v>1049175</v>
      </c>
      <c r="H577" s="22">
        <f>IFERROR(D577/G577*100000,"")</f>
        <v>7.5297257368885084</v>
      </c>
    </row>
    <row r="578" spans="1:8" ht="15" customHeight="1" x14ac:dyDescent="0.3">
      <c r="A578" s="20" t="s">
        <v>25</v>
      </c>
      <c r="B578" s="20">
        <v>2019</v>
      </c>
      <c r="C578" s="20" t="s">
        <v>98</v>
      </c>
      <c r="D578" s="20">
        <v>22</v>
      </c>
      <c r="E578" s="20">
        <v>1</v>
      </c>
      <c r="F578" s="22">
        <f>IFERROR(E578/D578*100,"")</f>
        <v>4.5454545454545459</v>
      </c>
      <c r="G578" s="23">
        <f>IFERROR(INDEX(Population_by_Province_Year!$B$5:$J$29,MATCH($A578,Population_by_Province_Year!$A$5:$A$29,0),MATCH($B578,Population_by_Province_Year!$B$4:$J$4,0)),"")</f>
        <v>543599</v>
      </c>
      <c r="H578" s="22">
        <f>IFERROR(D578/G578*100000,"")</f>
        <v>4.0471008960649302</v>
      </c>
    </row>
    <row r="579" spans="1:8" ht="15" customHeight="1" x14ac:dyDescent="0.3">
      <c r="A579" s="20" t="s">
        <v>26</v>
      </c>
      <c r="B579" s="20">
        <v>2019</v>
      </c>
      <c r="C579" s="20" t="s">
        <v>98</v>
      </c>
      <c r="D579" s="20">
        <v>12</v>
      </c>
      <c r="E579" s="20">
        <v>0</v>
      </c>
      <c r="F579" s="22">
        <f>IFERROR(E579/D579*100,"")</f>
        <v>0</v>
      </c>
      <c r="G579" s="23">
        <f>IFERROR(INDEX(Population_by_Province_Year!$B$5:$J$29,MATCH($A579,Population_by_Province_Year!$A$5:$A$29,0),MATCH($B579,Population_by_Province_Year!$B$4:$J$4,0)),"")</f>
        <v>931951</v>
      </c>
      <c r="H579" s="22">
        <f>IFERROR(D579/G579*100000,"")</f>
        <v>1.2876213448990343</v>
      </c>
    </row>
    <row r="580" spans="1:8" ht="15" customHeight="1" x14ac:dyDescent="0.3">
      <c r="A580" s="20" t="s">
        <v>27</v>
      </c>
      <c r="B580" s="20">
        <v>2019</v>
      </c>
      <c r="C580" s="20" t="s">
        <v>98</v>
      </c>
      <c r="D580" s="20">
        <v>40</v>
      </c>
      <c r="E580" s="20">
        <v>0</v>
      </c>
      <c r="F580" s="22">
        <f>IFERROR(E580/D580*100,"")</f>
        <v>0</v>
      </c>
      <c r="G580" s="23">
        <f>IFERROR(INDEX(Population_by_Province_Year!$B$5:$J$29,MATCH($A580,Population_by_Province_Year!$A$5:$A$29,0),MATCH($B580,Population_by_Province_Year!$B$4:$J$4,0)),"")</f>
        <v>803603</v>
      </c>
      <c r="H580" s="22">
        <f>IFERROR(D580/G580*100000,"")</f>
        <v>4.9775822141032329</v>
      </c>
    </row>
    <row r="581" spans="1:8" ht="15" customHeight="1" x14ac:dyDescent="0.3">
      <c r="A581" s="20" t="s">
        <v>3</v>
      </c>
      <c r="B581" s="20">
        <v>2020</v>
      </c>
      <c r="C581" s="20" t="s">
        <v>100</v>
      </c>
      <c r="D581" s="20">
        <v>36</v>
      </c>
      <c r="E581" s="20">
        <v>0</v>
      </c>
      <c r="F581" s="22">
        <f>IFERROR(E581/D581*100,"")</f>
        <v>0</v>
      </c>
      <c r="G581" s="23">
        <f>IFERROR(INDEX(Population_by_Province_Year!$B$5:$J$29,MATCH($A581,Population_by_Province_Year!$A$5:$A$29,0),MATCH($B581,Population_by_Province_Year!$B$4:$J$4,0)),"")</f>
        <v>905435</v>
      </c>
      <c r="H581" s="22">
        <f>IFERROR(D581/G581*100000,"")</f>
        <v>3.9759894415391499</v>
      </c>
    </row>
    <row r="582" spans="1:8" ht="15" customHeight="1" x14ac:dyDescent="0.3">
      <c r="A582" s="20" t="s">
        <v>4</v>
      </c>
      <c r="B582" s="20">
        <v>2020</v>
      </c>
      <c r="C582" s="20" t="s">
        <v>100</v>
      </c>
      <c r="D582" s="20">
        <v>19</v>
      </c>
      <c r="E582" s="20">
        <v>0</v>
      </c>
      <c r="F582" s="22">
        <f>IFERROR(E582/D582*100,"")</f>
        <v>0</v>
      </c>
      <c r="G582" s="23">
        <f>IFERROR(INDEX(Population_by_Province_Year!$B$5:$J$29,MATCH($A582,Population_by_Province_Year!$A$5:$A$29,0),MATCH($B582,Population_by_Province_Year!$B$4:$J$4,0)),"")</f>
        <v>1047557</v>
      </c>
      <c r="H582" s="22">
        <f>IFERROR(D582/G582*100000,"")</f>
        <v>1.8137437867342781</v>
      </c>
    </row>
    <row r="583" spans="1:8" ht="15" customHeight="1" x14ac:dyDescent="0.3">
      <c r="A583" s="20" t="s">
        <v>5</v>
      </c>
      <c r="B583" s="20">
        <v>2020</v>
      </c>
      <c r="C583" s="20" t="s">
        <v>100</v>
      </c>
      <c r="D583" s="20">
        <v>16</v>
      </c>
      <c r="E583" s="20">
        <v>0</v>
      </c>
      <c r="F583" s="22">
        <f>IFERROR(E583/D583*100,"")</f>
        <v>0</v>
      </c>
      <c r="G583" s="23">
        <f>IFERROR(INDEX(Population_by_Province_Year!$B$5:$J$29,MATCH($A583,Population_by_Province_Year!$A$5:$A$29,0),MATCH($B583,Population_by_Province_Year!$B$4:$J$4,0)),"")</f>
        <v>945259</v>
      </c>
      <c r="H583" s="22">
        <f>IFERROR(D583/G583*100000,"")</f>
        <v>1.6926577795080502</v>
      </c>
    </row>
    <row r="584" spans="1:8" ht="15" customHeight="1" x14ac:dyDescent="0.3">
      <c r="A584" s="20" t="s">
        <v>6</v>
      </c>
      <c r="B584" s="20">
        <v>2020</v>
      </c>
      <c r="C584" s="20" t="s">
        <v>100</v>
      </c>
      <c r="D584" s="20">
        <v>8</v>
      </c>
      <c r="E584" s="20">
        <v>0</v>
      </c>
      <c r="F584" s="22">
        <f>IFERROR(E584/D584*100,"")</f>
        <v>0</v>
      </c>
      <c r="G584" s="23">
        <f>IFERROR(INDEX(Population_by_Province_Year!$B$5:$J$29,MATCH($A584,Population_by_Province_Year!$A$5:$A$29,0),MATCH($B584,Population_by_Province_Year!$B$4:$J$4,0)),"")</f>
        <v>553658</v>
      </c>
      <c r="H584" s="22">
        <f>IFERROR(D584/G584*100000,"")</f>
        <v>1.4449353210826901</v>
      </c>
    </row>
    <row r="585" spans="1:8" ht="15" customHeight="1" x14ac:dyDescent="0.3">
      <c r="A585" s="20" t="s">
        <v>7</v>
      </c>
      <c r="B585" s="20">
        <v>2020</v>
      </c>
      <c r="C585" s="20" t="s">
        <v>100</v>
      </c>
      <c r="D585" s="20">
        <v>42</v>
      </c>
      <c r="E585" s="20">
        <v>0</v>
      </c>
      <c r="F585" s="22">
        <f>IFERROR(E585/D585*100,"")</f>
        <v>0</v>
      </c>
      <c r="G585" s="23">
        <f>IFERROR(INDEX(Population_by_Province_Year!$B$5:$J$29,MATCH($A585,Population_by_Province_Year!$A$5:$A$29,0),MATCH($B585,Population_by_Province_Year!$B$4:$J$4,0)),"")</f>
        <v>921866</v>
      </c>
      <c r="H585" s="22">
        <f>IFERROR(D585/G585*100000,"")</f>
        <v>4.5559766820774392</v>
      </c>
    </row>
    <row r="586" spans="1:8" ht="15" customHeight="1" x14ac:dyDescent="0.3">
      <c r="A586" s="20" t="s">
        <v>8</v>
      </c>
      <c r="B586" s="20">
        <v>2020</v>
      </c>
      <c r="C586" s="20" t="s">
        <v>100</v>
      </c>
      <c r="D586" s="20">
        <v>40</v>
      </c>
      <c r="E586" s="20">
        <v>0</v>
      </c>
      <c r="F586" s="22">
        <f>IFERROR(E586/D586*100,"")</f>
        <v>0</v>
      </c>
      <c r="G586" s="23">
        <f>IFERROR(INDEX(Population_by_Province_Year!$B$5:$J$29,MATCH($A586,Population_by_Province_Year!$A$5:$A$29,0),MATCH($B586,Population_by_Province_Year!$B$4:$J$4,0)),"")</f>
        <v>715989</v>
      </c>
      <c r="H586" s="22">
        <f>IFERROR(D586/G586*100000,"")</f>
        <v>5.5866780076230222</v>
      </c>
    </row>
    <row r="587" spans="1:8" ht="15" customHeight="1" x14ac:dyDescent="0.3">
      <c r="A587" s="20" t="s">
        <v>9</v>
      </c>
      <c r="B587" s="20">
        <v>2020</v>
      </c>
      <c r="C587" s="20" t="s">
        <v>100</v>
      </c>
      <c r="D587" s="20">
        <v>6</v>
      </c>
      <c r="E587" s="20">
        <v>0</v>
      </c>
      <c r="F587" s="22">
        <f>IFERROR(E587/D587*100,"")</f>
        <v>0</v>
      </c>
      <c r="G587" s="23">
        <f>IFERROR(INDEX(Population_by_Province_Year!$B$5:$J$29,MATCH($A587,Population_by_Province_Year!$A$5:$A$29,0),MATCH($B587,Population_by_Province_Year!$B$4:$J$4,0)),"")</f>
        <v>623836</v>
      </c>
      <c r="H587" s="22">
        <f>IFERROR(D587/G587*100000,"")</f>
        <v>0.96179124000538607</v>
      </c>
    </row>
    <row r="588" spans="1:8" ht="15" customHeight="1" x14ac:dyDescent="0.3">
      <c r="A588" s="20" t="s">
        <v>10</v>
      </c>
      <c r="B588" s="20">
        <v>2020</v>
      </c>
      <c r="C588" s="20" t="s">
        <v>100</v>
      </c>
      <c r="D588" s="20">
        <v>121</v>
      </c>
      <c r="E588" s="20">
        <v>0</v>
      </c>
      <c r="F588" s="22">
        <f>IFERROR(E588/D588*100,"")</f>
        <v>0</v>
      </c>
      <c r="G588" s="23">
        <f>IFERROR(INDEX(Population_by_Province_Year!$B$5:$J$29,MATCH($A588,Population_by_Province_Year!$A$5:$A$29,0),MATCH($B588,Population_by_Province_Year!$B$4:$J$4,0)),"")</f>
        <v>1262299</v>
      </c>
      <c r="H588" s="22">
        <f>IFERROR(D588/G588*100000,"")</f>
        <v>9.585684532745411</v>
      </c>
    </row>
    <row r="589" spans="1:8" ht="15" customHeight="1" x14ac:dyDescent="0.3">
      <c r="A589" s="20" t="s">
        <v>12</v>
      </c>
      <c r="B589" s="20">
        <v>2020</v>
      </c>
      <c r="C589" s="20" t="s">
        <v>100</v>
      </c>
      <c r="D589" s="20">
        <v>5</v>
      </c>
      <c r="E589" s="20">
        <v>0</v>
      </c>
      <c r="F589" s="22">
        <f>IFERROR(E589/D589*100,"")</f>
        <v>0</v>
      </c>
      <c r="G589" s="23">
        <f>IFERROR(INDEX(Population_by_Province_Year!$B$5:$J$29,MATCH($A589,Population_by_Province_Year!$A$5:$A$29,0),MATCH($B589,Population_by_Province_Year!$B$4:$J$4,0)),"")</f>
        <v>132264</v>
      </c>
      <c r="H589" s="22">
        <f>IFERROR(D589/G589*100000,"")</f>
        <v>3.7803181515756368</v>
      </c>
    </row>
    <row r="590" spans="1:8" ht="15" customHeight="1" x14ac:dyDescent="0.3">
      <c r="A590" s="20" t="s">
        <v>13</v>
      </c>
      <c r="B590" s="20">
        <v>2020</v>
      </c>
      <c r="C590" s="20" t="s">
        <v>100</v>
      </c>
      <c r="D590" s="20">
        <v>8</v>
      </c>
      <c r="E590" s="20">
        <v>0</v>
      </c>
      <c r="F590" s="22">
        <f>IFERROR(E590/D590*100,"")</f>
        <v>0</v>
      </c>
      <c r="G590" s="23">
        <f>IFERROR(INDEX(Population_by_Province_Year!$B$5:$J$29,MATCH($A590,Population_by_Province_Year!$A$5:$A$29,0),MATCH($B590,Population_by_Province_Year!$B$4:$J$4,0)),"")</f>
        <v>393692</v>
      </c>
      <c r="H590" s="22">
        <f>IFERROR(D590/G590*100000,"")</f>
        <v>2.0320453552523294</v>
      </c>
    </row>
    <row r="591" spans="1:8" ht="15" customHeight="1" x14ac:dyDescent="0.3">
      <c r="A591" s="20" t="s">
        <v>14</v>
      </c>
      <c r="B591" s="20">
        <v>2020</v>
      </c>
      <c r="C591" s="20" t="s">
        <v>100</v>
      </c>
      <c r="D591" s="20">
        <v>1</v>
      </c>
      <c r="E591" s="20">
        <v>0</v>
      </c>
      <c r="F591" s="22">
        <f>IFERROR(E591/D591*100,"")</f>
        <v>0</v>
      </c>
      <c r="G591" s="23">
        <f>IFERROR(INDEX(Population_by_Province_Year!$B$5:$J$29,MATCH($A591,Population_by_Province_Year!$A$5:$A$29,0),MATCH($B591,Population_by_Province_Year!$B$4:$J$4,0)),"")</f>
        <v>96873</v>
      </c>
      <c r="H591" s="22">
        <f>IFERROR(D591/G591*100000,"")</f>
        <v>1.032279376090345</v>
      </c>
    </row>
    <row r="592" spans="1:8" ht="15" customHeight="1" x14ac:dyDescent="0.3">
      <c r="A592" s="20" t="s">
        <v>15</v>
      </c>
      <c r="B592" s="20">
        <v>2020</v>
      </c>
      <c r="C592" s="20" t="s">
        <v>100</v>
      </c>
      <c r="D592" s="20">
        <v>2</v>
      </c>
      <c r="E592" s="20">
        <v>0</v>
      </c>
      <c r="F592" s="22">
        <f>IFERROR(E592/D592*100,"")</f>
        <v>0</v>
      </c>
      <c r="G592" s="23">
        <f>IFERROR(INDEX(Population_by_Province_Year!$B$5:$J$29,MATCH($A592,Population_by_Province_Year!$A$5:$A$29,0),MATCH($B592,Population_by_Province_Year!$B$4:$J$4,0)),"")</f>
        <v>289987</v>
      </c>
      <c r="H592" s="22">
        <f>IFERROR(D592/G592*100000,"")</f>
        <v>0.6896860893764204</v>
      </c>
    </row>
    <row r="593" spans="1:8" ht="15" customHeight="1" x14ac:dyDescent="0.3">
      <c r="A593" s="20" t="s">
        <v>16</v>
      </c>
      <c r="B593" s="20">
        <v>2020</v>
      </c>
      <c r="C593" s="20" t="s">
        <v>100</v>
      </c>
      <c r="D593" s="20">
        <v>7</v>
      </c>
      <c r="E593" s="20">
        <v>0</v>
      </c>
      <c r="F593" s="22">
        <f>IFERROR(E593/D593*100,"")</f>
        <v>0</v>
      </c>
      <c r="G593" s="23">
        <f>IFERROR(INDEX(Population_by_Province_Year!$B$5:$J$29,MATCH($A593,Population_by_Province_Year!$A$5:$A$29,0),MATCH($B593,Population_by_Province_Year!$B$4:$J$4,0)),"")</f>
        <v>78908</v>
      </c>
      <c r="H593" s="22">
        <f>IFERROR(D593/G593*100000,"")</f>
        <v>8.8710903837380233</v>
      </c>
    </row>
    <row r="594" spans="1:8" ht="15" customHeight="1" x14ac:dyDescent="0.3">
      <c r="A594" s="20" t="s">
        <v>17</v>
      </c>
      <c r="B594" s="20">
        <v>2020</v>
      </c>
      <c r="C594" s="20" t="s">
        <v>100</v>
      </c>
      <c r="D594" s="20">
        <v>374</v>
      </c>
      <c r="E594" s="20">
        <v>0</v>
      </c>
      <c r="F594" s="22">
        <f>IFERROR(E594/D594*100,"")</f>
        <v>0</v>
      </c>
      <c r="G594" s="23">
        <f>IFERROR(INDEX(Population_by_Province_Year!$B$5:$J$29,MATCH($A594,Population_by_Province_Year!$A$5:$A$29,0),MATCH($B594,Population_by_Province_Year!$B$4:$J$4,0)),"")</f>
        <v>2397261</v>
      </c>
      <c r="H594" s="22">
        <f>IFERROR(D594/G594*100000,"")</f>
        <v>15.601138132226737</v>
      </c>
    </row>
    <row r="595" spans="1:8" ht="15" customHeight="1" x14ac:dyDescent="0.3">
      <c r="A595" s="20" t="s">
        <v>18</v>
      </c>
      <c r="B595" s="20">
        <v>2020</v>
      </c>
      <c r="C595" s="20" t="s">
        <v>100</v>
      </c>
      <c r="D595" s="20">
        <v>39</v>
      </c>
      <c r="E595" s="20">
        <v>0</v>
      </c>
      <c r="F595" s="22">
        <f>IFERROR(E595/D595*100,"")</f>
        <v>0</v>
      </c>
      <c r="G595" s="23">
        <f>IFERROR(INDEX(Population_by_Province_Year!$B$5:$J$29,MATCH($A595,Population_by_Province_Year!$A$5:$A$29,0),MATCH($B595,Population_by_Province_Year!$B$4:$J$4,0)),"")</f>
        <v>325740</v>
      </c>
      <c r="H595" s="22">
        <f>IFERROR(D595/G595*100000,"")</f>
        <v>11.972738994289925</v>
      </c>
    </row>
    <row r="596" spans="1:8" ht="15" customHeight="1" x14ac:dyDescent="0.3">
      <c r="A596" s="20" t="s">
        <v>19</v>
      </c>
      <c r="B596" s="20">
        <v>2020</v>
      </c>
      <c r="C596" s="20" t="s">
        <v>100</v>
      </c>
      <c r="D596" s="20">
        <v>13</v>
      </c>
      <c r="E596" s="20">
        <v>0</v>
      </c>
      <c r="F596" s="22">
        <f>IFERROR(E596/D596*100,"")</f>
        <v>0</v>
      </c>
      <c r="G596" s="23">
        <f>IFERROR(INDEX(Population_by_Province_Year!$B$5:$J$29,MATCH($A596,Population_by_Province_Year!$A$5:$A$29,0),MATCH($B596,Population_by_Province_Year!$B$4:$J$4,0)),"")</f>
        <v>267704</v>
      </c>
      <c r="H596" s="22">
        <f>IFERROR(D596/G596*100000,"")</f>
        <v>4.8561097331380925</v>
      </c>
    </row>
    <row r="597" spans="1:8" ht="15" customHeight="1" x14ac:dyDescent="0.3">
      <c r="A597" s="20" t="s">
        <v>20</v>
      </c>
      <c r="B597" s="20">
        <v>2020</v>
      </c>
      <c r="C597" s="20" t="s">
        <v>100</v>
      </c>
      <c r="D597" s="20">
        <v>22</v>
      </c>
      <c r="E597" s="20">
        <v>0</v>
      </c>
      <c r="F597" s="22">
        <f>IFERROR(E597/D597*100,"")</f>
        <v>0</v>
      </c>
      <c r="G597" s="23">
        <f>IFERROR(INDEX(Population_by_Province_Year!$B$5:$J$29,MATCH($A597,Population_by_Province_Year!$A$5:$A$29,0),MATCH($B597,Population_by_Province_Year!$B$4:$J$4,0)),"")</f>
        <v>1111168</v>
      </c>
      <c r="H597" s="22">
        <f>IFERROR(D597/G597*100000,"")</f>
        <v>1.9798986291901854</v>
      </c>
    </row>
    <row r="598" spans="1:8" ht="15" customHeight="1" x14ac:dyDescent="0.3">
      <c r="A598" s="20" t="s">
        <v>21</v>
      </c>
      <c r="B598" s="20">
        <v>2020</v>
      </c>
      <c r="C598" s="20" t="s">
        <v>100</v>
      </c>
      <c r="D598" s="20">
        <v>7</v>
      </c>
      <c r="E598" s="20">
        <v>0</v>
      </c>
      <c r="F598" s="22">
        <f>IFERROR(E598/D598*100,"")</f>
        <v>0</v>
      </c>
      <c r="G598" s="23">
        <f>IFERROR(INDEX(Population_by_Province_Year!$B$5:$J$29,MATCH($A598,Population_by_Province_Year!$A$5:$A$29,0),MATCH($B598,Population_by_Province_Year!$B$4:$J$4,0)),"")</f>
        <v>441173</v>
      </c>
      <c r="H598" s="22">
        <f>IFERROR(D598/G598*100000,"")</f>
        <v>1.5866791485426353</v>
      </c>
    </row>
    <row r="599" spans="1:8" ht="15" customHeight="1" x14ac:dyDescent="0.3">
      <c r="A599" s="20" t="s">
        <v>22</v>
      </c>
      <c r="B599" s="20">
        <v>2020</v>
      </c>
      <c r="C599" s="20" t="s">
        <v>100</v>
      </c>
      <c r="D599" s="20">
        <v>5</v>
      </c>
      <c r="E599" s="20">
        <v>0</v>
      </c>
      <c r="F599" s="22">
        <f>IFERROR(E599/D599*100,"")</f>
        <v>0</v>
      </c>
      <c r="G599" s="23">
        <f>IFERROR(INDEX(Population_by_Province_Year!$B$5:$J$29,MATCH($A599,Population_by_Province_Year!$A$5:$A$29,0),MATCH($B599,Population_by_Province_Year!$B$4:$J$4,0)),"")</f>
        <v>228441</v>
      </c>
      <c r="H599" s="22">
        <f>IFERROR(D599/G599*100000,"")</f>
        <v>2.1887489548723744</v>
      </c>
    </row>
    <row r="600" spans="1:8" ht="15" customHeight="1" x14ac:dyDescent="0.3">
      <c r="A600" s="20" t="s">
        <v>23</v>
      </c>
      <c r="B600" s="20">
        <v>2020</v>
      </c>
      <c r="C600" s="20" t="s">
        <v>100</v>
      </c>
      <c r="D600" s="20">
        <v>68</v>
      </c>
      <c r="E600" s="20">
        <v>0</v>
      </c>
      <c r="F600" s="22">
        <f>IFERROR(E600/D600*100,"")</f>
        <v>0</v>
      </c>
      <c r="G600" s="23">
        <f>IFERROR(INDEX(Population_by_Province_Year!$B$5:$J$29,MATCH($A600,Population_by_Province_Year!$A$5:$A$29,0),MATCH($B600,Population_by_Province_Year!$B$4:$J$4,0)),"")</f>
        <v>1065485</v>
      </c>
      <c r="H600" s="22">
        <f>IFERROR(D600/G600*100000,"")</f>
        <v>6.3820701370737272</v>
      </c>
    </row>
    <row r="601" spans="1:8" ht="15" customHeight="1" x14ac:dyDescent="0.3">
      <c r="A601" s="20" t="s">
        <v>24</v>
      </c>
      <c r="B601" s="20">
        <v>2020</v>
      </c>
      <c r="C601" s="20" t="s">
        <v>100</v>
      </c>
      <c r="D601" s="20">
        <v>6</v>
      </c>
      <c r="E601" s="20">
        <v>0</v>
      </c>
      <c r="F601" s="22">
        <f>IFERROR(E601/D601*100,"")</f>
        <v>0</v>
      </c>
      <c r="G601" s="23">
        <f>IFERROR(INDEX(Population_by_Province_Year!$B$5:$J$29,MATCH($A601,Population_by_Province_Year!$A$5:$A$29,0),MATCH($B601,Population_by_Province_Year!$B$4:$J$4,0)),"")</f>
        <v>174087</v>
      </c>
      <c r="H601" s="22">
        <f>IFERROR(D601/G601*100000,"")</f>
        <v>3.4465525857760775</v>
      </c>
    </row>
    <row r="602" spans="1:8" ht="15" customHeight="1" x14ac:dyDescent="0.3">
      <c r="A602" s="20" t="s">
        <v>25</v>
      </c>
      <c r="B602" s="20">
        <v>2020</v>
      </c>
      <c r="C602" s="20" t="s">
        <v>100</v>
      </c>
      <c r="D602" s="20">
        <v>20</v>
      </c>
      <c r="E602" s="20">
        <v>0</v>
      </c>
      <c r="F602" s="22">
        <f>IFERROR(E602/D602*100,"")</f>
        <v>0</v>
      </c>
      <c r="G602" s="23">
        <f>IFERROR(INDEX(Population_by_Province_Year!$B$5:$J$29,MATCH($A602,Population_by_Province_Year!$A$5:$A$29,0),MATCH($B602,Population_by_Province_Year!$B$4:$J$4,0)),"")</f>
        <v>552051</v>
      </c>
      <c r="H602" s="22">
        <f>IFERROR(D602/G602*100000,"")</f>
        <v>3.6228536856196256</v>
      </c>
    </row>
    <row r="603" spans="1:8" ht="15" customHeight="1" x14ac:dyDescent="0.3">
      <c r="A603" s="20" t="s">
        <v>26</v>
      </c>
      <c r="B603" s="20">
        <v>2020</v>
      </c>
      <c r="C603" s="20" t="s">
        <v>100</v>
      </c>
      <c r="D603" s="20">
        <v>33</v>
      </c>
      <c r="E603" s="20">
        <v>0</v>
      </c>
      <c r="F603" s="22">
        <f>IFERROR(E603/D603*100,"")</f>
        <v>0</v>
      </c>
      <c r="G603" s="23">
        <f>IFERROR(INDEX(Population_by_Province_Year!$B$5:$J$29,MATCH($A603,Population_by_Province_Year!$A$5:$A$29,0),MATCH($B603,Population_by_Province_Year!$B$4:$J$4,0)),"")</f>
        <v>946439</v>
      </c>
      <c r="H603" s="22">
        <f>IFERROR(D603/G603*100000,"")</f>
        <v>3.4867540327480162</v>
      </c>
    </row>
    <row r="604" spans="1:8" ht="15" customHeight="1" x14ac:dyDescent="0.3">
      <c r="A604" s="20" t="s">
        <v>27</v>
      </c>
      <c r="B604" s="20">
        <v>2020</v>
      </c>
      <c r="C604" s="20" t="s">
        <v>100</v>
      </c>
      <c r="D604" s="20">
        <v>30</v>
      </c>
      <c r="E604" s="20">
        <v>0</v>
      </c>
      <c r="F604" s="22">
        <f>IFERROR(E604/D604*100,"")</f>
        <v>0</v>
      </c>
      <c r="G604" s="23">
        <f>IFERROR(INDEX(Population_by_Province_Year!$B$5:$J$29,MATCH($A604,Population_by_Province_Year!$A$5:$A$29,0),MATCH($B604,Population_by_Province_Year!$B$4:$J$4,0)),"")</f>
        <v>816096</v>
      </c>
      <c r="H604" s="22">
        <f>IFERROR(D604/G604*100000,"")</f>
        <v>3.6760381131631572</v>
      </c>
    </row>
    <row r="605" spans="1:8" ht="15" customHeight="1" x14ac:dyDescent="0.3">
      <c r="A605" s="20" t="s">
        <v>3</v>
      </c>
      <c r="B605" s="20">
        <v>2020</v>
      </c>
      <c r="C605" s="20" t="s">
        <v>99</v>
      </c>
      <c r="D605" s="20">
        <v>24</v>
      </c>
      <c r="E605" s="20">
        <v>0</v>
      </c>
      <c r="F605" s="22">
        <f>IFERROR(E605/D605*100,"")</f>
        <v>0</v>
      </c>
      <c r="G605" s="23">
        <f>IFERROR(INDEX(Population_by_Province_Year!$B$5:$J$29,MATCH($A605,Population_by_Province_Year!$A$5:$A$29,0),MATCH($B605,Population_by_Province_Year!$B$4:$J$4,0)),"")</f>
        <v>905435</v>
      </c>
      <c r="H605" s="22">
        <f>IFERROR(D605/G605*100000,"")</f>
        <v>2.6506596276927663</v>
      </c>
    </row>
    <row r="606" spans="1:8" ht="15" customHeight="1" x14ac:dyDescent="0.3">
      <c r="A606" s="20" t="s">
        <v>4</v>
      </c>
      <c r="B606" s="20">
        <v>2020</v>
      </c>
      <c r="C606" s="20" t="s">
        <v>99</v>
      </c>
      <c r="D606" s="20">
        <v>8</v>
      </c>
      <c r="E606" s="20">
        <v>0</v>
      </c>
      <c r="F606" s="22">
        <f>IFERROR(E606/D606*100,"")</f>
        <v>0</v>
      </c>
      <c r="G606" s="23">
        <f>IFERROR(INDEX(Population_by_Province_Year!$B$5:$J$29,MATCH($A606,Population_by_Province_Year!$A$5:$A$29,0),MATCH($B606,Population_by_Province_Year!$B$4:$J$4,0)),"")</f>
        <v>1047557</v>
      </c>
      <c r="H606" s="22">
        <f>IFERROR(D606/G606*100000,"")</f>
        <v>0.76368159441443284</v>
      </c>
    </row>
    <row r="607" spans="1:8" ht="15" customHeight="1" x14ac:dyDescent="0.3">
      <c r="A607" s="20" t="s">
        <v>5</v>
      </c>
      <c r="B607" s="20">
        <v>2020</v>
      </c>
      <c r="C607" s="20" t="s">
        <v>99</v>
      </c>
      <c r="D607" s="20">
        <v>10</v>
      </c>
      <c r="E607" s="20">
        <v>0</v>
      </c>
      <c r="F607" s="22">
        <f>IFERROR(E607/D607*100,"")</f>
        <v>0</v>
      </c>
      <c r="G607" s="23">
        <f>IFERROR(INDEX(Population_by_Province_Year!$B$5:$J$29,MATCH($A607,Population_by_Province_Year!$A$5:$A$29,0),MATCH($B607,Population_by_Province_Year!$B$4:$J$4,0)),"")</f>
        <v>945259</v>
      </c>
      <c r="H607" s="22">
        <f>IFERROR(D607/G607*100000,"")</f>
        <v>1.0579111121925313</v>
      </c>
    </row>
    <row r="608" spans="1:8" ht="15" customHeight="1" x14ac:dyDescent="0.3">
      <c r="A608" s="20" t="s">
        <v>6</v>
      </c>
      <c r="B608" s="20">
        <v>2020</v>
      </c>
      <c r="C608" s="20" t="s">
        <v>99</v>
      </c>
      <c r="D608" s="20">
        <v>12</v>
      </c>
      <c r="E608" s="20">
        <v>0</v>
      </c>
      <c r="F608" s="22">
        <f>IFERROR(E608/D608*100,"")</f>
        <v>0</v>
      </c>
      <c r="G608" s="23">
        <f>IFERROR(INDEX(Population_by_Province_Year!$B$5:$J$29,MATCH($A608,Population_by_Province_Year!$A$5:$A$29,0),MATCH($B608,Population_by_Province_Year!$B$4:$J$4,0)),"")</f>
        <v>553658</v>
      </c>
      <c r="H608" s="22">
        <f>IFERROR(D608/G608*100000,"")</f>
        <v>2.167402981624035</v>
      </c>
    </row>
    <row r="609" spans="1:8" ht="15" customHeight="1" x14ac:dyDescent="0.3">
      <c r="A609" s="20" t="s">
        <v>7</v>
      </c>
      <c r="B609" s="20">
        <v>2020</v>
      </c>
      <c r="C609" s="20" t="s">
        <v>99</v>
      </c>
      <c r="D609" s="20">
        <v>31</v>
      </c>
      <c r="E609" s="20">
        <v>0</v>
      </c>
      <c r="F609" s="22">
        <f>IFERROR(E609/D609*100,"")</f>
        <v>0</v>
      </c>
      <c r="G609" s="23">
        <f>IFERROR(INDEX(Population_by_Province_Year!$B$5:$J$29,MATCH($A609,Population_by_Province_Year!$A$5:$A$29,0),MATCH($B609,Population_by_Province_Year!$B$4:$J$4,0)),"")</f>
        <v>921866</v>
      </c>
      <c r="H609" s="22">
        <f>IFERROR(D609/G609*100000,"")</f>
        <v>3.3627446939143</v>
      </c>
    </row>
    <row r="610" spans="1:8" ht="15" customHeight="1" x14ac:dyDescent="0.3">
      <c r="A610" s="20" t="s">
        <v>8</v>
      </c>
      <c r="B610" s="20">
        <v>2020</v>
      </c>
      <c r="C610" s="20" t="s">
        <v>99</v>
      </c>
      <c r="D610" s="20">
        <v>40</v>
      </c>
      <c r="E610" s="20">
        <v>0</v>
      </c>
      <c r="F610" s="22">
        <f>IFERROR(E610/D610*100,"")</f>
        <v>0</v>
      </c>
      <c r="G610" s="23">
        <f>IFERROR(INDEX(Population_by_Province_Year!$B$5:$J$29,MATCH($A610,Population_by_Province_Year!$A$5:$A$29,0),MATCH($B610,Population_by_Province_Year!$B$4:$J$4,0)),"")</f>
        <v>715989</v>
      </c>
      <c r="H610" s="22">
        <f>IFERROR(D610/G610*100000,"")</f>
        <v>5.5866780076230222</v>
      </c>
    </row>
    <row r="611" spans="1:8" ht="15" customHeight="1" x14ac:dyDescent="0.3">
      <c r="A611" s="20" t="s">
        <v>9</v>
      </c>
      <c r="B611" s="20">
        <v>2020</v>
      </c>
      <c r="C611" s="20" t="s">
        <v>99</v>
      </c>
      <c r="D611" s="20">
        <v>12</v>
      </c>
      <c r="E611" s="20">
        <v>0</v>
      </c>
      <c r="F611" s="22">
        <f>IFERROR(E611/D611*100,"")</f>
        <v>0</v>
      </c>
      <c r="G611" s="23">
        <f>IFERROR(INDEX(Population_by_Province_Year!$B$5:$J$29,MATCH($A611,Population_by_Province_Year!$A$5:$A$29,0),MATCH($B611,Population_by_Province_Year!$B$4:$J$4,0)),"")</f>
        <v>623836</v>
      </c>
      <c r="H611" s="22">
        <f>IFERROR(D611/G611*100000,"")</f>
        <v>1.9235824800107721</v>
      </c>
    </row>
    <row r="612" spans="1:8" ht="15" customHeight="1" x14ac:dyDescent="0.3">
      <c r="A612" s="20" t="s">
        <v>10</v>
      </c>
      <c r="B612" s="20">
        <v>2020</v>
      </c>
      <c r="C612" s="20" t="s">
        <v>99</v>
      </c>
      <c r="D612" s="20">
        <v>79</v>
      </c>
      <c r="E612" s="20">
        <v>0</v>
      </c>
      <c r="F612" s="22">
        <f>IFERROR(E612/D612*100,"")</f>
        <v>0</v>
      </c>
      <c r="G612" s="23">
        <f>IFERROR(INDEX(Population_by_Province_Year!$B$5:$J$29,MATCH($A612,Population_by_Province_Year!$A$5:$A$29,0),MATCH($B612,Population_by_Province_Year!$B$4:$J$4,0)),"")</f>
        <v>1262299</v>
      </c>
      <c r="H612" s="22">
        <f>IFERROR(D612/G612*100000,"")</f>
        <v>6.2584221329494838</v>
      </c>
    </row>
    <row r="613" spans="1:8" ht="15" customHeight="1" x14ac:dyDescent="0.3">
      <c r="A613" s="20" t="s">
        <v>12</v>
      </c>
      <c r="B613" s="20">
        <v>2020</v>
      </c>
      <c r="C613" s="20" t="s">
        <v>99</v>
      </c>
      <c r="D613" s="20">
        <v>8</v>
      </c>
      <c r="E613" s="20">
        <v>0</v>
      </c>
      <c r="F613" s="22">
        <f>IFERROR(E613/D613*100,"")</f>
        <v>0</v>
      </c>
      <c r="G613" s="23">
        <f>IFERROR(INDEX(Population_by_Province_Year!$B$5:$J$29,MATCH($A613,Population_by_Province_Year!$A$5:$A$29,0),MATCH($B613,Population_by_Province_Year!$B$4:$J$4,0)),"")</f>
        <v>132264</v>
      </c>
      <c r="H613" s="22">
        <f>IFERROR(D613/G613*100000,"")</f>
        <v>6.0485090425210188</v>
      </c>
    </row>
    <row r="614" spans="1:8" ht="15" customHeight="1" x14ac:dyDescent="0.3">
      <c r="A614" s="20" t="s">
        <v>13</v>
      </c>
      <c r="B614" s="20">
        <v>2020</v>
      </c>
      <c r="C614" s="20" t="s">
        <v>99</v>
      </c>
      <c r="D614" s="20">
        <v>4</v>
      </c>
      <c r="E614" s="20">
        <v>0</v>
      </c>
      <c r="F614" s="22">
        <f>IFERROR(E614/D614*100,"")</f>
        <v>0</v>
      </c>
      <c r="G614" s="23">
        <f>IFERROR(INDEX(Population_by_Province_Year!$B$5:$J$29,MATCH($A614,Population_by_Province_Year!$A$5:$A$29,0),MATCH($B614,Population_by_Province_Year!$B$4:$J$4,0)),"")</f>
        <v>393692</v>
      </c>
      <c r="H614" s="22">
        <f>IFERROR(D614/G614*100000,"")</f>
        <v>1.0160226776261647</v>
      </c>
    </row>
    <row r="615" spans="1:8" ht="15" customHeight="1" x14ac:dyDescent="0.3">
      <c r="A615" s="20" t="s">
        <v>15</v>
      </c>
      <c r="B615" s="20">
        <v>2020</v>
      </c>
      <c r="C615" s="20" t="s">
        <v>99</v>
      </c>
      <c r="D615" s="20">
        <v>1</v>
      </c>
      <c r="E615" s="20">
        <v>0</v>
      </c>
      <c r="F615" s="22">
        <f>IFERROR(E615/D615*100,"")</f>
        <v>0</v>
      </c>
      <c r="G615" s="23">
        <f>IFERROR(INDEX(Population_by_Province_Year!$B$5:$J$29,MATCH($A615,Population_by_Province_Year!$A$5:$A$29,0),MATCH($B615,Population_by_Province_Year!$B$4:$J$4,0)),"")</f>
        <v>289987</v>
      </c>
      <c r="H615" s="22">
        <f>IFERROR(D615/G615*100000,"")</f>
        <v>0.3448430446882102</v>
      </c>
    </row>
    <row r="616" spans="1:8" ht="15" customHeight="1" x14ac:dyDescent="0.3">
      <c r="A616" s="20" t="s">
        <v>16</v>
      </c>
      <c r="B616" s="20">
        <v>2020</v>
      </c>
      <c r="C616" s="20" t="s">
        <v>99</v>
      </c>
      <c r="D616" s="20">
        <v>6</v>
      </c>
      <c r="E616" s="20">
        <v>0</v>
      </c>
      <c r="F616" s="22">
        <f>IFERROR(E616/D616*100,"")</f>
        <v>0</v>
      </c>
      <c r="G616" s="23">
        <f>IFERROR(INDEX(Population_by_Province_Year!$B$5:$J$29,MATCH($A616,Population_by_Province_Year!$A$5:$A$29,0),MATCH($B616,Population_by_Province_Year!$B$4:$J$4,0)),"")</f>
        <v>78908</v>
      </c>
      <c r="H616" s="22">
        <f>IFERROR(D616/G616*100000,"")</f>
        <v>7.6037917574897351</v>
      </c>
    </row>
    <row r="617" spans="1:8" ht="15" customHeight="1" x14ac:dyDescent="0.3">
      <c r="A617" s="20" t="s">
        <v>17</v>
      </c>
      <c r="B617" s="20">
        <v>2020</v>
      </c>
      <c r="C617" s="20" t="s">
        <v>99</v>
      </c>
      <c r="D617" s="20">
        <v>133</v>
      </c>
      <c r="E617" s="20">
        <v>0</v>
      </c>
      <c r="F617" s="22">
        <f>IFERROR(E617/D617*100,"")</f>
        <v>0</v>
      </c>
      <c r="G617" s="23">
        <f>IFERROR(INDEX(Population_by_Province_Year!$B$5:$J$29,MATCH($A617,Population_by_Province_Year!$A$5:$A$29,0),MATCH($B617,Population_by_Province_Year!$B$4:$J$4,0)),"")</f>
        <v>2397261</v>
      </c>
      <c r="H617" s="22">
        <f>IFERROR(D617/G617*100000,"")</f>
        <v>5.5479983197490803</v>
      </c>
    </row>
    <row r="618" spans="1:8" ht="15" customHeight="1" x14ac:dyDescent="0.3">
      <c r="A618" s="20" t="s">
        <v>18</v>
      </c>
      <c r="B618" s="20">
        <v>2020</v>
      </c>
      <c r="C618" s="20" t="s">
        <v>99</v>
      </c>
      <c r="D618" s="20">
        <v>26</v>
      </c>
      <c r="E618" s="20">
        <v>0</v>
      </c>
      <c r="F618" s="22">
        <f>IFERROR(E618/D618*100,"")</f>
        <v>0</v>
      </c>
      <c r="G618" s="23">
        <f>IFERROR(INDEX(Population_by_Province_Year!$B$5:$J$29,MATCH($A618,Population_by_Province_Year!$A$5:$A$29,0),MATCH($B618,Population_by_Province_Year!$B$4:$J$4,0)),"")</f>
        <v>325740</v>
      </c>
      <c r="H618" s="22">
        <f>IFERROR(D618/G618*100000,"")</f>
        <v>7.9818259961932823</v>
      </c>
    </row>
    <row r="619" spans="1:8" ht="15" customHeight="1" x14ac:dyDescent="0.3">
      <c r="A619" s="20" t="s">
        <v>19</v>
      </c>
      <c r="B619" s="20">
        <v>2020</v>
      </c>
      <c r="C619" s="20" t="s">
        <v>99</v>
      </c>
      <c r="D619" s="20">
        <v>11</v>
      </c>
      <c r="E619" s="20">
        <v>0</v>
      </c>
      <c r="F619" s="22">
        <f>IFERROR(E619/D619*100,"")</f>
        <v>0</v>
      </c>
      <c r="G619" s="23">
        <f>IFERROR(INDEX(Population_by_Province_Year!$B$5:$J$29,MATCH($A619,Population_by_Province_Year!$A$5:$A$29,0),MATCH($B619,Population_by_Province_Year!$B$4:$J$4,0)),"")</f>
        <v>267704</v>
      </c>
      <c r="H619" s="22">
        <f>IFERROR(D619/G619*100000,"")</f>
        <v>4.1090159280399252</v>
      </c>
    </row>
    <row r="620" spans="1:8" ht="15" customHeight="1" x14ac:dyDescent="0.3">
      <c r="A620" s="20" t="s">
        <v>20</v>
      </c>
      <c r="B620" s="20">
        <v>2020</v>
      </c>
      <c r="C620" s="20" t="s">
        <v>99</v>
      </c>
      <c r="D620" s="20">
        <v>25</v>
      </c>
      <c r="E620" s="20">
        <v>0</v>
      </c>
      <c r="F620" s="22">
        <f>IFERROR(E620/D620*100,"")</f>
        <v>0</v>
      </c>
      <c r="G620" s="23">
        <f>IFERROR(INDEX(Population_by_Province_Year!$B$5:$J$29,MATCH($A620,Population_by_Province_Year!$A$5:$A$29,0),MATCH($B620,Population_by_Province_Year!$B$4:$J$4,0)),"")</f>
        <v>1111168</v>
      </c>
      <c r="H620" s="22">
        <f>IFERROR(D620/G620*100000,"")</f>
        <v>2.2498848058979379</v>
      </c>
    </row>
    <row r="621" spans="1:8" ht="15" customHeight="1" x14ac:dyDescent="0.3">
      <c r="A621" s="20" t="s">
        <v>21</v>
      </c>
      <c r="B621" s="20">
        <v>2020</v>
      </c>
      <c r="C621" s="20" t="s">
        <v>99</v>
      </c>
      <c r="D621" s="20">
        <v>5</v>
      </c>
      <c r="E621" s="20">
        <v>0</v>
      </c>
      <c r="F621" s="22">
        <f>IFERROR(E621/D621*100,"")</f>
        <v>0</v>
      </c>
      <c r="G621" s="23">
        <f>IFERROR(INDEX(Population_by_Province_Year!$B$5:$J$29,MATCH($A621,Population_by_Province_Year!$A$5:$A$29,0),MATCH($B621,Population_by_Province_Year!$B$4:$J$4,0)),"")</f>
        <v>441173</v>
      </c>
      <c r="H621" s="22">
        <f>IFERROR(D621/G621*100000,"")</f>
        <v>1.1333422489590252</v>
      </c>
    </row>
    <row r="622" spans="1:8" ht="15" customHeight="1" x14ac:dyDescent="0.3">
      <c r="A622" s="20" t="s">
        <v>22</v>
      </c>
      <c r="B622" s="20">
        <v>2020</v>
      </c>
      <c r="C622" s="20" t="s">
        <v>99</v>
      </c>
      <c r="D622" s="20">
        <v>4</v>
      </c>
      <c r="E622" s="20">
        <v>0</v>
      </c>
      <c r="F622" s="22">
        <f>IFERROR(E622/D622*100,"")</f>
        <v>0</v>
      </c>
      <c r="G622" s="23">
        <f>IFERROR(INDEX(Population_by_Province_Year!$B$5:$J$29,MATCH($A622,Population_by_Province_Year!$A$5:$A$29,0),MATCH($B622,Population_by_Province_Year!$B$4:$J$4,0)),"")</f>
        <v>228441</v>
      </c>
      <c r="H622" s="22">
        <f>IFERROR(D622/G622*100000,"")</f>
        <v>1.750999163897899</v>
      </c>
    </row>
    <row r="623" spans="1:8" ht="15" customHeight="1" x14ac:dyDescent="0.3">
      <c r="A623" s="20" t="s">
        <v>23</v>
      </c>
      <c r="B623" s="20">
        <v>2020</v>
      </c>
      <c r="C623" s="20" t="s">
        <v>99</v>
      </c>
      <c r="D623" s="20">
        <v>30</v>
      </c>
      <c r="E623" s="20">
        <v>0</v>
      </c>
      <c r="F623" s="22">
        <f>IFERROR(E623/D623*100,"")</f>
        <v>0</v>
      </c>
      <c r="G623" s="23">
        <f>IFERROR(INDEX(Population_by_Province_Year!$B$5:$J$29,MATCH($A623,Population_by_Province_Year!$A$5:$A$29,0),MATCH($B623,Population_by_Province_Year!$B$4:$J$4,0)),"")</f>
        <v>1065485</v>
      </c>
      <c r="H623" s="22">
        <f>IFERROR(D623/G623*100000,"")</f>
        <v>2.815619178120762</v>
      </c>
    </row>
    <row r="624" spans="1:8" ht="15" customHeight="1" x14ac:dyDescent="0.3">
      <c r="A624" s="20" t="s">
        <v>24</v>
      </c>
      <c r="B624" s="20">
        <v>2020</v>
      </c>
      <c r="C624" s="20" t="s">
        <v>99</v>
      </c>
      <c r="D624" s="20">
        <v>4</v>
      </c>
      <c r="E624" s="20">
        <v>0</v>
      </c>
      <c r="F624" s="22">
        <f>IFERROR(E624/D624*100,"")</f>
        <v>0</v>
      </c>
      <c r="G624" s="23">
        <f>IFERROR(INDEX(Population_by_Province_Year!$B$5:$J$29,MATCH($A624,Population_by_Province_Year!$A$5:$A$29,0),MATCH($B624,Population_by_Province_Year!$B$4:$J$4,0)),"")</f>
        <v>174087</v>
      </c>
      <c r="H624" s="22">
        <f>IFERROR(D624/G624*100000,"")</f>
        <v>2.297701723850718</v>
      </c>
    </row>
    <row r="625" spans="1:8" ht="15" customHeight="1" x14ac:dyDescent="0.3">
      <c r="A625" s="20" t="s">
        <v>25</v>
      </c>
      <c r="B625" s="20">
        <v>2020</v>
      </c>
      <c r="C625" s="20" t="s">
        <v>99</v>
      </c>
      <c r="D625" s="20">
        <v>6</v>
      </c>
      <c r="E625" s="20">
        <v>0</v>
      </c>
      <c r="F625" s="22">
        <f>IFERROR(E625/D625*100,"")</f>
        <v>0</v>
      </c>
      <c r="G625" s="23">
        <f>IFERROR(INDEX(Population_by_Province_Year!$B$5:$J$29,MATCH($A625,Population_by_Province_Year!$A$5:$A$29,0),MATCH($B625,Population_by_Province_Year!$B$4:$J$4,0)),"")</f>
        <v>552051</v>
      </c>
      <c r="H625" s="22">
        <f>IFERROR(D625/G625*100000,"")</f>
        <v>1.0868561056858876</v>
      </c>
    </row>
    <row r="626" spans="1:8" ht="15" customHeight="1" x14ac:dyDescent="0.3">
      <c r="A626" s="20" t="s">
        <v>26</v>
      </c>
      <c r="B626" s="20">
        <v>2020</v>
      </c>
      <c r="C626" s="20" t="s">
        <v>99</v>
      </c>
      <c r="D626" s="20">
        <v>10</v>
      </c>
      <c r="E626" s="20">
        <v>0</v>
      </c>
      <c r="F626" s="22">
        <f>IFERROR(E626/D626*100,"")</f>
        <v>0</v>
      </c>
      <c r="G626" s="23">
        <f>IFERROR(INDEX(Population_by_Province_Year!$B$5:$J$29,MATCH($A626,Population_by_Province_Year!$A$5:$A$29,0),MATCH($B626,Population_by_Province_Year!$B$4:$J$4,0)),"")</f>
        <v>946439</v>
      </c>
      <c r="H626" s="22">
        <f>IFERROR(D626/G626*100000,"")</f>
        <v>1.0565921311357627</v>
      </c>
    </row>
    <row r="627" spans="1:8" ht="15" customHeight="1" x14ac:dyDescent="0.3">
      <c r="A627" s="20" t="s">
        <v>27</v>
      </c>
      <c r="B627" s="20">
        <v>2020</v>
      </c>
      <c r="C627" s="20" t="s">
        <v>99</v>
      </c>
      <c r="D627" s="20">
        <v>17</v>
      </c>
      <c r="E627" s="20">
        <v>0</v>
      </c>
      <c r="F627" s="22">
        <f>IFERROR(E627/D627*100,"")</f>
        <v>0</v>
      </c>
      <c r="G627" s="23">
        <f>IFERROR(INDEX(Population_by_Province_Year!$B$5:$J$29,MATCH($A627,Population_by_Province_Year!$A$5:$A$29,0),MATCH($B627,Population_by_Province_Year!$B$4:$J$4,0)),"")</f>
        <v>816096</v>
      </c>
      <c r="H627" s="22">
        <f>IFERROR(D627/G627*100000,"")</f>
        <v>2.0830882641257893</v>
      </c>
    </row>
    <row r="628" spans="1:8" ht="15" customHeight="1" x14ac:dyDescent="0.3">
      <c r="A628" s="20" t="s">
        <v>3</v>
      </c>
      <c r="B628" s="20">
        <v>2020</v>
      </c>
      <c r="C628" s="20" t="s">
        <v>103</v>
      </c>
      <c r="D628" s="20">
        <v>30</v>
      </c>
      <c r="E628" s="20">
        <v>0</v>
      </c>
      <c r="F628" s="22">
        <f>IFERROR(E628/D628*100,"")</f>
        <v>0</v>
      </c>
      <c r="G628" s="23">
        <f>IFERROR(INDEX(Population_by_Province_Year!$B$5:$J$29,MATCH($A628,Population_by_Province_Year!$A$5:$A$29,0),MATCH($B628,Population_by_Province_Year!$B$4:$J$4,0)),"")</f>
        <v>905435</v>
      </c>
      <c r="H628" s="22">
        <f>IFERROR(D628/G628*100000,"")</f>
        <v>3.3133245346159583</v>
      </c>
    </row>
    <row r="629" spans="1:8" ht="15" customHeight="1" x14ac:dyDescent="0.3">
      <c r="A629" s="20" t="s">
        <v>4</v>
      </c>
      <c r="B629" s="20">
        <v>2020</v>
      </c>
      <c r="C629" s="20" t="s">
        <v>103</v>
      </c>
      <c r="D629" s="20">
        <v>3</v>
      </c>
      <c r="E629" s="20">
        <v>0</v>
      </c>
      <c r="F629" s="22">
        <f>IFERROR(E629/D629*100,"")</f>
        <v>0</v>
      </c>
      <c r="G629" s="23">
        <f>IFERROR(INDEX(Population_by_Province_Year!$B$5:$J$29,MATCH($A629,Population_by_Province_Year!$A$5:$A$29,0),MATCH($B629,Population_by_Province_Year!$B$4:$J$4,0)),"")</f>
        <v>1047557</v>
      </c>
      <c r="H629" s="22">
        <f>IFERROR(D629/G629*100000,"")</f>
        <v>0.28638059790541232</v>
      </c>
    </row>
    <row r="630" spans="1:8" ht="15" customHeight="1" x14ac:dyDescent="0.3">
      <c r="A630" s="20" t="s">
        <v>5</v>
      </c>
      <c r="B630" s="20">
        <v>2020</v>
      </c>
      <c r="C630" s="20" t="s">
        <v>103</v>
      </c>
      <c r="D630" s="20">
        <v>12</v>
      </c>
      <c r="E630" s="20">
        <v>0</v>
      </c>
      <c r="F630" s="22">
        <f>IFERROR(E630/D630*100,"")</f>
        <v>0</v>
      </c>
      <c r="G630" s="23">
        <f>IFERROR(INDEX(Population_by_Province_Year!$B$5:$J$29,MATCH($A630,Population_by_Province_Year!$A$5:$A$29,0),MATCH($B630,Population_by_Province_Year!$B$4:$J$4,0)),"")</f>
        <v>945259</v>
      </c>
      <c r="H630" s="22">
        <f>IFERROR(D630/G630*100000,"")</f>
        <v>1.2694933346310375</v>
      </c>
    </row>
    <row r="631" spans="1:8" ht="15" customHeight="1" x14ac:dyDescent="0.3">
      <c r="A631" s="20" t="s">
        <v>6</v>
      </c>
      <c r="B631" s="20">
        <v>2020</v>
      </c>
      <c r="C631" s="20" t="s">
        <v>103</v>
      </c>
      <c r="D631" s="20">
        <v>7</v>
      </c>
      <c r="E631" s="20">
        <v>0</v>
      </c>
      <c r="F631" s="22">
        <f>IFERROR(E631/D631*100,"")</f>
        <v>0</v>
      </c>
      <c r="G631" s="23">
        <f>IFERROR(INDEX(Population_by_Province_Year!$B$5:$J$29,MATCH($A631,Population_by_Province_Year!$A$5:$A$29,0),MATCH($B631,Population_by_Province_Year!$B$4:$J$4,0)),"")</f>
        <v>553658</v>
      </c>
      <c r="H631" s="22">
        <f>IFERROR(D631/G631*100000,"")</f>
        <v>1.2643184059473538</v>
      </c>
    </row>
    <row r="632" spans="1:8" ht="15" customHeight="1" x14ac:dyDescent="0.3">
      <c r="A632" s="20" t="s">
        <v>7</v>
      </c>
      <c r="B632" s="20">
        <v>2020</v>
      </c>
      <c r="C632" s="20" t="s">
        <v>103</v>
      </c>
      <c r="D632" s="20">
        <v>9</v>
      </c>
      <c r="E632" s="20">
        <v>0</v>
      </c>
      <c r="F632" s="22">
        <f>IFERROR(E632/D632*100,"")</f>
        <v>0</v>
      </c>
      <c r="G632" s="23">
        <f>IFERROR(INDEX(Population_by_Province_Year!$B$5:$J$29,MATCH($A632,Population_by_Province_Year!$A$5:$A$29,0),MATCH($B632,Population_by_Province_Year!$B$4:$J$4,0)),"")</f>
        <v>921866</v>
      </c>
      <c r="H632" s="22">
        <f>IFERROR(D632/G632*100000,"")</f>
        <v>0.97628071758802248</v>
      </c>
    </row>
    <row r="633" spans="1:8" ht="15" customHeight="1" x14ac:dyDescent="0.3">
      <c r="A633" s="20" t="s">
        <v>8</v>
      </c>
      <c r="B633" s="20">
        <v>2020</v>
      </c>
      <c r="C633" s="20" t="s">
        <v>103</v>
      </c>
      <c r="D633" s="20">
        <v>29</v>
      </c>
      <c r="E633" s="20">
        <v>0</v>
      </c>
      <c r="F633" s="22">
        <f>IFERROR(E633/D633*100,"")</f>
        <v>0</v>
      </c>
      <c r="G633" s="23">
        <f>IFERROR(INDEX(Population_by_Province_Year!$B$5:$J$29,MATCH($A633,Population_by_Province_Year!$A$5:$A$29,0),MATCH($B633,Population_by_Province_Year!$B$4:$J$4,0)),"")</f>
        <v>715989</v>
      </c>
      <c r="H633" s="22">
        <f>IFERROR(D633/G633*100000,"")</f>
        <v>4.0503415555266908</v>
      </c>
    </row>
    <row r="634" spans="1:8" ht="15" customHeight="1" x14ac:dyDescent="0.3">
      <c r="A634" s="20" t="s">
        <v>9</v>
      </c>
      <c r="B634" s="20">
        <v>2020</v>
      </c>
      <c r="C634" s="20" t="s">
        <v>103</v>
      </c>
      <c r="D634" s="20">
        <v>5</v>
      </c>
      <c r="E634" s="20">
        <v>0</v>
      </c>
      <c r="F634" s="22">
        <f>IFERROR(E634/D634*100,"")</f>
        <v>0</v>
      </c>
      <c r="G634" s="23">
        <f>IFERROR(INDEX(Population_by_Province_Year!$B$5:$J$29,MATCH($A634,Population_by_Province_Year!$A$5:$A$29,0),MATCH($B634,Population_by_Province_Year!$B$4:$J$4,0)),"")</f>
        <v>623836</v>
      </c>
      <c r="H634" s="22">
        <f>IFERROR(D634/G634*100000,"")</f>
        <v>0.80149270000448836</v>
      </c>
    </row>
    <row r="635" spans="1:8" ht="15" customHeight="1" x14ac:dyDescent="0.3">
      <c r="A635" s="20" t="s">
        <v>10</v>
      </c>
      <c r="B635" s="20">
        <v>2020</v>
      </c>
      <c r="C635" s="20" t="s">
        <v>103</v>
      </c>
      <c r="D635" s="20">
        <v>53</v>
      </c>
      <c r="E635" s="20">
        <v>0</v>
      </c>
      <c r="F635" s="22">
        <f>IFERROR(E635/D635*100,"")</f>
        <v>0</v>
      </c>
      <c r="G635" s="23">
        <f>IFERROR(INDEX(Population_by_Province_Year!$B$5:$J$29,MATCH($A635,Population_by_Province_Year!$A$5:$A$29,0),MATCH($B635,Population_by_Province_Year!$B$4:$J$4,0)),"")</f>
        <v>1262299</v>
      </c>
      <c r="H635" s="22">
        <f>IFERROR(D635/G635*100000,"")</f>
        <v>4.1986882664091469</v>
      </c>
    </row>
    <row r="636" spans="1:8" ht="15" customHeight="1" x14ac:dyDescent="0.3">
      <c r="A636" s="20" t="s">
        <v>12</v>
      </c>
      <c r="B636" s="20">
        <v>2020</v>
      </c>
      <c r="C636" s="20" t="s">
        <v>103</v>
      </c>
      <c r="D636" s="20">
        <v>2</v>
      </c>
      <c r="E636" s="20">
        <v>0</v>
      </c>
      <c r="F636" s="22">
        <f>IFERROR(E636/D636*100,"")</f>
        <v>0</v>
      </c>
      <c r="G636" s="23">
        <f>IFERROR(INDEX(Population_by_Province_Year!$B$5:$J$29,MATCH($A636,Population_by_Province_Year!$A$5:$A$29,0),MATCH($B636,Population_by_Province_Year!$B$4:$J$4,0)),"")</f>
        <v>132264</v>
      </c>
      <c r="H636" s="22">
        <f>IFERROR(D636/G636*100000,"")</f>
        <v>1.5121272606302547</v>
      </c>
    </row>
    <row r="637" spans="1:8" ht="15" customHeight="1" x14ac:dyDescent="0.3">
      <c r="A637" s="20" t="s">
        <v>13</v>
      </c>
      <c r="B637" s="20">
        <v>2020</v>
      </c>
      <c r="C637" s="20" t="s">
        <v>103</v>
      </c>
      <c r="D637" s="20">
        <v>9</v>
      </c>
      <c r="E637" s="20">
        <v>0</v>
      </c>
      <c r="F637" s="22">
        <f>IFERROR(E637/D637*100,"")</f>
        <v>0</v>
      </c>
      <c r="G637" s="23">
        <f>IFERROR(INDEX(Population_by_Province_Year!$B$5:$J$29,MATCH($A637,Population_by_Province_Year!$A$5:$A$29,0),MATCH($B637,Population_by_Province_Year!$B$4:$J$4,0)),"")</f>
        <v>393692</v>
      </c>
      <c r="H637" s="22">
        <f>IFERROR(D637/G637*100000,"")</f>
        <v>2.2860510246588701</v>
      </c>
    </row>
    <row r="638" spans="1:8" ht="15" customHeight="1" x14ac:dyDescent="0.3">
      <c r="A638" s="20" t="s">
        <v>14</v>
      </c>
      <c r="B638" s="20">
        <v>2020</v>
      </c>
      <c r="C638" s="20" t="s">
        <v>103</v>
      </c>
      <c r="D638" s="20">
        <v>1</v>
      </c>
      <c r="E638" s="20">
        <v>0</v>
      </c>
      <c r="F638" s="22">
        <f>IFERROR(E638/D638*100,"")</f>
        <v>0</v>
      </c>
      <c r="G638" s="23">
        <f>IFERROR(INDEX(Population_by_Province_Year!$B$5:$J$29,MATCH($A638,Population_by_Province_Year!$A$5:$A$29,0),MATCH($B638,Population_by_Province_Year!$B$4:$J$4,0)),"")</f>
        <v>96873</v>
      </c>
      <c r="H638" s="22">
        <f>IFERROR(D638/G638*100000,"")</f>
        <v>1.032279376090345</v>
      </c>
    </row>
    <row r="639" spans="1:8" ht="15" customHeight="1" x14ac:dyDescent="0.3">
      <c r="A639" s="20" t="s">
        <v>15</v>
      </c>
      <c r="B639" s="20">
        <v>2020</v>
      </c>
      <c r="C639" s="20" t="s">
        <v>103</v>
      </c>
      <c r="D639" s="20">
        <v>1</v>
      </c>
      <c r="E639" s="20">
        <v>0</v>
      </c>
      <c r="F639" s="22">
        <f>IFERROR(E639/D639*100,"")</f>
        <v>0</v>
      </c>
      <c r="G639" s="23">
        <f>IFERROR(INDEX(Population_by_Province_Year!$B$5:$J$29,MATCH($A639,Population_by_Province_Year!$A$5:$A$29,0),MATCH($B639,Population_by_Province_Year!$B$4:$J$4,0)),"")</f>
        <v>289987</v>
      </c>
      <c r="H639" s="22">
        <f>IFERROR(D639/G639*100000,"")</f>
        <v>0.3448430446882102</v>
      </c>
    </row>
    <row r="640" spans="1:8" ht="15" customHeight="1" x14ac:dyDescent="0.3">
      <c r="A640" s="20" t="s">
        <v>16</v>
      </c>
      <c r="B640" s="20">
        <v>2020</v>
      </c>
      <c r="C640" s="20" t="s">
        <v>103</v>
      </c>
      <c r="D640" s="20">
        <v>4</v>
      </c>
      <c r="E640" s="20">
        <v>0</v>
      </c>
      <c r="F640" s="22">
        <f>IFERROR(E640/D640*100,"")</f>
        <v>0</v>
      </c>
      <c r="G640" s="23">
        <f>IFERROR(INDEX(Population_by_Province_Year!$B$5:$J$29,MATCH($A640,Population_by_Province_Year!$A$5:$A$29,0),MATCH($B640,Population_by_Province_Year!$B$4:$J$4,0)),"")</f>
        <v>78908</v>
      </c>
      <c r="H640" s="22">
        <f>IFERROR(D640/G640*100000,"")</f>
        <v>5.069194504993157</v>
      </c>
    </row>
    <row r="641" spans="1:8" ht="15" customHeight="1" x14ac:dyDescent="0.3">
      <c r="A641" s="20" t="s">
        <v>17</v>
      </c>
      <c r="B641" s="20">
        <v>2020</v>
      </c>
      <c r="C641" s="20" t="s">
        <v>103</v>
      </c>
      <c r="D641" s="20">
        <v>84</v>
      </c>
      <c r="E641" s="20">
        <v>0</v>
      </c>
      <c r="F641" s="22">
        <f>IFERROR(E641/D641*100,"")</f>
        <v>0</v>
      </c>
      <c r="G641" s="23">
        <f>IFERROR(INDEX(Population_by_Province_Year!$B$5:$J$29,MATCH($A641,Population_by_Province_Year!$A$5:$A$29,0),MATCH($B641,Population_by_Province_Year!$B$4:$J$4,0)),"")</f>
        <v>2397261</v>
      </c>
      <c r="H641" s="22">
        <f>IFERROR(D641/G641*100000,"")</f>
        <v>3.5039989387888926</v>
      </c>
    </row>
    <row r="642" spans="1:8" ht="15" customHeight="1" x14ac:dyDescent="0.3">
      <c r="A642" s="20" t="s">
        <v>18</v>
      </c>
      <c r="B642" s="20">
        <v>2020</v>
      </c>
      <c r="C642" s="20" t="s">
        <v>103</v>
      </c>
      <c r="D642" s="20">
        <v>23</v>
      </c>
      <c r="E642" s="20">
        <v>0</v>
      </c>
      <c r="F642" s="22">
        <f>IFERROR(E642/D642*100,"")</f>
        <v>0</v>
      </c>
      <c r="G642" s="23">
        <f>IFERROR(INDEX(Population_by_Province_Year!$B$5:$J$29,MATCH($A642,Population_by_Province_Year!$A$5:$A$29,0),MATCH($B642,Population_by_Province_Year!$B$4:$J$4,0)),"")</f>
        <v>325740</v>
      </c>
      <c r="H642" s="22">
        <f>IFERROR(D642/G642*100000,"")</f>
        <v>7.060846073555596</v>
      </c>
    </row>
    <row r="643" spans="1:8" ht="15" customHeight="1" x14ac:dyDescent="0.3">
      <c r="A643" s="20" t="s">
        <v>19</v>
      </c>
      <c r="B643" s="20">
        <v>2020</v>
      </c>
      <c r="C643" s="20" t="s">
        <v>103</v>
      </c>
      <c r="D643" s="20">
        <v>5</v>
      </c>
      <c r="E643" s="20">
        <v>0</v>
      </c>
      <c r="F643" s="22">
        <f>IFERROR(E643/D643*100,"")</f>
        <v>0</v>
      </c>
      <c r="G643" s="23">
        <f>IFERROR(INDEX(Population_by_Province_Year!$B$5:$J$29,MATCH($A643,Population_by_Province_Year!$A$5:$A$29,0),MATCH($B643,Population_by_Province_Year!$B$4:$J$4,0)),"")</f>
        <v>267704</v>
      </c>
      <c r="H643" s="22">
        <f>IFERROR(D643/G643*100000,"")</f>
        <v>1.8677345127454203</v>
      </c>
    </row>
    <row r="644" spans="1:8" ht="15" customHeight="1" x14ac:dyDescent="0.3">
      <c r="A644" s="20" t="s">
        <v>20</v>
      </c>
      <c r="B644" s="20">
        <v>2020</v>
      </c>
      <c r="C644" s="20" t="s">
        <v>103</v>
      </c>
      <c r="D644" s="20">
        <v>15</v>
      </c>
      <c r="E644" s="20">
        <v>0</v>
      </c>
      <c r="F644" s="22">
        <f>IFERROR(E644/D644*100,"")</f>
        <v>0</v>
      </c>
      <c r="G644" s="23">
        <f>IFERROR(INDEX(Population_by_Province_Year!$B$5:$J$29,MATCH($A644,Population_by_Province_Year!$A$5:$A$29,0),MATCH($B644,Population_by_Province_Year!$B$4:$J$4,0)),"")</f>
        <v>1111168</v>
      </c>
      <c r="H644" s="22">
        <f>IFERROR(D644/G644*100000,"")</f>
        <v>1.3499308835387629</v>
      </c>
    </row>
    <row r="645" spans="1:8" ht="15" customHeight="1" x14ac:dyDescent="0.3">
      <c r="A645" s="20" t="s">
        <v>21</v>
      </c>
      <c r="B645" s="20">
        <v>2020</v>
      </c>
      <c r="C645" s="20" t="s">
        <v>103</v>
      </c>
      <c r="D645" s="20">
        <v>5</v>
      </c>
      <c r="E645" s="20">
        <v>0</v>
      </c>
      <c r="F645" s="22">
        <f>IFERROR(E645/D645*100,"")</f>
        <v>0</v>
      </c>
      <c r="G645" s="23">
        <f>IFERROR(INDEX(Population_by_Province_Year!$B$5:$J$29,MATCH($A645,Population_by_Province_Year!$A$5:$A$29,0),MATCH($B645,Population_by_Province_Year!$B$4:$J$4,0)),"")</f>
        <v>441173</v>
      </c>
      <c r="H645" s="22">
        <f>IFERROR(D645/G645*100000,"")</f>
        <v>1.1333422489590252</v>
      </c>
    </row>
    <row r="646" spans="1:8" ht="15" customHeight="1" x14ac:dyDescent="0.3">
      <c r="A646" s="20" t="s">
        <v>22</v>
      </c>
      <c r="B646" s="20">
        <v>2020</v>
      </c>
      <c r="C646" s="20" t="s">
        <v>103</v>
      </c>
      <c r="D646" s="20">
        <v>1</v>
      </c>
      <c r="E646" s="20">
        <v>0</v>
      </c>
      <c r="F646" s="22">
        <f>IFERROR(E646/D646*100,"")</f>
        <v>0</v>
      </c>
      <c r="G646" s="23">
        <f>IFERROR(INDEX(Population_by_Province_Year!$B$5:$J$29,MATCH($A646,Population_by_Province_Year!$A$5:$A$29,0),MATCH($B646,Population_by_Province_Year!$B$4:$J$4,0)),"")</f>
        <v>228441</v>
      </c>
      <c r="H646" s="22">
        <f>IFERROR(D646/G646*100000,"")</f>
        <v>0.43774979097447475</v>
      </c>
    </row>
    <row r="647" spans="1:8" ht="15" customHeight="1" x14ac:dyDescent="0.3">
      <c r="A647" s="20" t="s">
        <v>23</v>
      </c>
      <c r="B647" s="20">
        <v>2020</v>
      </c>
      <c r="C647" s="20" t="s">
        <v>103</v>
      </c>
      <c r="D647" s="20">
        <v>15</v>
      </c>
      <c r="E647" s="20">
        <v>0</v>
      </c>
      <c r="F647" s="22">
        <f>IFERROR(E647/D647*100,"")</f>
        <v>0</v>
      </c>
      <c r="G647" s="23">
        <f>IFERROR(INDEX(Population_by_Province_Year!$B$5:$J$29,MATCH($A647,Population_by_Province_Year!$A$5:$A$29,0),MATCH($B647,Population_by_Province_Year!$B$4:$J$4,0)),"")</f>
        <v>1065485</v>
      </c>
      <c r="H647" s="22">
        <f>IFERROR(D647/G647*100000,"")</f>
        <v>1.407809589060381</v>
      </c>
    </row>
    <row r="648" spans="1:8" ht="15" customHeight="1" x14ac:dyDescent="0.3">
      <c r="A648" s="20" t="s">
        <v>24</v>
      </c>
      <c r="B648" s="20">
        <v>2020</v>
      </c>
      <c r="C648" s="20" t="s">
        <v>103</v>
      </c>
      <c r="D648" s="20">
        <v>8</v>
      </c>
      <c r="E648" s="20">
        <v>0</v>
      </c>
      <c r="F648" s="22">
        <f>IFERROR(E648/D648*100,"")</f>
        <v>0</v>
      </c>
      <c r="G648" s="23">
        <f>IFERROR(INDEX(Population_by_Province_Year!$B$5:$J$29,MATCH($A648,Population_by_Province_Year!$A$5:$A$29,0),MATCH($B648,Population_by_Province_Year!$B$4:$J$4,0)),"")</f>
        <v>174087</v>
      </c>
      <c r="H648" s="22">
        <f>IFERROR(D648/G648*100000,"")</f>
        <v>4.5954034477014361</v>
      </c>
    </row>
    <row r="649" spans="1:8" ht="15" customHeight="1" x14ac:dyDescent="0.3">
      <c r="A649" s="20" t="s">
        <v>25</v>
      </c>
      <c r="B649" s="20">
        <v>2020</v>
      </c>
      <c r="C649" s="20" t="s">
        <v>103</v>
      </c>
      <c r="D649" s="20">
        <v>4</v>
      </c>
      <c r="E649" s="20">
        <v>0</v>
      </c>
      <c r="F649" s="22">
        <f>IFERROR(E649/D649*100,"")</f>
        <v>0</v>
      </c>
      <c r="G649" s="23">
        <f>IFERROR(INDEX(Population_by_Province_Year!$B$5:$J$29,MATCH($A649,Population_by_Province_Year!$A$5:$A$29,0),MATCH($B649,Population_by_Province_Year!$B$4:$J$4,0)),"")</f>
        <v>552051</v>
      </c>
      <c r="H649" s="22">
        <f>IFERROR(D649/G649*100000,"")</f>
        <v>0.72457073712392517</v>
      </c>
    </row>
    <row r="650" spans="1:8" ht="15" customHeight="1" x14ac:dyDescent="0.3">
      <c r="A650" s="20" t="s">
        <v>26</v>
      </c>
      <c r="B650" s="20">
        <v>2020</v>
      </c>
      <c r="C650" s="20" t="s">
        <v>103</v>
      </c>
      <c r="D650" s="20">
        <v>20</v>
      </c>
      <c r="E650" s="20">
        <v>0</v>
      </c>
      <c r="F650" s="22">
        <f>IFERROR(E650/D650*100,"")</f>
        <v>0</v>
      </c>
      <c r="G650" s="23">
        <f>IFERROR(INDEX(Population_by_Province_Year!$B$5:$J$29,MATCH($A650,Population_by_Province_Year!$A$5:$A$29,0),MATCH($B650,Population_by_Province_Year!$B$4:$J$4,0)),"")</f>
        <v>946439</v>
      </c>
      <c r="H650" s="22">
        <f>IFERROR(D650/G650*100000,"")</f>
        <v>2.1131842622715253</v>
      </c>
    </row>
    <row r="651" spans="1:8" ht="15" customHeight="1" x14ac:dyDescent="0.3">
      <c r="A651" s="20" t="s">
        <v>27</v>
      </c>
      <c r="B651" s="20">
        <v>2020</v>
      </c>
      <c r="C651" s="20" t="s">
        <v>103</v>
      </c>
      <c r="D651" s="20">
        <v>13</v>
      </c>
      <c r="E651" s="20">
        <v>0</v>
      </c>
      <c r="F651" s="22">
        <f>IFERROR(E651/D651*100,"")</f>
        <v>0</v>
      </c>
      <c r="G651" s="23">
        <f>IFERROR(INDEX(Population_by_Province_Year!$B$5:$J$29,MATCH($A651,Population_by_Province_Year!$A$5:$A$29,0),MATCH($B651,Population_by_Province_Year!$B$4:$J$4,0)),"")</f>
        <v>816096</v>
      </c>
      <c r="H651" s="22">
        <f>IFERROR(D651/G651*100000,"")</f>
        <v>1.5929498490373681</v>
      </c>
    </row>
    <row r="652" spans="1:8" ht="15" customHeight="1" x14ac:dyDescent="0.3">
      <c r="A652" s="20" t="s">
        <v>3</v>
      </c>
      <c r="B652" s="20">
        <v>2020</v>
      </c>
      <c r="C652" s="20" t="s">
        <v>96</v>
      </c>
      <c r="D652" s="20">
        <v>12</v>
      </c>
      <c r="E652" s="20">
        <v>0</v>
      </c>
      <c r="F652" s="22">
        <f>IFERROR(E652/D652*100,"")</f>
        <v>0</v>
      </c>
      <c r="G652" s="23">
        <f>IFERROR(INDEX(Population_by_Province_Year!$B$5:$J$29,MATCH($A652,Population_by_Province_Year!$A$5:$A$29,0),MATCH($B652,Population_by_Province_Year!$B$4:$J$4,0)),"")</f>
        <v>905435</v>
      </c>
      <c r="H652" s="22">
        <f>IFERROR(D652/G652*100000,"")</f>
        <v>1.3253298138463832</v>
      </c>
    </row>
    <row r="653" spans="1:8" ht="15" customHeight="1" x14ac:dyDescent="0.3">
      <c r="A653" s="20" t="s">
        <v>4</v>
      </c>
      <c r="B653" s="20">
        <v>2020</v>
      </c>
      <c r="C653" s="20" t="s">
        <v>96</v>
      </c>
      <c r="D653" s="20">
        <v>8</v>
      </c>
      <c r="E653" s="20">
        <v>0</v>
      </c>
      <c r="F653" s="22">
        <f>IFERROR(E653/D653*100,"")</f>
        <v>0</v>
      </c>
      <c r="G653" s="23">
        <f>IFERROR(INDEX(Population_by_Province_Year!$B$5:$J$29,MATCH($A653,Population_by_Province_Year!$A$5:$A$29,0),MATCH($B653,Population_by_Province_Year!$B$4:$J$4,0)),"")</f>
        <v>1047557</v>
      </c>
      <c r="H653" s="22">
        <f>IFERROR(D653/G653*100000,"")</f>
        <v>0.76368159441443284</v>
      </c>
    </row>
    <row r="654" spans="1:8" ht="15" customHeight="1" x14ac:dyDescent="0.3">
      <c r="A654" s="20" t="s">
        <v>5</v>
      </c>
      <c r="B654" s="20">
        <v>2020</v>
      </c>
      <c r="C654" s="20" t="s">
        <v>96</v>
      </c>
      <c r="D654" s="20">
        <v>7</v>
      </c>
      <c r="E654" s="20">
        <v>0</v>
      </c>
      <c r="F654" s="22">
        <f>IFERROR(E654/D654*100,"")</f>
        <v>0</v>
      </c>
      <c r="G654" s="23">
        <f>IFERROR(INDEX(Population_by_Province_Year!$B$5:$J$29,MATCH($A654,Population_by_Province_Year!$A$5:$A$29,0),MATCH($B654,Population_by_Province_Year!$B$4:$J$4,0)),"")</f>
        <v>945259</v>
      </c>
      <c r="H654" s="22">
        <f>IFERROR(D654/G654*100000,"")</f>
        <v>0.74053777853477198</v>
      </c>
    </row>
    <row r="655" spans="1:8" ht="15" customHeight="1" x14ac:dyDescent="0.3">
      <c r="A655" s="20" t="s">
        <v>6</v>
      </c>
      <c r="B655" s="20">
        <v>2020</v>
      </c>
      <c r="C655" s="20" t="s">
        <v>96</v>
      </c>
      <c r="D655" s="20">
        <v>6</v>
      </c>
      <c r="E655" s="20">
        <v>0</v>
      </c>
      <c r="F655" s="22">
        <f>IFERROR(E655/D655*100,"")</f>
        <v>0</v>
      </c>
      <c r="G655" s="23">
        <f>IFERROR(INDEX(Population_by_Province_Year!$B$5:$J$29,MATCH($A655,Population_by_Province_Year!$A$5:$A$29,0),MATCH($B655,Population_by_Province_Year!$B$4:$J$4,0)),"")</f>
        <v>553658</v>
      </c>
      <c r="H655" s="22">
        <f>IFERROR(D655/G655*100000,"")</f>
        <v>1.0837014908120175</v>
      </c>
    </row>
    <row r="656" spans="1:8" ht="15" customHeight="1" x14ac:dyDescent="0.3">
      <c r="A656" s="20" t="s">
        <v>7</v>
      </c>
      <c r="B656" s="20">
        <v>2020</v>
      </c>
      <c r="C656" s="20" t="s">
        <v>96</v>
      </c>
      <c r="D656" s="20">
        <v>14</v>
      </c>
      <c r="E656" s="20">
        <v>0</v>
      </c>
      <c r="F656" s="22">
        <f>IFERROR(E656/D656*100,"")</f>
        <v>0</v>
      </c>
      <c r="G656" s="23">
        <f>IFERROR(INDEX(Population_by_Province_Year!$B$5:$J$29,MATCH($A656,Population_by_Province_Year!$A$5:$A$29,0),MATCH($B656,Population_by_Province_Year!$B$4:$J$4,0)),"")</f>
        <v>921866</v>
      </c>
      <c r="H656" s="22">
        <f>IFERROR(D656/G656*100000,"")</f>
        <v>1.5186588940258128</v>
      </c>
    </row>
    <row r="657" spans="1:8" ht="15" customHeight="1" x14ac:dyDescent="0.3">
      <c r="A657" s="20" t="s">
        <v>8</v>
      </c>
      <c r="B657" s="20">
        <v>2020</v>
      </c>
      <c r="C657" s="20" t="s">
        <v>96</v>
      </c>
      <c r="D657" s="20">
        <v>24</v>
      </c>
      <c r="E657" s="20">
        <v>0</v>
      </c>
      <c r="F657" s="22">
        <f>IFERROR(E657/D657*100,"")</f>
        <v>0</v>
      </c>
      <c r="G657" s="23">
        <f>IFERROR(INDEX(Population_by_Province_Year!$B$5:$J$29,MATCH($A657,Population_by_Province_Year!$A$5:$A$29,0),MATCH($B657,Population_by_Province_Year!$B$4:$J$4,0)),"")</f>
        <v>715989</v>
      </c>
      <c r="H657" s="22">
        <f>IFERROR(D657/G657*100000,"")</f>
        <v>3.3520068045738136</v>
      </c>
    </row>
    <row r="658" spans="1:8" ht="15" customHeight="1" x14ac:dyDescent="0.3">
      <c r="A658" s="20" t="s">
        <v>9</v>
      </c>
      <c r="B658" s="20">
        <v>2020</v>
      </c>
      <c r="C658" s="20" t="s">
        <v>96</v>
      </c>
      <c r="D658" s="20">
        <v>2</v>
      </c>
      <c r="E658" s="20">
        <v>0</v>
      </c>
      <c r="F658" s="22">
        <f>IFERROR(E658/D658*100,"")</f>
        <v>0</v>
      </c>
      <c r="G658" s="23">
        <f>IFERROR(INDEX(Population_by_Province_Year!$B$5:$J$29,MATCH($A658,Population_by_Province_Year!$A$5:$A$29,0),MATCH($B658,Population_by_Province_Year!$B$4:$J$4,0)),"")</f>
        <v>623836</v>
      </c>
      <c r="H658" s="22">
        <f>IFERROR(D658/G658*100000,"")</f>
        <v>0.32059708000179538</v>
      </c>
    </row>
    <row r="659" spans="1:8" ht="15" customHeight="1" x14ac:dyDescent="0.3">
      <c r="A659" s="20" t="s">
        <v>10</v>
      </c>
      <c r="B659" s="20">
        <v>2020</v>
      </c>
      <c r="C659" s="20" t="s">
        <v>96</v>
      </c>
      <c r="D659" s="20">
        <v>37</v>
      </c>
      <c r="E659" s="20">
        <v>0</v>
      </c>
      <c r="F659" s="22">
        <f>IFERROR(E659/D659*100,"")</f>
        <v>0</v>
      </c>
      <c r="G659" s="23">
        <f>IFERROR(INDEX(Population_by_Province_Year!$B$5:$J$29,MATCH($A659,Population_by_Province_Year!$A$5:$A$29,0),MATCH($B659,Population_by_Province_Year!$B$4:$J$4,0)),"")</f>
        <v>1262299</v>
      </c>
      <c r="H659" s="22">
        <f>IFERROR(D659/G659*100000,"")</f>
        <v>2.9311597331535553</v>
      </c>
    </row>
    <row r="660" spans="1:8" ht="15" customHeight="1" x14ac:dyDescent="0.3">
      <c r="A660" s="20" t="s">
        <v>12</v>
      </c>
      <c r="B660" s="20">
        <v>2020</v>
      </c>
      <c r="C660" s="20" t="s">
        <v>96</v>
      </c>
      <c r="D660" s="20">
        <v>3</v>
      </c>
      <c r="E660" s="20">
        <v>0</v>
      </c>
      <c r="F660" s="22">
        <f>IFERROR(E660/D660*100,"")</f>
        <v>0</v>
      </c>
      <c r="G660" s="23">
        <f>IFERROR(INDEX(Population_by_Province_Year!$B$5:$J$29,MATCH($A660,Population_by_Province_Year!$A$5:$A$29,0),MATCH($B660,Population_by_Province_Year!$B$4:$J$4,0)),"")</f>
        <v>132264</v>
      </c>
      <c r="H660" s="22">
        <f>IFERROR(D660/G660*100000,"")</f>
        <v>2.2681908909453821</v>
      </c>
    </row>
    <row r="661" spans="1:8" ht="15" customHeight="1" x14ac:dyDescent="0.3">
      <c r="A661" s="20" t="s">
        <v>13</v>
      </c>
      <c r="B661" s="20">
        <v>2020</v>
      </c>
      <c r="C661" s="20" t="s">
        <v>96</v>
      </c>
      <c r="D661" s="20">
        <v>4</v>
      </c>
      <c r="E661" s="20">
        <v>0</v>
      </c>
      <c r="F661" s="22">
        <f>IFERROR(E661/D661*100,"")</f>
        <v>0</v>
      </c>
      <c r="G661" s="23">
        <f>IFERROR(INDEX(Population_by_Province_Year!$B$5:$J$29,MATCH($A661,Population_by_Province_Year!$A$5:$A$29,0),MATCH($B661,Population_by_Province_Year!$B$4:$J$4,0)),"")</f>
        <v>393692</v>
      </c>
      <c r="H661" s="22">
        <f>IFERROR(D661/G661*100000,"")</f>
        <v>1.0160226776261647</v>
      </c>
    </row>
    <row r="662" spans="1:8" ht="15" customHeight="1" x14ac:dyDescent="0.3">
      <c r="A662" s="20" t="s">
        <v>16</v>
      </c>
      <c r="B662" s="20">
        <v>2020</v>
      </c>
      <c r="C662" s="20" t="s">
        <v>96</v>
      </c>
      <c r="D662" s="20">
        <v>5</v>
      </c>
      <c r="E662" s="20">
        <v>0</v>
      </c>
      <c r="F662" s="22">
        <f>IFERROR(E662/D662*100,"")</f>
        <v>0</v>
      </c>
      <c r="G662" s="23">
        <f>IFERROR(INDEX(Population_by_Province_Year!$B$5:$J$29,MATCH($A662,Population_by_Province_Year!$A$5:$A$29,0),MATCH($B662,Population_by_Province_Year!$B$4:$J$4,0)),"")</f>
        <v>78908</v>
      </c>
      <c r="H662" s="22">
        <f>IFERROR(D662/G662*100000,"")</f>
        <v>6.3364931312414461</v>
      </c>
    </row>
    <row r="663" spans="1:8" ht="15" customHeight="1" x14ac:dyDescent="0.3">
      <c r="A663" s="20" t="s">
        <v>17</v>
      </c>
      <c r="B663" s="20">
        <v>2020</v>
      </c>
      <c r="C663" s="20" t="s">
        <v>96</v>
      </c>
      <c r="D663" s="20">
        <v>44</v>
      </c>
      <c r="E663" s="20">
        <v>0</v>
      </c>
      <c r="F663" s="22">
        <f>IFERROR(E663/D663*100,"")</f>
        <v>0</v>
      </c>
      <c r="G663" s="23">
        <f>IFERROR(INDEX(Population_by_Province_Year!$B$5:$J$29,MATCH($A663,Population_by_Province_Year!$A$5:$A$29,0),MATCH($B663,Population_by_Province_Year!$B$4:$J$4,0)),"")</f>
        <v>2397261</v>
      </c>
      <c r="H663" s="22">
        <f>IFERROR(D663/G663*100000,"")</f>
        <v>1.8354280155560867</v>
      </c>
    </row>
    <row r="664" spans="1:8" ht="15" customHeight="1" x14ac:dyDescent="0.3">
      <c r="A664" s="20" t="s">
        <v>18</v>
      </c>
      <c r="B664" s="20">
        <v>2020</v>
      </c>
      <c r="C664" s="20" t="s">
        <v>96</v>
      </c>
      <c r="D664" s="20">
        <v>24</v>
      </c>
      <c r="E664" s="20">
        <v>0</v>
      </c>
      <c r="F664" s="22">
        <f>IFERROR(E664/D664*100,"")</f>
        <v>0</v>
      </c>
      <c r="G664" s="23">
        <f>IFERROR(INDEX(Population_by_Province_Year!$B$5:$J$29,MATCH($A664,Population_by_Province_Year!$A$5:$A$29,0),MATCH($B664,Population_by_Province_Year!$B$4:$J$4,0)),"")</f>
        <v>325740</v>
      </c>
      <c r="H664" s="22">
        <f>IFERROR(D664/G664*100000,"")</f>
        <v>7.3678393811014917</v>
      </c>
    </row>
    <row r="665" spans="1:8" ht="15" customHeight="1" x14ac:dyDescent="0.3">
      <c r="A665" s="20" t="s">
        <v>19</v>
      </c>
      <c r="B665" s="20">
        <v>2020</v>
      </c>
      <c r="C665" s="20" t="s">
        <v>96</v>
      </c>
      <c r="D665" s="20">
        <v>10</v>
      </c>
      <c r="E665" s="20">
        <v>0</v>
      </c>
      <c r="F665" s="22">
        <f>IFERROR(E665/D665*100,"")</f>
        <v>0</v>
      </c>
      <c r="G665" s="23">
        <f>IFERROR(INDEX(Population_by_Province_Year!$B$5:$J$29,MATCH($A665,Population_by_Province_Year!$A$5:$A$29,0),MATCH($B665,Population_by_Province_Year!$B$4:$J$4,0)),"")</f>
        <v>267704</v>
      </c>
      <c r="H665" s="22">
        <f>IFERROR(D665/G665*100000,"")</f>
        <v>3.7354690254908407</v>
      </c>
    </row>
    <row r="666" spans="1:8" ht="15" customHeight="1" x14ac:dyDescent="0.3">
      <c r="A666" s="20" t="s">
        <v>20</v>
      </c>
      <c r="B666" s="20">
        <v>2020</v>
      </c>
      <c r="C666" s="20" t="s">
        <v>96</v>
      </c>
      <c r="D666" s="20">
        <v>8</v>
      </c>
      <c r="E666" s="20">
        <v>0</v>
      </c>
      <c r="F666" s="22">
        <f>IFERROR(E666/D666*100,"")</f>
        <v>0</v>
      </c>
      <c r="G666" s="23">
        <f>IFERROR(INDEX(Population_by_Province_Year!$B$5:$J$29,MATCH($A666,Population_by_Province_Year!$A$5:$A$29,0),MATCH($B666,Population_by_Province_Year!$B$4:$J$4,0)),"")</f>
        <v>1111168</v>
      </c>
      <c r="H666" s="22">
        <f>IFERROR(D666/G666*100000,"")</f>
        <v>0.71996313788734012</v>
      </c>
    </row>
    <row r="667" spans="1:8" ht="15" customHeight="1" x14ac:dyDescent="0.3">
      <c r="A667" s="20" t="s">
        <v>21</v>
      </c>
      <c r="B667" s="20">
        <v>2020</v>
      </c>
      <c r="C667" s="20" t="s">
        <v>96</v>
      </c>
      <c r="D667" s="20">
        <v>1</v>
      </c>
      <c r="E667" s="20">
        <v>0</v>
      </c>
      <c r="F667" s="22">
        <f>IFERROR(E667/D667*100,"")</f>
        <v>0</v>
      </c>
      <c r="G667" s="23">
        <f>IFERROR(INDEX(Population_by_Province_Year!$B$5:$J$29,MATCH($A667,Population_by_Province_Year!$A$5:$A$29,0),MATCH($B667,Population_by_Province_Year!$B$4:$J$4,0)),"")</f>
        <v>441173</v>
      </c>
      <c r="H667" s="22">
        <f>IFERROR(D667/G667*100000,"")</f>
        <v>0.226668449791805</v>
      </c>
    </row>
    <row r="668" spans="1:8" ht="15" customHeight="1" x14ac:dyDescent="0.3">
      <c r="A668" s="20" t="s">
        <v>23</v>
      </c>
      <c r="B668" s="20">
        <v>2020</v>
      </c>
      <c r="C668" s="20" t="s">
        <v>96</v>
      </c>
      <c r="D668" s="20">
        <v>23</v>
      </c>
      <c r="E668" s="20">
        <v>0</v>
      </c>
      <c r="F668" s="22">
        <f>IFERROR(E668/D668*100,"")</f>
        <v>0</v>
      </c>
      <c r="G668" s="23">
        <f>IFERROR(INDEX(Population_by_Province_Year!$B$5:$J$29,MATCH($A668,Population_by_Province_Year!$A$5:$A$29,0),MATCH($B668,Population_by_Province_Year!$B$4:$J$4,0)),"")</f>
        <v>1065485</v>
      </c>
      <c r="H668" s="22">
        <f>IFERROR(D668/G668*100000,"")</f>
        <v>2.1586413698925839</v>
      </c>
    </row>
    <row r="669" spans="1:8" ht="15" customHeight="1" x14ac:dyDescent="0.3">
      <c r="A669" s="20" t="s">
        <v>24</v>
      </c>
      <c r="B669" s="20">
        <v>2020</v>
      </c>
      <c r="C669" s="20" t="s">
        <v>96</v>
      </c>
      <c r="D669" s="20">
        <v>5</v>
      </c>
      <c r="E669" s="20">
        <v>0</v>
      </c>
      <c r="F669" s="22">
        <f>IFERROR(E669/D669*100,"")</f>
        <v>0</v>
      </c>
      <c r="G669" s="23">
        <f>IFERROR(INDEX(Population_by_Province_Year!$B$5:$J$29,MATCH($A669,Population_by_Province_Year!$A$5:$A$29,0),MATCH($B669,Population_by_Province_Year!$B$4:$J$4,0)),"")</f>
        <v>174087</v>
      </c>
      <c r="H669" s="22">
        <f>IFERROR(D669/G669*100000,"")</f>
        <v>2.872127154813398</v>
      </c>
    </row>
    <row r="670" spans="1:8" ht="15" customHeight="1" x14ac:dyDescent="0.3">
      <c r="A670" s="20" t="s">
        <v>25</v>
      </c>
      <c r="B670" s="20">
        <v>2020</v>
      </c>
      <c r="C670" s="20" t="s">
        <v>96</v>
      </c>
      <c r="D670" s="20">
        <v>3</v>
      </c>
      <c r="E670" s="20">
        <v>0</v>
      </c>
      <c r="F670" s="22">
        <f>IFERROR(E670/D670*100,"")</f>
        <v>0</v>
      </c>
      <c r="G670" s="23">
        <f>IFERROR(INDEX(Population_by_Province_Year!$B$5:$J$29,MATCH($A670,Population_by_Province_Year!$A$5:$A$29,0),MATCH($B670,Population_by_Province_Year!$B$4:$J$4,0)),"")</f>
        <v>552051</v>
      </c>
      <c r="H670" s="22">
        <f>IFERROR(D670/G670*100000,"")</f>
        <v>0.54342805284294382</v>
      </c>
    </row>
    <row r="671" spans="1:8" ht="15" customHeight="1" x14ac:dyDescent="0.3">
      <c r="A671" s="20" t="s">
        <v>26</v>
      </c>
      <c r="B671" s="20">
        <v>2020</v>
      </c>
      <c r="C671" s="20" t="s">
        <v>96</v>
      </c>
      <c r="D671" s="20">
        <v>8</v>
      </c>
      <c r="E671" s="20">
        <v>0</v>
      </c>
      <c r="F671" s="22">
        <f>IFERROR(E671/D671*100,"")</f>
        <v>0</v>
      </c>
      <c r="G671" s="23">
        <f>IFERROR(INDEX(Population_by_Province_Year!$B$5:$J$29,MATCH($A671,Population_by_Province_Year!$A$5:$A$29,0),MATCH($B671,Population_by_Province_Year!$B$4:$J$4,0)),"")</f>
        <v>946439</v>
      </c>
      <c r="H671" s="22">
        <f>IFERROR(D671/G671*100000,"")</f>
        <v>0.84527370490861009</v>
      </c>
    </row>
    <row r="672" spans="1:8" ht="15" customHeight="1" x14ac:dyDescent="0.3">
      <c r="A672" s="20" t="s">
        <v>27</v>
      </c>
      <c r="B672" s="20">
        <v>2020</v>
      </c>
      <c r="C672" s="20" t="s">
        <v>96</v>
      </c>
      <c r="D672" s="20">
        <v>21</v>
      </c>
      <c r="E672" s="20">
        <v>0</v>
      </c>
      <c r="F672" s="22">
        <f>IFERROR(E672/D672*100,"")</f>
        <v>0</v>
      </c>
      <c r="G672" s="23">
        <f>IFERROR(INDEX(Population_by_Province_Year!$B$5:$J$29,MATCH($A672,Population_by_Province_Year!$A$5:$A$29,0),MATCH($B672,Population_by_Province_Year!$B$4:$J$4,0)),"")</f>
        <v>816096</v>
      </c>
      <c r="H672" s="22">
        <f>IFERROR(D672/G672*100000,"")</f>
        <v>2.5732266792142098</v>
      </c>
    </row>
    <row r="673" spans="1:8" ht="15" customHeight="1" x14ac:dyDescent="0.3">
      <c r="A673" s="20" t="s">
        <v>3</v>
      </c>
      <c r="B673" s="20">
        <v>2020</v>
      </c>
      <c r="C673" s="20" t="s">
        <v>104</v>
      </c>
      <c r="D673" s="20">
        <v>28</v>
      </c>
      <c r="E673" s="20">
        <v>0</v>
      </c>
      <c r="F673" s="22">
        <f>IFERROR(E673/D673*100,"")</f>
        <v>0</v>
      </c>
      <c r="G673" s="23">
        <f>IFERROR(INDEX(Population_by_Province_Year!$B$5:$J$29,MATCH($A673,Population_by_Province_Year!$A$5:$A$29,0),MATCH($B673,Population_by_Province_Year!$B$4:$J$4,0)),"")</f>
        <v>905435</v>
      </c>
      <c r="H673" s="22">
        <f>IFERROR(D673/G673*100000,"")</f>
        <v>3.0924362323082275</v>
      </c>
    </row>
    <row r="674" spans="1:8" ht="15" customHeight="1" x14ac:dyDescent="0.3">
      <c r="A674" s="20" t="s">
        <v>4</v>
      </c>
      <c r="B674" s="20">
        <v>2020</v>
      </c>
      <c r="C674" s="20" t="s">
        <v>104</v>
      </c>
      <c r="D674" s="20">
        <v>11</v>
      </c>
      <c r="E674" s="20">
        <v>0</v>
      </c>
      <c r="F674" s="22">
        <f>IFERROR(E674/D674*100,"")</f>
        <v>0</v>
      </c>
      <c r="G674" s="23">
        <f>IFERROR(INDEX(Population_by_Province_Year!$B$5:$J$29,MATCH($A674,Population_by_Province_Year!$A$5:$A$29,0),MATCH($B674,Population_by_Province_Year!$B$4:$J$4,0)),"")</f>
        <v>1047557</v>
      </c>
      <c r="H674" s="22">
        <f>IFERROR(D674/G674*100000,"")</f>
        <v>1.0500621923198452</v>
      </c>
    </row>
    <row r="675" spans="1:8" ht="15" customHeight="1" x14ac:dyDescent="0.3">
      <c r="A675" s="20" t="s">
        <v>5</v>
      </c>
      <c r="B675" s="20">
        <v>2020</v>
      </c>
      <c r="C675" s="20" t="s">
        <v>104</v>
      </c>
      <c r="D675" s="20">
        <v>21</v>
      </c>
      <c r="E675" s="20">
        <v>0</v>
      </c>
      <c r="F675" s="22">
        <f>IFERROR(E675/D675*100,"")</f>
        <v>0</v>
      </c>
      <c r="G675" s="23">
        <f>IFERROR(INDEX(Population_by_Province_Year!$B$5:$J$29,MATCH($A675,Population_by_Province_Year!$A$5:$A$29,0),MATCH($B675,Population_by_Province_Year!$B$4:$J$4,0)),"")</f>
        <v>945259</v>
      </c>
      <c r="H675" s="22">
        <f>IFERROR(D675/G675*100000,"")</f>
        <v>2.221613335604316</v>
      </c>
    </row>
    <row r="676" spans="1:8" ht="15" customHeight="1" x14ac:dyDescent="0.3">
      <c r="A676" s="20" t="s">
        <v>6</v>
      </c>
      <c r="B676" s="20">
        <v>2020</v>
      </c>
      <c r="C676" s="20" t="s">
        <v>104</v>
      </c>
      <c r="D676" s="20">
        <v>39</v>
      </c>
      <c r="E676" s="20">
        <v>0</v>
      </c>
      <c r="F676" s="22">
        <f>IFERROR(E676/D676*100,"")</f>
        <v>0</v>
      </c>
      <c r="G676" s="23">
        <f>IFERROR(INDEX(Population_by_Province_Year!$B$5:$J$29,MATCH($A676,Population_by_Province_Year!$A$5:$A$29,0),MATCH($B676,Population_by_Province_Year!$B$4:$J$4,0)),"")</f>
        <v>553658</v>
      </c>
      <c r="H676" s="22">
        <f>IFERROR(D676/G676*100000,"")</f>
        <v>7.0440596902781145</v>
      </c>
    </row>
    <row r="677" spans="1:8" ht="15" customHeight="1" x14ac:dyDescent="0.3">
      <c r="A677" s="20" t="s">
        <v>7</v>
      </c>
      <c r="B677" s="20">
        <v>2020</v>
      </c>
      <c r="C677" s="20" t="s">
        <v>104</v>
      </c>
      <c r="D677" s="20">
        <v>23</v>
      </c>
      <c r="E677" s="20">
        <v>0</v>
      </c>
      <c r="F677" s="22">
        <f>IFERROR(E677/D677*100,"")</f>
        <v>0</v>
      </c>
      <c r="G677" s="23">
        <f>IFERROR(INDEX(Population_by_Province_Year!$B$5:$J$29,MATCH($A677,Population_by_Province_Year!$A$5:$A$29,0),MATCH($B677,Population_by_Province_Year!$B$4:$J$4,0)),"")</f>
        <v>921866</v>
      </c>
      <c r="H677" s="22">
        <f>IFERROR(D677/G677*100000,"")</f>
        <v>2.4949396116138356</v>
      </c>
    </row>
    <row r="678" spans="1:8" ht="15" customHeight="1" x14ac:dyDescent="0.3">
      <c r="A678" s="20" t="s">
        <v>8</v>
      </c>
      <c r="B678" s="20">
        <v>2020</v>
      </c>
      <c r="C678" s="20" t="s">
        <v>104</v>
      </c>
      <c r="D678" s="20">
        <v>56</v>
      </c>
      <c r="E678" s="20">
        <v>0</v>
      </c>
      <c r="F678" s="22">
        <f>IFERROR(E678/D678*100,"")</f>
        <v>0</v>
      </c>
      <c r="G678" s="23">
        <f>IFERROR(INDEX(Population_by_Province_Year!$B$5:$J$29,MATCH($A678,Population_by_Province_Year!$A$5:$A$29,0),MATCH($B678,Population_by_Province_Year!$B$4:$J$4,0)),"")</f>
        <v>715989</v>
      </c>
      <c r="H678" s="22">
        <f>IFERROR(D678/G678*100000,"")</f>
        <v>7.8213492106722304</v>
      </c>
    </row>
    <row r="679" spans="1:8" ht="15" customHeight="1" x14ac:dyDescent="0.3">
      <c r="A679" s="20" t="s">
        <v>9</v>
      </c>
      <c r="B679" s="20">
        <v>2020</v>
      </c>
      <c r="C679" s="20" t="s">
        <v>104</v>
      </c>
      <c r="D679" s="20">
        <v>3</v>
      </c>
      <c r="E679" s="20">
        <v>0</v>
      </c>
      <c r="F679" s="22">
        <f>IFERROR(E679/D679*100,"")</f>
        <v>0</v>
      </c>
      <c r="G679" s="23">
        <f>IFERROR(INDEX(Population_by_Province_Year!$B$5:$J$29,MATCH($A679,Population_by_Province_Year!$A$5:$A$29,0),MATCH($B679,Population_by_Province_Year!$B$4:$J$4,0)),"")</f>
        <v>623836</v>
      </c>
      <c r="H679" s="22">
        <f>IFERROR(D679/G679*100000,"")</f>
        <v>0.48089562000269304</v>
      </c>
    </row>
    <row r="680" spans="1:8" ht="15" customHeight="1" x14ac:dyDescent="0.3">
      <c r="A680" s="20" t="s">
        <v>10</v>
      </c>
      <c r="B680" s="20">
        <v>2020</v>
      </c>
      <c r="C680" s="20" t="s">
        <v>104</v>
      </c>
      <c r="D680" s="20">
        <v>82</v>
      </c>
      <c r="E680" s="20">
        <v>0</v>
      </c>
      <c r="F680" s="22">
        <f>IFERROR(E680/D680*100,"")</f>
        <v>0</v>
      </c>
      <c r="G680" s="23">
        <f>IFERROR(INDEX(Population_by_Province_Year!$B$5:$J$29,MATCH($A680,Population_by_Province_Year!$A$5:$A$29,0),MATCH($B680,Population_by_Province_Year!$B$4:$J$4,0)),"")</f>
        <v>1262299</v>
      </c>
      <c r="H680" s="22">
        <f>IFERROR(D680/G680*100000,"")</f>
        <v>6.496083732934907</v>
      </c>
    </row>
    <row r="681" spans="1:8" ht="15" customHeight="1" x14ac:dyDescent="0.3">
      <c r="A681" s="20" t="s">
        <v>12</v>
      </c>
      <c r="B681" s="20">
        <v>2020</v>
      </c>
      <c r="C681" s="20" t="s">
        <v>104</v>
      </c>
      <c r="D681" s="20">
        <v>7</v>
      </c>
      <c r="E681" s="20">
        <v>0</v>
      </c>
      <c r="F681" s="22">
        <f>IFERROR(E681/D681*100,"")</f>
        <v>0</v>
      </c>
      <c r="G681" s="23">
        <f>IFERROR(INDEX(Population_by_Province_Year!$B$5:$J$29,MATCH($A681,Population_by_Province_Year!$A$5:$A$29,0),MATCH($B681,Population_by_Province_Year!$B$4:$J$4,0)),"")</f>
        <v>132264</v>
      </c>
      <c r="H681" s="22">
        <f>IFERROR(D681/G681*100000,"")</f>
        <v>5.2924454122058906</v>
      </c>
    </row>
    <row r="682" spans="1:8" ht="15" customHeight="1" x14ac:dyDescent="0.3">
      <c r="A682" s="20" t="s">
        <v>13</v>
      </c>
      <c r="B682" s="20">
        <v>2020</v>
      </c>
      <c r="C682" s="20" t="s">
        <v>104</v>
      </c>
      <c r="D682" s="20">
        <v>9</v>
      </c>
      <c r="E682" s="20">
        <v>0</v>
      </c>
      <c r="F682" s="22">
        <f>IFERROR(E682/D682*100,"")</f>
        <v>0</v>
      </c>
      <c r="G682" s="23">
        <f>IFERROR(INDEX(Population_by_Province_Year!$B$5:$J$29,MATCH($A682,Population_by_Province_Year!$A$5:$A$29,0),MATCH($B682,Population_by_Province_Year!$B$4:$J$4,0)),"")</f>
        <v>393692</v>
      </c>
      <c r="H682" s="22">
        <f>IFERROR(D682/G682*100000,"")</f>
        <v>2.2860510246588701</v>
      </c>
    </row>
    <row r="683" spans="1:8" ht="15" customHeight="1" x14ac:dyDescent="0.3">
      <c r="A683" s="20" t="s">
        <v>15</v>
      </c>
      <c r="B683" s="20">
        <v>2020</v>
      </c>
      <c r="C683" s="20" t="s">
        <v>104</v>
      </c>
      <c r="D683" s="20">
        <v>5</v>
      </c>
      <c r="E683" s="20">
        <v>0</v>
      </c>
      <c r="F683" s="22">
        <f>IFERROR(E683/D683*100,"")</f>
        <v>0</v>
      </c>
      <c r="G683" s="23">
        <f>IFERROR(INDEX(Population_by_Province_Year!$B$5:$J$29,MATCH($A683,Population_by_Province_Year!$A$5:$A$29,0),MATCH($B683,Population_by_Province_Year!$B$4:$J$4,0)),"")</f>
        <v>289987</v>
      </c>
      <c r="H683" s="22">
        <f>IFERROR(D683/G683*100000,"")</f>
        <v>1.7242152234410508</v>
      </c>
    </row>
    <row r="684" spans="1:8" ht="15" customHeight="1" x14ac:dyDescent="0.3">
      <c r="A684" s="20" t="s">
        <v>16</v>
      </c>
      <c r="B684" s="20">
        <v>2020</v>
      </c>
      <c r="C684" s="20" t="s">
        <v>104</v>
      </c>
      <c r="D684" s="20">
        <v>3</v>
      </c>
      <c r="E684" s="20">
        <v>0</v>
      </c>
      <c r="F684" s="22">
        <f>IFERROR(E684/D684*100,"")</f>
        <v>0</v>
      </c>
      <c r="G684" s="23">
        <f>IFERROR(INDEX(Population_by_Province_Year!$B$5:$J$29,MATCH($A684,Population_by_Province_Year!$A$5:$A$29,0),MATCH($B684,Population_by_Province_Year!$B$4:$J$4,0)),"")</f>
        <v>78908</v>
      </c>
      <c r="H684" s="22">
        <f>IFERROR(D684/G684*100000,"")</f>
        <v>3.8018958787448676</v>
      </c>
    </row>
    <row r="685" spans="1:8" ht="15" customHeight="1" x14ac:dyDescent="0.3">
      <c r="A685" s="20" t="s">
        <v>17</v>
      </c>
      <c r="B685" s="20">
        <v>2020</v>
      </c>
      <c r="C685" s="20" t="s">
        <v>104</v>
      </c>
      <c r="D685" s="20">
        <v>66</v>
      </c>
      <c r="E685" s="20">
        <v>0</v>
      </c>
      <c r="F685" s="22">
        <f>IFERROR(E685/D685*100,"")</f>
        <v>0</v>
      </c>
      <c r="G685" s="23">
        <f>IFERROR(INDEX(Population_by_Province_Year!$B$5:$J$29,MATCH($A685,Population_by_Province_Year!$A$5:$A$29,0),MATCH($B685,Population_by_Province_Year!$B$4:$J$4,0)),"")</f>
        <v>2397261</v>
      </c>
      <c r="H685" s="22">
        <f>IFERROR(D685/G685*100000,"")</f>
        <v>2.7531420233341302</v>
      </c>
    </row>
    <row r="686" spans="1:8" ht="15" customHeight="1" x14ac:dyDescent="0.3">
      <c r="A686" s="20" t="s">
        <v>18</v>
      </c>
      <c r="B686" s="20">
        <v>2020</v>
      </c>
      <c r="C686" s="20" t="s">
        <v>104</v>
      </c>
      <c r="D686" s="20">
        <v>27</v>
      </c>
      <c r="E686" s="20">
        <v>0</v>
      </c>
      <c r="F686" s="22">
        <f>IFERROR(E686/D686*100,"")</f>
        <v>0</v>
      </c>
      <c r="G686" s="23">
        <f>IFERROR(INDEX(Population_by_Province_Year!$B$5:$J$29,MATCH($A686,Population_by_Province_Year!$A$5:$A$29,0),MATCH($B686,Population_by_Province_Year!$B$4:$J$4,0)),"")</f>
        <v>325740</v>
      </c>
      <c r="H686" s="22">
        <f>IFERROR(D686/G686*100000,"")</f>
        <v>8.288819303739178</v>
      </c>
    </row>
    <row r="687" spans="1:8" ht="15" customHeight="1" x14ac:dyDescent="0.3">
      <c r="A687" s="20" t="s">
        <v>19</v>
      </c>
      <c r="B687" s="20">
        <v>2020</v>
      </c>
      <c r="C687" s="20" t="s">
        <v>104</v>
      </c>
      <c r="D687" s="20">
        <v>3</v>
      </c>
      <c r="E687" s="20">
        <v>0</v>
      </c>
      <c r="F687" s="22">
        <f>IFERROR(E687/D687*100,"")</f>
        <v>0</v>
      </c>
      <c r="G687" s="23">
        <f>IFERROR(INDEX(Population_by_Province_Year!$B$5:$J$29,MATCH($A687,Population_by_Province_Year!$A$5:$A$29,0),MATCH($B687,Population_by_Province_Year!$B$4:$J$4,0)),"")</f>
        <v>267704</v>
      </c>
      <c r="H687" s="22">
        <f>IFERROR(D687/G687*100000,"")</f>
        <v>1.1206407076472522</v>
      </c>
    </row>
    <row r="688" spans="1:8" ht="15" customHeight="1" x14ac:dyDescent="0.3">
      <c r="A688" s="20" t="s">
        <v>20</v>
      </c>
      <c r="B688" s="20">
        <v>2020</v>
      </c>
      <c r="C688" s="20" t="s">
        <v>104</v>
      </c>
      <c r="D688" s="20">
        <v>27</v>
      </c>
      <c r="E688" s="20">
        <v>1</v>
      </c>
      <c r="F688" s="22">
        <f>IFERROR(E688/D688*100,"")</f>
        <v>3.7037037037037033</v>
      </c>
      <c r="G688" s="23">
        <f>IFERROR(INDEX(Population_by_Province_Year!$B$5:$J$29,MATCH($A688,Population_by_Province_Year!$A$5:$A$29,0),MATCH($B688,Population_by_Province_Year!$B$4:$J$4,0)),"")</f>
        <v>1111168</v>
      </c>
      <c r="H688" s="22">
        <f>IFERROR(D688/G688*100000,"")</f>
        <v>2.4298755903697731</v>
      </c>
    </row>
    <row r="689" spans="1:8" ht="15" customHeight="1" x14ac:dyDescent="0.3">
      <c r="A689" s="20" t="s">
        <v>21</v>
      </c>
      <c r="B689" s="20">
        <v>2020</v>
      </c>
      <c r="C689" s="20" t="s">
        <v>104</v>
      </c>
      <c r="D689" s="20">
        <v>1</v>
      </c>
      <c r="E689" s="20">
        <v>0</v>
      </c>
      <c r="F689" s="22">
        <f>IFERROR(E689/D689*100,"")</f>
        <v>0</v>
      </c>
      <c r="G689" s="23">
        <f>IFERROR(INDEX(Population_by_Province_Year!$B$5:$J$29,MATCH($A689,Population_by_Province_Year!$A$5:$A$29,0),MATCH($B689,Population_by_Province_Year!$B$4:$J$4,0)),"")</f>
        <v>441173</v>
      </c>
      <c r="H689" s="22">
        <f>IFERROR(D689/G689*100000,"")</f>
        <v>0.226668449791805</v>
      </c>
    </row>
    <row r="690" spans="1:8" ht="15" customHeight="1" x14ac:dyDescent="0.3">
      <c r="A690" s="20" t="s">
        <v>23</v>
      </c>
      <c r="B690" s="20">
        <v>2020</v>
      </c>
      <c r="C690" s="20" t="s">
        <v>104</v>
      </c>
      <c r="D690" s="20">
        <v>28</v>
      </c>
      <c r="E690" s="20">
        <v>0</v>
      </c>
      <c r="F690" s="22">
        <f>IFERROR(E690/D690*100,"")</f>
        <v>0</v>
      </c>
      <c r="G690" s="23">
        <f>IFERROR(INDEX(Population_by_Province_Year!$B$5:$J$29,MATCH($A690,Population_by_Province_Year!$A$5:$A$29,0),MATCH($B690,Population_by_Province_Year!$B$4:$J$4,0)),"")</f>
        <v>1065485</v>
      </c>
      <c r="H690" s="22">
        <f>IFERROR(D690/G690*100000,"")</f>
        <v>2.627911232912711</v>
      </c>
    </row>
    <row r="691" spans="1:8" ht="15" customHeight="1" x14ac:dyDescent="0.3">
      <c r="A691" s="20" t="s">
        <v>24</v>
      </c>
      <c r="B691" s="20">
        <v>2020</v>
      </c>
      <c r="C691" s="20" t="s">
        <v>104</v>
      </c>
      <c r="D691" s="20">
        <v>5</v>
      </c>
      <c r="E691" s="20">
        <v>0</v>
      </c>
      <c r="F691" s="22">
        <f>IFERROR(E691/D691*100,"")</f>
        <v>0</v>
      </c>
      <c r="G691" s="23">
        <f>IFERROR(INDEX(Population_by_Province_Year!$B$5:$J$29,MATCH($A691,Population_by_Province_Year!$A$5:$A$29,0),MATCH($B691,Population_by_Province_Year!$B$4:$J$4,0)),"")</f>
        <v>174087</v>
      </c>
      <c r="H691" s="22">
        <f>IFERROR(D691/G691*100000,"")</f>
        <v>2.872127154813398</v>
      </c>
    </row>
    <row r="692" spans="1:8" ht="15" customHeight="1" x14ac:dyDescent="0.3">
      <c r="A692" s="20" t="s">
        <v>25</v>
      </c>
      <c r="B692" s="20">
        <v>2020</v>
      </c>
      <c r="C692" s="20" t="s">
        <v>104</v>
      </c>
      <c r="D692" s="20">
        <v>15</v>
      </c>
      <c r="E692" s="20">
        <v>0</v>
      </c>
      <c r="F692" s="22">
        <f>IFERROR(E692/D692*100,"")</f>
        <v>0</v>
      </c>
      <c r="G692" s="23">
        <f>IFERROR(INDEX(Population_by_Province_Year!$B$5:$J$29,MATCH($A692,Population_by_Province_Year!$A$5:$A$29,0),MATCH($B692,Population_by_Province_Year!$B$4:$J$4,0)),"")</f>
        <v>552051</v>
      </c>
      <c r="H692" s="22">
        <f>IFERROR(D692/G692*100000,"")</f>
        <v>2.7171402642147195</v>
      </c>
    </row>
    <row r="693" spans="1:8" ht="15" customHeight="1" x14ac:dyDescent="0.3">
      <c r="A693" s="20" t="s">
        <v>26</v>
      </c>
      <c r="B693" s="20">
        <v>2020</v>
      </c>
      <c r="C693" s="20" t="s">
        <v>104</v>
      </c>
      <c r="D693" s="20">
        <v>26</v>
      </c>
      <c r="E693" s="20">
        <v>0</v>
      </c>
      <c r="F693" s="22">
        <f>IFERROR(E693/D693*100,"")</f>
        <v>0</v>
      </c>
      <c r="G693" s="23">
        <f>IFERROR(INDEX(Population_by_Province_Year!$B$5:$J$29,MATCH($A693,Population_by_Province_Year!$A$5:$A$29,0),MATCH($B693,Population_by_Province_Year!$B$4:$J$4,0)),"")</f>
        <v>946439</v>
      </c>
      <c r="H693" s="22">
        <f>IFERROR(D693/G693*100000,"")</f>
        <v>2.7471395409529826</v>
      </c>
    </row>
    <row r="694" spans="1:8" ht="15" customHeight="1" x14ac:dyDescent="0.3">
      <c r="A694" s="20" t="s">
        <v>27</v>
      </c>
      <c r="B694" s="20">
        <v>2020</v>
      </c>
      <c r="C694" s="20" t="s">
        <v>104</v>
      </c>
      <c r="D694" s="20">
        <v>20</v>
      </c>
      <c r="E694" s="20">
        <v>0</v>
      </c>
      <c r="F694" s="22">
        <f>IFERROR(E694/D694*100,"")</f>
        <v>0</v>
      </c>
      <c r="G694" s="23">
        <f>IFERROR(INDEX(Population_by_Province_Year!$B$5:$J$29,MATCH($A694,Population_by_Province_Year!$A$5:$A$29,0),MATCH($B694,Population_by_Province_Year!$B$4:$J$4,0)),"")</f>
        <v>816096</v>
      </c>
      <c r="H694" s="22">
        <f>IFERROR(D694/G694*100000,"")</f>
        <v>2.4506920754421047</v>
      </c>
    </row>
    <row r="695" spans="1:8" ht="15" customHeight="1" x14ac:dyDescent="0.3">
      <c r="A695" s="20" t="s">
        <v>3</v>
      </c>
      <c r="B695" s="20">
        <v>2020</v>
      </c>
      <c r="C695" s="20" t="s">
        <v>102</v>
      </c>
      <c r="D695" s="20">
        <v>39</v>
      </c>
      <c r="E695" s="20">
        <v>0</v>
      </c>
      <c r="F695" s="22">
        <f>IFERROR(E695/D695*100,"")</f>
        <v>0</v>
      </c>
      <c r="G695" s="23">
        <f>IFERROR(INDEX(Population_by_Province_Year!$B$5:$J$29,MATCH($A695,Population_by_Province_Year!$A$5:$A$29,0),MATCH($B695,Population_by_Province_Year!$B$4:$J$4,0)),"")</f>
        <v>905435</v>
      </c>
      <c r="H695" s="22">
        <f>IFERROR(D695/G695*100000,"")</f>
        <v>4.3073218950007455</v>
      </c>
    </row>
    <row r="696" spans="1:8" ht="15" customHeight="1" x14ac:dyDescent="0.3">
      <c r="A696" s="20" t="s">
        <v>4</v>
      </c>
      <c r="B696" s="20">
        <v>2020</v>
      </c>
      <c r="C696" s="20" t="s">
        <v>102</v>
      </c>
      <c r="D696" s="20">
        <v>62</v>
      </c>
      <c r="E696" s="20">
        <v>0</v>
      </c>
      <c r="F696" s="22">
        <f>IFERROR(E696/D696*100,"")</f>
        <v>0</v>
      </c>
      <c r="G696" s="23">
        <f>IFERROR(INDEX(Population_by_Province_Year!$B$5:$J$29,MATCH($A696,Population_by_Province_Year!$A$5:$A$29,0),MATCH($B696,Population_by_Province_Year!$B$4:$J$4,0)),"")</f>
        <v>1047557</v>
      </c>
      <c r="H696" s="22">
        <f>IFERROR(D696/G696*100000,"")</f>
        <v>5.9185323567118546</v>
      </c>
    </row>
    <row r="697" spans="1:8" ht="15" customHeight="1" x14ac:dyDescent="0.3">
      <c r="A697" s="20" t="s">
        <v>5</v>
      </c>
      <c r="B697" s="20">
        <v>2020</v>
      </c>
      <c r="C697" s="20" t="s">
        <v>102</v>
      </c>
      <c r="D697" s="20">
        <v>40</v>
      </c>
      <c r="E697" s="20">
        <v>0</v>
      </c>
      <c r="F697" s="22">
        <f>IFERROR(E697/D697*100,"")</f>
        <v>0</v>
      </c>
      <c r="G697" s="23">
        <f>IFERROR(INDEX(Population_by_Province_Year!$B$5:$J$29,MATCH($A697,Population_by_Province_Year!$A$5:$A$29,0),MATCH($B697,Population_by_Province_Year!$B$4:$J$4,0)),"")</f>
        <v>945259</v>
      </c>
      <c r="H697" s="22">
        <f>IFERROR(D697/G697*100000,"")</f>
        <v>4.2316444487701252</v>
      </c>
    </row>
    <row r="698" spans="1:8" ht="15" customHeight="1" x14ac:dyDescent="0.3">
      <c r="A698" s="20" t="s">
        <v>6</v>
      </c>
      <c r="B698" s="20">
        <v>2020</v>
      </c>
      <c r="C698" s="20" t="s">
        <v>102</v>
      </c>
      <c r="D698" s="20">
        <v>58</v>
      </c>
      <c r="E698" s="20">
        <v>0</v>
      </c>
      <c r="F698" s="22">
        <f>IFERROR(E698/D698*100,"")</f>
        <v>0</v>
      </c>
      <c r="G698" s="23">
        <f>IFERROR(INDEX(Population_by_Province_Year!$B$5:$J$29,MATCH($A698,Population_by_Province_Year!$A$5:$A$29,0),MATCH($B698,Population_by_Province_Year!$B$4:$J$4,0)),"")</f>
        <v>553658</v>
      </c>
      <c r="H698" s="22">
        <f>IFERROR(D698/G698*100000,"")</f>
        <v>10.475781077849502</v>
      </c>
    </row>
    <row r="699" spans="1:8" ht="15" customHeight="1" x14ac:dyDescent="0.3">
      <c r="A699" s="20" t="s">
        <v>7</v>
      </c>
      <c r="B699" s="20">
        <v>2020</v>
      </c>
      <c r="C699" s="20" t="s">
        <v>102</v>
      </c>
      <c r="D699" s="20">
        <v>74</v>
      </c>
      <c r="E699" s="20">
        <v>0</v>
      </c>
      <c r="F699" s="22">
        <f>IFERROR(E699/D699*100,"")</f>
        <v>0</v>
      </c>
      <c r="G699" s="23">
        <f>IFERROR(INDEX(Population_by_Province_Year!$B$5:$J$29,MATCH($A699,Population_by_Province_Year!$A$5:$A$29,0),MATCH($B699,Population_by_Province_Year!$B$4:$J$4,0)),"")</f>
        <v>921866</v>
      </c>
      <c r="H699" s="22">
        <f>IFERROR(D699/G699*100000,"")</f>
        <v>8.0271970112792967</v>
      </c>
    </row>
    <row r="700" spans="1:8" ht="15" customHeight="1" x14ac:dyDescent="0.3">
      <c r="A700" s="20" t="s">
        <v>8</v>
      </c>
      <c r="B700" s="20">
        <v>2020</v>
      </c>
      <c r="C700" s="20" t="s">
        <v>102</v>
      </c>
      <c r="D700" s="20">
        <v>74</v>
      </c>
      <c r="E700" s="20">
        <v>0</v>
      </c>
      <c r="F700" s="22">
        <f>IFERROR(E700/D700*100,"")</f>
        <v>0</v>
      </c>
      <c r="G700" s="23">
        <f>IFERROR(INDEX(Population_by_Province_Year!$B$5:$J$29,MATCH($A700,Population_by_Province_Year!$A$5:$A$29,0),MATCH($B700,Population_by_Province_Year!$B$4:$J$4,0)),"")</f>
        <v>715989</v>
      </c>
      <c r="H700" s="22">
        <f>IFERROR(D700/G700*100000,"")</f>
        <v>10.335354314102592</v>
      </c>
    </row>
    <row r="701" spans="1:8" ht="15" customHeight="1" x14ac:dyDescent="0.3">
      <c r="A701" s="20" t="s">
        <v>9</v>
      </c>
      <c r="B701" s="20">
        <v>2020</v>
      </c>
      <c r="C701" s="20" t="s">
        <v>102</v>
      </c>
      <c r="D701" s="20">
        <v>27</v>
      </c>
      <c r="E701" s="20">
        <v>0</v>
      </c>
      <c r="F701" s="22">
        <f>IFERROR(E701/D701*100,"")</f>
        <v>0</v>
      </c>
      <c r="G701" s="23">
        <f>IFERROR(INDEX(Population_by_Province_Year!$B$5:$J$29,MATCH($A701,Population_by_Province_Year!$A$5:$A$29,0),MATCH($B701,Population_by_Province_Year!$B$4:$J$4,0)),"")</f>
        <v>623836</v>
      </c>
      <c r="H701" s="22">
        <f>IFERROR(D701/G701*100000,"")</f>
        <v>4.3280605800242373</v>
      </c>
    </row>
    <row r="702" spans="1:8" ht="15" customHeight="1" x14ac:dyDescent="0.3">
      <c r="A702" s="20" t="s">
        <v>10</v>
      </c>
      <c r="B702" s="20">
        <v>2020</v>
      </c>
      <c r="C702" s="20" t="s">
        <v>102</v>
      </c>
      <c r="D702" s="20">
        <v>80</v>
      </c>
      <c r="E702" s="20">
        <v>0</v>
      </c>
      <c r="F702" s="22">
        <f>IFERROR(E702/D702*100,"")</f>
        <v>0</v>
      </c>
      <c r="G702" s="23">
        <f>IFERROR(INDEX(Population_by_Province_Year!$B$5:$J$29,MATCH($A702,Population_by_Province_Year!$A$5:$A$29,0),MATCH($B702,Population_by_Province_Year!$B$4:$J$4,0)),"")</f>
        <v>1262299</v>
      </c>
      <c r="H702" s="22">
        <f>IFERROR(D702/G702*100000,"")</f>
        <v>6.3376426662779579</v>
      </c>
    </row>
    <row r="703" spans="1:8" ht="15" customHeight="1" x14ac:dyDescent="0.3">
      <c r="A703" s="20" t="s">
        <v>11</v>
      </c>
      <c r="B703" s="20">
        <v>2020</v>
      </c>
      <c r="C703" s="20" t="s">
        <v>102</v>
      </c>
      <c r="D703" s="20">
        <v>1</v>
      </c>
      <c r="E703" s="20">
        <v>0</v>
      </c>
      <c r="F703" s="22">
        <f>IFERROR(E703/D703*100,"")</f>
        <v>0</v>
      </c>
      <c r="G703" s="23">
        <f>IFERROR(INDEX(Population_by_Province_Year!$B$5:$J$29,MATCH($A703,Population_by_Province_Year!$A$5:$A$29,0),MATCH($B703,Population_by_Province_Year!$B$4:$J$4,0)),"")</f>
        <v>44821</v>
      </c>
      <c r="H703" s="22">
        <f>IFERROR(D703/G703*100000,"")</f>
        <v>2.2310970304098525</v>
      </c>
    </row>
    <row r="704" spans="1:8" ht="15" customHeight="1" x14ac:dyDescent="0.3">
      <c r="A704" s="20" t="s">
        <v>12</v>
      </c>
      <c r="B704" s="20">
        <v>2020</v>
      </c>
      <c r="C704" s="20" t="s">
        <v>102</v>
      </c>
      <c r="D704" s="20">
        <v>7</v>
      </c>
      <c r="E704" s="20">
        <v>0</v>
      </c>
      <c r="F704" s="22">
        <f>IFERROR(E704/D704*100,"")</f>
        <v>0</v>
      </c>
      <c r="G704" s="23">
        <f>IFERROR(INDEX(Population_by_Province_Year!$B$5:$J$29,MATCH($A704,Population_by_Province_Year!$A$5:$A$29,0),MATCH($B704,Population_by_Province_Year!$B$4:$J$4,0)),"")</f>
        <v>132264</v>
      </c>
      <c r="H704" s="22">
        <f>IFERROR(D704/G704*100000,"")</f>
        <v>5.2924454122058906</v>
      </c>
    </row>
    <row r="705" spans="1:8" ht="15" customHeight="1" x14ac:dyDescent="0.3">
      <c r="A705" s="20" t="s">
        <v>13</v>
      </c>
      <c r="B705" s="20">
        <v>2020</v>
      </c>
      <c r="C705" s="20" t="s">
        <v>102</v>
      </c>
      <c r="D705" s="20">
        <v>13</v>
      </c>
      <c r="E705" s="20">
        <v>0</v>
      </c>
      <c r="F705" s="22">
        <f>IFERROR(E705/D705*100,"")</f>
        <v>0</v>
      </c>
      <c r="G705" s="23">
        <f>IFERROR(INDEX(Population_by_Province_Year!$B$5:$J$29,MATCH($A705,Population_by_Province_Year!$A$5:$A$29,0),MATCH($B705,Population_by_Province_Year!$B$4:$J$4,0)),"")</f>
        <v>393692</v>
      </c>
      <c r="H705" s="22">
        <f>IFERROR(D705/G705*100000,"")</f>
        <v>3.3020737022850351</v>
      </c>
    </row>
    <row r="706" spans="1:8" ht="15" customHeight="1" x14ac:dyDescent="0.3">
      <c r="A706" s="20" t="s">
        <v>15</v>
      </c>
      <c r="B706" s="20">
        <v>2020</v>
      </c>
      <c r="C706" s="20" t="s">
        <v>102</v>
      </c>
      <c r="D706" s="20">
        <v>5</v>
      </c>
      <c r="E706" s="20">
        <v>0</v>
      </c>
      <c r="F706" s="22">
        <f>IFERROR(E706/D706*100,"")</f>
        <v>0</v>
      </c>
      <c r="G706" s="23">
        <f>IFERROR(INDEX(Population_by_Province_Year!$B$5:$J$29,MATCH($A706,Population_by_Province_Year!$A$5:$A$29,0),MATCH($B706,Population_by_Province_Year!$B$4:$J$4,0)),"")</f>
        <v>289987</v>
      </c>
      <c r="H706" s="22">
        <f>IFERROR(D706/G706*100000,"")</f>
        <v>1.7242152234410508</v>
      </c>
    </row>
    <row r="707" spans="1:8" ht="15" customHeight="1" x14ac:dyDescent="0.3">
      <c r="A707" s="20" t="s">
        <v>16</v>
      </c>
      <c r="B707" s="20">
        <v>2020</v>
      </c>
      <c r="C707" s="20" t="s">
        <v>102</v>
      </c>
      <c r="D707" s="20">
        <v>8</v>
      </c>
      <c r="E707" s="20">
        <v>0</v>
      </c>
      <c r="F707" s="22">
        <f>IFERROR(E707/D707*100,"")</f>
        <v>0</v>
      </c>
      <c r="G707" s="23">
        <f>IFERROR(INDEX(Population_by_Province_Year!$B$5:$J$29,MATCH($A707,Population_by_Province_Year!$A$5:$A$29,0),MATCH($B707,Population_by_Province_Year!$B$4:$J$4,0)),"")</f>
        <v>78908</v>
      </c>
      <c r="H707" s="22">
        <f>IFERROR(D707/G707*100000,"")</f>
        <v>10.138389009986314</v>
      </c>
    </row>
    <row r="708" spans="1:8" ht="15" customHeight="1" x14ac:dyDescent="0.3">
      <c r="A708" s="20" t="s">
        <v>17</v>
      </c>
      <c r="B708" s="20">
        <v>2020</v>
      </c>
      <c r="C708" s="20" t="s">
        <v>102</v>
      </c>
      <c r="D708" s="20">
        <v>65</v>
      </c>
      <c r="E708" s="20">
        <v>0</v>
      </c>
      <c r="F708" s="22">
        <f>IFERROR(E708/D708*100,"")</f>
        <v>0</v>
      </c>
      <c r="G708" s="23">
        <f>IFERROR(INDEX(Population_by_Province_Year!$B$5:$J$29,MATCH($A708,Population_by_Province_Year!$A$5:$A$29,0),MATCH($B708,Population_by_Province_Year!$B$4:$J$4,0)),"")</f>
        <v>2397261</v>
      </c>
      <c r="H708" s="22">
        <f>IFERROR(D708/G708*100000,"")</f>
        <v>2.7114277502533102</v>
      </c>
    </row>
    <row r="709" spans="1:8" ht="15" customHeight="1" x14ac:dyDescent="0.3">
      <c r="A709" s="20" t="s">
        <v>18</v>
      </c>
      <c r="B709" s="20">
        <v>2020</v>
      </c>
      <c r="C709" s="20" t="s">
        <v>102</v>
      </c>
      <c r="D709" s="20">
        <v>51</v>
      </c>
      <c r="E709" s="20">
        <v>1</v>
      </c>
      <c r="F709" s="22">
        <f>IFERROR(E709/D709*100,"")</f>
        <v>1.9607843137254901</v>
      </c>
      <c r="G709" s="23">
        <f>IFERROR(INDEX(Population_by_Province_Year!$B$5:$J$29,MATCH($A709,Population_by_Province_Year!$A$5:$A$29,0),MATCH($B709,Population_by_Province_Year!$B$4:$J$4,0)),"")</f>
        <v>325740</v>
      </c>
      <c r="H709" s="22">
        <f>IFERROR(D709/G709*100000,"")</f>
        <v>15.65665868484067</v>
      </c>
    </row>
    <row r="710" spans="1:8" ht="15" customHeight="1" x14ac:dyDescent="0.3">
      <c r="A710" s="20" t="s">
        <v>19</v>
      </c>
      <c r="B710" s="20">
        <v>2020</v>
      </c>
      <c r="C710" s="20" t="s">
        <v>102</v>
      </c>
      <c r="D710" s="20">
        <v>15</v>
      </c>
      <c r="E710" s="20">
        <v>0</v>
      </c>
      <c r="F710" s="22">
        <f>IFERROR(E710/D710*100,"")</f>
        <v>0</v>
      </c>
      <c r="G710" s="23">
        <f>IFERROR(INDEX(Population_by_Province_Year!$B$5:$J$29,MATCH($A710,Population_by_Province_Year!$A$5:$A$29,0),MATCH($B710,Population_by_Province_Year!$B$4:$J$4,0)),"")</f>
        <v>267704</v>
      </c>
      <c r="H710" s="22">
        <f>IFERROR(D710/G710*100000,"")</f>
        <v>5.6032035382362606</v>
      </c>
    </row>
    <row r="711" spans="1:8" ht="15" customHeight="1" x14ac:dyDescent="0.3">
      <c r="A711" s="20" t="s">
        <v>20</v>
      </c>
      <c r="B711" s="20">
        <v>2020</v>
      </c>
      <c r="C711" s="20" t="s">
        <v>102</v>
      </c>
      <c r="D711" s="20">
        <v>25</v>
      </c>
      <c r="E711" s="20">
        <v>0</v>
      </c>
      <c r="F711" s="22">
        <f>IFERROR(E711/D711*100,"")</f>
        <v>0</v>
      </c>
      <c r="G711" s="23">
        <f>IFERROR(INDEX(Population_by_Province_Year!$B$5:$J$29,MATCH($A711,Population_by_Province_Year!$A$5:$A$29,0),MATCH($B711,Population_by_Province_Year!$B$4:$J$4,0)),"")</f>
        <v>1111168</v>
      </c>
      <c r="H711" s="22">
        <f>IFERROR(D711/G711*100000,"")</f>
        <v>2.2498848058979379</v>
      </c>
    </row>
    <row r="712" spans="1:8" ht="15" customHeight="1" x14ac:dyDescent="0.3">
      <c r="A712" s="20" t="s">
        <v>21</v>
      </c>
      <c r="B712" s="20">
        <v>2020</v>
      </c>
      <c r="C712" s="20" t="s">
        <v>102</v>
      </c>
      <c r="D712" s="20">
        <v>3</v>
      </c>
      <c r="E712" s="20">
        <v>0</v>
      </c>
      <c r="F712" s="22">
        <f>IFERROR(E712/D712*100,"")</f>
        <v>0</v>
      </c>
      <c r="G712" s="23">
        <f>IFERROR(INDEX(Population_by_Province_Year!$B$5:$J$29,MATCH($A712,Population_by_Province_Year!$A$5:$A$29,0),MATCH($B712,Population_by_Province_Year!$B$4:$J$4,0)),"")</f>
        <v>441173</v>
      </c>
      <c r="H712" s="22">
        <f>IFERROR(D712/G712*100000,"")</f>
        <v>0.68000534937541512</v>
      </c>
    </row>
    <row r="713" spans="1:8" ht="15" customHeight="1" x14ac:dyDescent="0.3">
      <c r="A713" s="20" t="s">
        <v>22</v>
      </c>
      <c r="B713" s="20">
        <v>2020</v>
      </c>
      <c r="C713" s="20" t="s">
        <v>102</v>
      </c>
      <c r="D713" s="20">
        <v>1</v>
      </c>
      <c r="E713" s="20">
        <v>0</v>
      </c>
      <c r="F713" s="22">
        <f>IFERROR(E713/D713*100,"")</f>
        <v>0</v>
      </c>
      <c r="G713" s="23">
        <f>IFERROR(INDEX(Population_by_Province_Year!$B$5:$J$29,MATCH($A713,Population_by_Province_Year!$A$5:$A$29,0),MATCH($B713,Population_by_Province_Year!$B$4:$J$4,0)),"")</f>
        <v>228441</v>
      </c>
      <c r="H713" s="22">
        <f>IFERROR(D713/G713*100000,"")</f>
        <v>0.43774979097447475</v>
      </c>
    </row>
    <row r="714" spans="1:8" ht="15" customHeight="1" x14ac:dyDescent="0.3">
      <c r="A714" s="20" t="s">
        <v>23</v>
      </c>
      <c r="B714" s="20">
        <v>2020</v>
      </c>
      <c r="C714" s="20" t="s">
        <v>102</v>
      </c>
      <c r="D714" s="20">
        <v>46</v>
      </c>
      <c r="E714" s="20">
        <v>0</v>
      </c>
      <c r="F714" s="22">
        <f>IFERROR(E714/D714*100,"")</f>
        <v>0</v>
      </c>
      <c r="G714" s="23">
        <f>IFERROR(INDEX(Population_by_Province_Year!$B$5:$J$29,MATCH($A714,Population_by_Province_Year!$A$5:$A$29,0),MATCH($B714,Population_by_Province_Year!$B$4:$J$4,0)),"")</f>
        <v>1065485</v>
      </c>
      <c r="H714" s="22">
        <f>IFERROR(D714/G714*100000,"")</f>
        <v>4.3172827397851679</v>
      </c>
    </row>
    <row r="715" spans="1:8" ht="15" customHeight="1" x14ac:dyDescent="0.3">
      <c r="A715" s="20" t="s">
        <v>24</v>
      </c>
      <c r="B715" s="20">
        <v>2020</v>
      </c>
      <c r="C715" s="20" t="s">
        <v>102</v>
      </c>
      <c r="D715" s="20">
        <v>11</v>
      </c>
      <c r="E715" s="20">
        <v>0</v>
      </c>
      <c r="F715" s="22">
        <f>IFERROR(E715/D715*100,"")</f>
        <v>0</v>
      </c>
      <c r="G715" s="23">
        <f>IFERROR(INDEX(Population_by_Province_Year!$B$5:$J$29,MATCH($A715,Population_by_Province_Year!$A$5:$A$29,0),MATCH($B715,Population_by_Province_Year!$B$4:$J$4,0)),"")</f>
        <v>174087</v>
      </c>
      <c r="H715" s="22">
        <f>IFERROR(D715/G715*100000,"")</f>
        <v>6.3186797405894746</v>
      </c>
    </row>
    <row r="716" spans="1:8" ht="15" customHeight="1" x14ac:dyDescent="0.3">
      <c r="A716" s="20" t="s">
        <v>25</v>
      </c>
      <c r="B716" s="20">
        <v>2020</v>
      </c>
      <c r="C716" s="20" t="s">
        <v>102</v>
      </c>
      <c r="D716" s="20">
        <v>28</v>
      </c>
      <c r="E716" s="20">
        <v>0</v>
      </c>
      <c r="F716" s="22">
        <f>IFERROR(E716/D716*100,"")</f>
        <v>0</v>
      </c>
      <c r="G716" s="23">
        <f>IFERROR(INDEX(Population_by_Province_Year!$B$5:$J$29,MATCH($A716,Population_by_Province_Year!$A$5:$A$29,0),MATCH($B716,Population_by_Province_Year!$B$4:$J$4,0)),"")</f>
        <v>552051</v>
      </c>
      <c r="H716" s="22">
        <f>IFERROR(D716/G716*100000,"")</f>
        <v>5.071995159867476</v>
      </c>
    </row>
    <row r="717" spans="1:8" ht="15" customHeight="1" x14ac:dyDescent="0.3">
      <c r="A717" s="20" t="s">
        <v>26</v>
      </c>
      <c r="B717" s="20">
        <v>2020</v>
      </c>
      <c r="C717" s="20" t="s">
        <v>102</v>
      </c>
      <c r="D717" s="20">
        <v>14</v>
      </c>
      <c r="E717" s="20">
        <v>0</v>
      </c>
      <c r="F717" s="22">
        <f>IFERROR(E717/D717*100,"")</f>
        <v>0</v>
      </c>
      <c r="G717" s="23">
        <f>IFERROR(INDEX(Population_by_Province_Year!$B$5:$J$29,MATCH($A717,Population_by_Province_Year!$A$5:$A$29,0),MATCH($B717,Population_by_Province_Year!$B$4:$J$4,0)),"")</f>
        <v>946439</v>
      </c>
      <c r="H717" s="22">
        <f>IFERROR(D717/G717*100000,"")</f>
        <v>1.4792289835900676</v>
      </c>
    </row>
    <row r="718" spans="1:8" ht="15" customHeight="1" x14ac:dyDescent="0.3">
      <c r="A718" s="20" t="s">
        <v>27</v>
      </c>
      <c r="B718" s="20">
        <v>2020</v>
      </c>
      <c r="C718" s="20" t="s">
        <v>102</v>
      </c>
      <c r="D718" s="20">
        <v>102</v>
      </c>
      <c r="E718" s="20">
        <v>0</v>
      </c>
      <c r="F718" s="22">
        <f>IFERROR(E718/D718*100,"")</f>
        <v>0</v>
      </c>
      <c r="G718" s="23">
        <f>IFERROR(INDEX(Population_by_Province_Year!$B$5:$J$29,MATCH($A718,Population_by_Province_Year!$A$5:$A$29,0),MATCH($B718,Population_by_Province_Year!$B$4:$J$4,0)),"")</f>
        <v>816096</v>
      </c>
      <c r="H718" s="22">
        <f>IFERROR(D718/G718*100000,"")</f>
        <v>12.498529584754735</v>
      </c>
    </row>
    <row r="719" spans="1:8" ht="15" customHeight="1" x14ac:dyDescent="0.3">
      <c r="A719" s="20" t="s">
        <v>3</v>
      </c>
      <c r="B719" s="20">
        <v>2020</v>
      </c>
      <c r="C719" s="20" t="s">
        <v>101</v>
      </c>
      <c r="D719" s="20">
        <v>154</v>
      </c>
      <c r="E719" s="20">
        <v>0</v>
      </c>
      <c r="F719" s="22">
        <f>IFERROR(E719/D719*100,"")</f>
        <v>0</v>
      </c>
      <c r="G719" s="23">
        <f>IFERROR(INDEX(Population_by_Province_Year!$B$5:$J$29,MATCH($A719,Population_by_Province_Year!$A$5:$A$29,0),MATCH($B719,Population_by_Province_Year!$B$4:$J$4,0)),"")</f>
        <v>905435</v>
      </c>
      <c r="H719" s="22">
        <f>IFERROR(D719/G719*100000,"")</f>
        <v>17.008399277695251</v>
      </c>
    </row>
    <row r="720" spans="1:8" ht="15" customHeight="1" x14ac:dyDescent="0.3">
      <c r="A720" s="20" t="s">
        <v>4</v>
      </c>
      <c r="B720" s="20">
        <v>2020</v>
      </c>
      <c r="C720" s="20" t="s">
        <v>101</v>
      </c>
      <c r="D720" s="20">
        <v>186</v>
      </c>
      <c r="E720" s="20">
        <v>1</v>
      </c>
      <c r="F720" s="22">
        <f>IFERROR(E720/D720*100,"")</f>
        <v>0.53763440860215062</v>
      </c>
      <c r="G720" s="23">
        <f>IFERROR(INDEX(Population_by_Province_Year!$B$5:$J$29,MATCH($A720,Population_by_Province_Year!$A$5:$A$29,0),MATCH($B720,Population_by_Province_Year!$B$4:$J$4,0)),"")</f>
        <v>1047557</v>
      </c>
      <c r="H720" s="22">
        <f>IFERROR(D720/G720*100000,"")</f>
        <v>17.755597070135565</v>
      </c>
    </row>
    <row r="721" spans="1:8" ht="15" customHeight="1" x14ac:dyDescent="0.3">
      <c r="A721" s="20" t="s">
        <v>5</v>
      </c>
      <c r="B721" s="20">
        <v>2020</v>
      </c>
      <c r="C721" s="20" t="s">
        <v>101</v>
      </c>
      <c r="D721" s="20">
        <v>82</v>
      </c>
      <c r="E721" s="20">
        <v>0</v>
      </c>
      <c r="F721" s="22">
        <f>IFERROR(E721/D721*100,"")</f>
        <v>0</v>
      </c>
      <c r="G721" s="23">
        <f>IFERROR(INDEX(Population_by_Province_Year!$B$5:$J$29,MATCH($A721,Population_by_Province_Year!$A$5:$A$29,0),MATCH($B721,Population_by_Province_Year!$B$4:$J$4,0)),"")</f>
        <v>945259</v>
      </c>
      <c r="H721" s="22">
        <f>IFERROR(D721/G721*100000,"")</f>
        <v>8.6748711199787572</v>
      </c>
    </row>
    <row r="722" spans="1:8" ht="15" customHeight="1" x14ac:dyDescent="0.3">
      <c r="A722" s="20" t="s">
        <v>6</v>
      </c>
      <c r="B722" s="20">
        <v>2020</v>
      </c>
      <c r="C722" s="20" t="s">
        <v>101</v>
      </c>
      <c r="D722" s="20">
        <v>180</v>
      </c>
      <c r="E722" s="20">
        <v>0</v>
      </c>
      <c r="F722" s="22">
        <f>IFERROR(E722/D722*100,"")</f>
        <v>0</v>
      </c>
      <c r="G722" s="23">
        <f>IFERROR(INDEX(Population_by_Province_Year!$B$5:$J$29,MATCH($A722,Population_by_Province_Year!$A$5:$A$29,0),MATCH($B722,Population_by_Province_Year!$B$4:$J$4,0)),"")</f>
        <v>553658</v>
      </c>
      <c r="H722" s="22">
        <f>IFERROR(D722/G722*100000,"")</f>
        <v>32.511044724360524</v>
      </c>
    </row>
    <row r="723" spans="1:8" ht="15" customHeight="1" x14ac:dyDescent="0.3">
      <c r="A723" s="20" t="s">
        <v>7</v>
      </c>
      <c r="B723" s="20">
        <v>2020</v>
      </c>
      <c r="C723" s="20" t="s">
        <v>101</v>
      </c>
      <c r="D723" s="20">
        <v>136</v>
      </c>
      <c r="E723" s="20">
        <v>1</v>
      </c>
      <c r="F723" s="22">
        <f>IFERROR(E723/D723*100,"")</f>
        <v>0.73529411764705876</v>
      </c>
      <c r="G723" s="23">
        <f>IFERROR(INDEX(Population_by_Province_Year!$B$5:$J$29,MATCH($A723,Population_by_Province_Year!$A$5:$A$29,0),MATCH($B723,Population_by_Province_Year!$B$4:$J$4,0)),"")</f>
        <v>921866</v>
      </c>
      <c r="H723" s="22">
        <f>IFERROR(D723/G723*100000,"")</f>
        <v>14.752686399107898</v>
      </c>
    </row>
    <row r="724" spans="1:8" ht="15" customHeight="1" x14ac:dyDescent="0.3">
      <c r="A724" s="20" t="s">
        <v>8</v>
      </c>
      <c r="B724" s="20">
        <v>2020</v>
      </c>
      <c r="C724" s="20" t="s">
        <v>101</v>
      </c>
      <c r="D724" s="20">
        <v>136</v>
      </c>
      <c r="E724" s="20">
        <v>0</v>
      </c>
      <c r="F724" s="22">
        <f>IFERROR(E724/D724*100,"")</f>
        <v>0</v>
      </c>
      <c r="G724" s="23">
        <f>IFERROR(INDEX(Population_by_Province_Year!$B$5:$J$29,MATCH($A724,Population_by_Province_Year!$A$5:$A$29,0),MATCH($B724,Population_by_Province_Year!$B$4:$J$4,0)),"")</f>
        <v>715989</v>
      </c>
      <c r="H724" s="22">
        <f>IFERROR(D724/G724*100000,"")</f>
        <v>18.994705225918274</v>
      </c>
    </row>
    <row r="725" spans="1:8" ht="15" customHeight="1" x14ac:dyDescent="0.3">
      <c r="A725" s="20" t="s">
        <v>9</v>
      </c>
      <c r="B725" s="20">
        <v>2020</v>
      </c>
      <c r="C725" s="20" t="s">
        <v>101</v>
      </c>
      <c r="D725" s="20">
        <v>37</v>
      </c>
      <c r="E725" s="20">
        <v>0</v>
      </c>
      <c r="F725" s="22">
        <f>IFERROR(E725/D725*100,"")</f>
        <v>0</v>
      </c>
      <c r="G725" s="23">
        <f>IFERROR(INDEX(Population_by_Province_Year!$B$5:$J$29,MATCH($A725,Population_by_Province_Year!$A$5:$A$29,0),MATCH($B725,Population_by_Province_Year!$B$4:$J$4,0)),"")</f>
        <v>623836</v>
      </c>
      <c r="H725" s="22">
        <f>IFERROR(D725/G725*100000,"")</f>
        <v>5.9310459800332138</v>
      </c>
    </row>
    <row r="726" spans="1:8" ht="15" customHeight="1" x14ac:dyDescent="0.3">
      <c r="A726" s="20" t="s">
        <v>10</v>
      </c>
      <c r="B726" s="20">
        <v>2020</v>
      </c>
      <c r="C726" s="20" t="s">
        <v>101</v>
      </c>
      <c r="D726" s="20">
        <v>135</v>
      </c>
      <c r="E726" s="20">
        <v>0</v>
      </c>
      <c r="F726" s="22">
        <f>IFERROR(E726/D726*100,"")</f>
        <v>0</v>
      </c>
      <c r="G726" s="23">
        <f>IFERROR(INDEX(Population_by_Province_Year!$B$5:$J$29,MATCH($A726,Population_by_Province_Year!$A$5:$A$29,0),MATCH($B726,Population_by_Province_Year!$B$4:$J$4,0)),"")</f>
        <v>1262299</v>
      </c>
      <c r="H726" s="22">
        <f>IFERROR(D726/G726*100000,"")</f>
        <v>10.694771999344054</v>
      </c>
    </row>
    <row r="727" spans="1:8" ht="15" customHeight="1" x14ac:dyDescent="0.3">
      <c r="A727" s="20" t="s">
        <v>11</v>
      </c>
      <c r="B727" s="20">
        <v>2020</v>
      </c>
      <c r="C727" s="20" t="s">
        <v>101</v>
      </c>
      <c r="D727" s="20">
        <v>3</v>
      </c>
      <c r="E727" s="20">
        <v>0</v>
      </c>
      <c r="F727" s="22">
        <f>IFERROR(E727/D727*100,"")</f>
        <v>0</v>
      </c>
      <c r="G727" s="23">
        <f>IFERROR(INDEX(Population_by_Province_Year!$B$5:$J$29,MATCH($A727,Population_by_Province_Year!$A$5:$A$29,0),MATCH($B727,Population_by_Province_Year!$B$4:$J$4,0)),"")</f>
        <v>44821</v>
      </c>
      <c r="H727" s="22">
        <f>IFERROR(D727/G727*100000,"")</f>
        <v>6.6932910912295576</v>
      </c>
    </row>
    <row r="728" spans="1:8" ht="15" customHeight="1" x14ac:dyDescent="0.3">
      <c r="A728" s="20" t="s">
        <v>12</v>
      </c>
      <c r="B728" s="20">
        <v>2020</v>
      </c>
      <c r="C728" s="20" t="s">
        <v>101</v>
      </c>
      <c r="D728" s="20">
        <v>5</v>
      </c>
      <c r="E728" s="20">
        <v>0</v>
      </c>
      <c r="F728" s="22">
        <f>IFERROR(E728/D728*100,"")</f>
        <v>0</v>
      </c>
      <c r="G728" s="23">
        <f>IFERROR(INDEX(Population_by_Province_Year!$B$5:$J$29,MATCH($A728,Population_by_Province_Year!$A$5:$A$29,0),MATCH($B728,Population_by_Province_Year!$B$4:$J$4,0)),"")</f>
        <v>132264</v>
      </c>
      <c r="H728" s="22">
        <f>IFERROR(D728/G728*100000,"")</f>
        <v>3.7803181515756368</v>
      </c>
    </row>
    <row r="729" spans="1:8" ht="15" customHeight="1" x14ac:dyDescent="0.3">
      <c r="A729" s="20" t="s">
        <v>13</v>
      </c>
      <c r="B729" s="20">
        <v>2020</v>
      </c>
      <c r="C729" s="20" t="s">
        <v>101</v>
      </c>
      <c r="D729" s="20">
        <v>29</v>
      </c>
      <c r="E729" s="20">
        <v>0</v>
      </c>
      <c r="F729" s="22">
        <f>IFERROR(E729/D729*100,"")</f>
        <v>0</v>
      </c>
      <c r="G729" s="23">
        <f>IFERROR(INDEX(Population_by_Province_Year!$B$5:$J$29,MATCH($A729,Population_by_Province_Year!$A$5:$A$29,0),MATCH($B729,Population_by_Province_Year!$B$4:$J$4,0)),"")</f>
        <v>393692</v>
      </c>
      <c r="H729" s="22">
        <f>IFERROR(D729/G729*100000,"")</f>
        <v>7.3661644127896935</v>
      </c>
    </row>
    <row r="730" spans="1:8" ht="15" customHeight="1" x14ac:dyDescent="0.3">
      <c r="A730" s="20" t="s">
        <v>14</v>
      </c>
      <c r="B730" s="20">
        <v>2020</v>
      </c>
      <c r="C730" s="20" t="s">
        <v>101</v>
      </c>
      <c r="D730" s="20">
        <v>3</v>
      </c>
      <c r="E730" s="20">
        <v>1</v>
      </c>
      <c r="F730" s="22">
        <f>IFERROR(E730/D730*100,"")</f>
        <v>33.333333333333329</v>
      </c>
      <c r="G730" s="23">
        <f>IFERROR(INDEX(Population_by_Province_Year!$B$5:$J$29,MATCH($A730,Population_by_Province_Year!$A$5:$A$29,0),MATCH($B730,Population_by_Province_Year!$B$4:$J$4,0)),"")</f>
        <v>96873</v>
      </c>
      <c r="H730" s="22">
        <f>IFERROR(D730/G730*100000,"")</f>
        <v>3.0968381282710351</v>
      </c>
    </row>
    <row r="731" spans="1:8" ht="15" customHeight="1" x14ac:dyDescent="0.3">
      <c r="A731" s="20" t="s">
        <v>15</v>
      </c>
      <c r="B731" s="20">
        <v>2020</v>
      </c>
      <c r="C731" s="20" t="s">
        <v>101</v>
      </c>
      <c r="D731" s="20">
        <v>27</v>
      </c>
      <c r="E731" s="20">
        <v>0</v>
      </c>
      <c r="F731" s="22">
        <f>IFERROR(E731/D731*100,"")</f>
        <v>0</v>
      </c>
      <c r="G731" s="23">
        <f>IFERROR(INDEX(Population_by_Province_Year!$B$5:$J$29,MATCH($A731,Population_by_Province_Year!$A$5:$A$29,0),MATCH($B731,Population_by_Province_Year!$B$4:$J$4,0)),"")</f>
        <v>289987</v>
      </c>
      <c r="H731" s="22">
        <f>IFERROR(D731/G731*100000,"")</f>
        <v>9.3107622065816749</v>
      </c>
    </row>
    <row r="732" spans="1:8" ht="15" customHeight="1" x14ac:dyDescent="0.3">
      <c r="A732" s="20" t="s">
        <v>16</v>
      </c>
      <c r="B732" s="20">
        <v>2020</v>
      </c>
      <c r="C732" s="20" t="s">
        <v>101</v>
      </c>
      <c r="D732" s="20">
        <v>21</v>
      </c>
      <c r="E732" s="20">
        <v>0</v>
      </c>
      <c r="F732" s="22">
        <f>IFERROR(E732/D732*100,"")</f>
        <v>0</v>
      </c>
      <c r="G732" s="23">
        <f>IFERROR(INDEX(Population_by_Province_Year!$B$5:$J$29,MATCH($A732,Population_by_Province_Year!$A$5:$A$29,0),MATCH($B732,Population_by_Province_Year!$B$4:$J$4,0)),"")</f>
        <v>78908</v>
      </c>
      <c r="H732" s="22">
        <f>IFERROR(D732/G732*100000,"")</f>
        <v>26.613271151214075</v>
      </c>
    </row>
    <row r="733" spans="1:8" ht="15" customHeight="1" x14ac:dyDescent="0.3">
      <c r="A733" s="20" t="s">
        <v>17</v>
      </c>
      <c r="B733" s="20">
        <v>2020</v>
      </c>
      <c r="C733" s="20" t="s">
        <v>101</v>
      </c>
      <c r="D733" s="20">
        <v>176</v>
      </c>
      <c r="E733" s="20">
        <v>0</v>
      </c>
      <c r="F733" s="22">
        <f>IFERROR(E733/D733*100,"")</f>
        <v>0</v>
      </c>
      <c r="G733" s="23">
        <f>IFERROR(INDEX(Population_by_Province_Year!$B$5:$J$29,MATCH($A733,Population_by_Province_Year!$A$5:$A$29,0),MATCH($B733,Population_by_Province_Year!$B$4:$J$4,0)),"")</f>
        <v>2397261</v>
      </c>
      <c r="H733" s="22">
        <f>IFERROR(D733/G733*100000,"")</f>
        <v>7.3417120622243468</v>
      </c>
    </row>
    <row r="734" spans="1:8" ht="15" customHeight="1" x14ac:dyDescent="0.3">
      <c r="A734" s="20" t="s">
        <v>18</v>
      </c>
      <c r="B734" s="20">
        <v>2020</v>
      </c>
      <c r="C734" s="20" t="s">
        <v>101</v>
      </c>
      <c r="D734" s="20">
        <v>57</v>
      </c>
      <c r="E734" s="20">
        <v>0</v>
      </c>
      <c r="F734" s="22">
        <f>IFERROR(E734/D734*100,"")</f>
        <v>0</v>
      </c>
      <c r="G734" s="23">
        <f>IFERROR(INDEX(Population_by_Province_Year!$B$5:$J$29,MATCH($A734,Population_by_Province_Year!$A$5:$A$29,0),MATCH($B734,Population_by_Province_Year!$B$4:$J$4,0)),"")</f>
        <v>325740</v>
      </c>
      <c r="H734" s="22">
        <f>IFERROR(D734/G734*100000,"")</f>
        <v>17.498618530116044</v>
      </c>
    </row>
    <row r="735" spans="1:8" ht="15" customHeight="1" x14ac:dyDescent="0.3">
      <c r="A735" s="20" t="s">
        <v>19</v>
      </c>
      <c r="B735" s="20">
        <v>2020</v>
      </c>
      <c r="C735" s="20" t="s">
        <v>101</v>
      </c>
      <c r="D735" s="20">
        <v>46</v>
      </c>
      <c r="E735" s="20">
        <v>0</v>
      </c>
      <c r="F735" s="22">
        <f>IFERROR(E735/D735*100,"")</f>
        <v>0</v>
      </c>
      <c r="G735" s="23">
        <f>IFERROR(INDEX(Population_by_Province_Year!$B$5:$J$29,MATCH($A735,Population_by_Province_Year!$A$5:$A$29,0),MATCH($B735,Population_by_Province_Year!$B$4:$J$4,0)),"")</f>
        <v>267704</v>
      </c>
      <c r="H735" s="22">
        <f>IFERROR(D735/G735*100000,"")</f>
        <v>17.183157517257868</v>
      </c>
    </row>
    <row r="736" spans="1:8" ht="15" customHeight="1" x14ac:dyDescent="0.3">
      <c r="A736" s="20" t="s">
        <v>20</v>
      </c>
      <c r="B736" s="20">
        <v>2020</v>
      </c>
      <c r="C736" s="20" t="s">
        <v>101</v>
      </c>
      <c r="D736" s="20">
        <v>40</v>
      </c>
      <c r="E736" s="20">
        <v>0</v>
      </c>
      <c r="F736" s="22">
        <f>IFERROR(E736/D736*100,"")</f>
        <v>0</v>
      </c>
      <c r="G736" s="23">
        <f>IFERROR(INDEX(Population_by_Province_Year!$B$5:$J$29,MATCH($A736,Population_by_Province_Year!$A$5:$A$29,0),MATCH($B736,Population_by_Province_Year!$B$4:$J$4,0)),"")</f>
        <v>1111168</v>
      </c>
      <c r="H736" s="22">
        <f>IFERROR(D736/G736*100000,"")</f>
        <v>3.599815689436701</v>
      </c>
    </row>
    <row r="737" spans="1:8" ht="15" customHeight="1" x14ac:dyDescent="0.3">
      <c r="A737" s="20" t="s">
        <v>21</v>
      </c>
      <c r="B737" s="20">
        <v>2020</v>
      </c>
      <c r="C737" s="20" t="s">
        <v>101</v>
      </c>
      <c r="D737" s="20">
        <v>17</v>
      </c>
      <c r="E737" s="20">
        <v>0</v>
      </c>
      <c r="F737" s="22">
        <f>IFERROR(E737/D737*100,"")</f>
        <v>0</v>
      </c>
      <c r="G737" s="23">
        <f>IFERROR(INDEX(Population_by_Province_Year!$B$5:$J$29,MATCH($A737,Population_by_Province_Year!$A$5:$A$29,0),MATCH($B737,Population_by_Province_Year!$B$4:$J$4,0)),"")</f>
        <v>441173</v>
      </c>
      <c r="H737" s="22">
        <f>IFERROR(D737/G737*100000,"")</f>
        <v>3.8533636464606853</v>
      </c>
    </row>
    <row r="738" spans="1:8" ht="15" customHeight="1" x14ac:dyDescent="0.3">
      <c r="A738" s="20" t="s">
        <v>22</v>
      </c>
      <c r="B738" s="20">
        <v>2020</v>
      </c>
      <c r="C738" s="20" t="s">
        <v>101</v>
      </c>
      <c r="D738" s="20">
        <v>20</v>
      </c>
      <c r="E738" s="20">
        <v>0</v>
      </c>
      <c r="F738" s="22">
        <f>IFERROR(E738/D738*100,"")</f>
        <v>0</v>
      </c>
      <c r="G738" s="23">
        <f>IFERROR(INDEX(Population_by_Province_Year!$B$5:$J$29,MATCH($A738,Population_by_Province_Year!$A$5:$A$29,0),MATCH($B738,Population_by_Province_Year!$B$4:$J$4,0)),"")</f>
        <v>228441</v>
      </c>
      <c r="H738" s="22">
        <f>IFERROR(D738/G738*100000,"")</f>
        <v>8.7549958194894977</v>
      </c>
    </row>
    <row r="739" spans="1:8" ht="15" customHeight="1" x14ac:dyDescent="0.3">
      <c r="A739" s="20" t="s">
        <v>23</v>
      </c>
      <c r="B739" s="20">
        <v>2020</v>
      </c>
      <c r="C739" s="20" t="s">
        <v>101</v>
      </c>
      <c r="D739" s="20">
        <v>276</v>
      </c>
      <c r="E739" s="20">
        <v>0</v>
      </c>
      <c r="F739" s="22">
        <f>IFERROR(E739/D739*100,"")</f>
        <v>0</v>
      </c>
      <c r="G739" s="23">
        <f>IFERROR(INDEX(Population_by_Province_Year!$B$5:$J$29,MATCH($A739,Population_by_Province_Year!$A$5:$A$29,0),MATCH($B739,Population_by_Province_Year!$B$4:$J$4,0)),"")</f>
        <v>1065485</v>
      </c>
      <c r="H739" s="22">
        <f>IFERROR(D739/G739*100000,"")</f>
        <v>25.903696438711009</v>
      </c>
    </row>
    <row r="740" spans="1:8" ht="15" customHeight="1" x14ac:dyDescent="0.3">
      <c r="A740" s="20" t="s">
        <v>24</v>
      </c>
      <c r="B740" s="20">
        <v>2020</v>
      </c>
      <c r="C740" s="20" t="s">
        <v>101</v>
      </c>
      <c r="D740" s="20">
        <v>34</v>
      </c>
      <c r="E740" s="20">
        <v>0</v>
      </c>
      <c r="F740" s="22">
        <f>IFERROR(E740/D740*100,"")</f>
        <v>0</v>
      </c>
      <c r="G740" s="23">
        <f>IFERROR(INDEX(Population_by_Province_Year!$B$5:$J$29,MATCH($A740,Population_by_Province_Year!$A$5:$A$29,0),MATCH($B740,Population_by_Province_Year!$B$4:$J$4,0)),"")</f>
        <v>174087</v>
      </c>
      <c r="H740" s="22">
        <f>IFERROR(D740/G740*100000,"")</f>
        <v>19.530464652731105</v>
      </c>
    </row>
    <row r="741" spans="1:8" ht="15" customHeight="1" x14ac:dyDescent="0.3">
      <c r="A741" s="20" t="s">
        <v>25</v>
      </c>
      <c r="B741" s="20">
        <v>2020</v>
      </c>
      <c r="C741" s="20" t="s">
        <v>101</v>
      </c>
      <c r="D741" s="20">
        <v>33</v>
      </c>
      <c r="E741" s="20">
        <v>0</v>
      </c>
      <c r="F741" s="22">
        <f>IFERROR(E741/D741*100,"")</f>
        <v>0</v>
      </c>
      <c r="G741" s="23">
        <f>IFERROR(INDEX(Population_by_Province_Year!$B$5:$J$29,MATCH($A741,Population_by_Province_Year!$A$5:$A$29,0),MATCH($B741,Population_by_Province_Year!$B$4:$J$4,0)),"")</f>
        <v>552051</v>
      </c>
      <c r="H741" s="22">
        <f>IFERROR(D741/G741*100000,"")</f>
        <v>5.977708581272382</v>
      </c>
    </row>
    <row r="742" spans="1:8" ht="15" customHeight="1" x14ac:dyDescent="0.3">
      <c r="A742" s="20" t="s">
        <v>26</v>
      </c>
      <c r="B742" s="20">
        <v>2020</v>
      </c>
      <c r="C742" s="20" t="s">
        <v>101</v>
      </c>
      <c r="D742" s="20">
        <v>36</v>
      </c>
      <c r="E742" s="20">
        <v>0</v>
      </c>
      <c r="F742" s="22">
        <f>IFERROR(E742/D742*100,"")</f>
        <v>0</v>
      </c>
      <c r="G742" s="23">
        <f>IFERROR(INDEX(Population_by_Province_Year!$B$5:$J$29,MATCH($A742,Population_by_Province_Year!$A$5:$A$29,0),MATCH($B742,Population_by_Province_Year!$B$4:$J$4,0)),"")</f>
        <v>946439</v>
      </c>
      <c r="H742" s="22">
        <f>IFERROR(D742/G742*100000,"")</f>
        <v>3.8037316720887455</v>
      </c>
    </row>
    <row r="743" spans="1:8" ht="15" customHeight="1" x14ac:dyDescent="0.3">
      <c r="A743" s="20" t="s">
        <v>27</v>
      </c>
      <c r="B743" s="20">
        <v>2020</v>
      </c>
      <c r="C743" s="20" t="s">
        <v>101</v>
      </c>
      <c r="D743" s="20">
        <v>186</v>
      </c>
      <c r="E743" s="20">
        <v>1</v>
      </c>
      <c r="F743" s="22">
        <f>IFERROR(E743/D743*100,"")</f>
        <v>0.53763440860215062</v>
      </c>
      <c r="G743" s="23">
        <f>IFERROR(INDEX(Population_by_Province_Year!$B$5:$J$29,MATCH($A743,Population_by_Province_Year!$A$5:$A$29,0),MATCH($B743,Population_by_Province_Year!$B$4:$J$4,0)),"")</f>
        <v>816096</v>
      </c>
      <c r="H743" s="22">
        <f>IFERROR(D743/G743*100000,"")</f>
        <v>22.791436301611576</v>
      </c>
    </row>
    <row r="744" spans="1:8" ht="15" customHeight="1" x14ac:dyDescent="0.3">
      <c r="A744" s="20" t="s">
        <v>3</v>
      </c>
      <c r="B744" s="20">
        <v>2020</v>
      </c>
      <c r="C744" s="20" t="s">
        <v>97</v>
      </c>
      <c r="D744" s="20">
        <v>239</v>
      </c>
      <c r="E744" s="20">
        <v>0</v>
      </c>
      <c r="F744" s="22">
        <f>IFERROR(E744/D744*100,"")</f>
        <v>0</v>
      </c>
      <c r="G744" s="23">
        <f>IFERROR(INDEX(Population_by_Province_Year!$B$5:$J$29,MATCH($A744,Population_by_Province_Year!$A$5:$A$29,0),MATCH($B744,Population_by_Province_Year!$B$4:$J$4,0)),"")</f>
        <v>905435</v>
      </c>
      <c r="H744" s="22">
        <f>IFERROR(D744/G744*100000,"")</f>
        <v>26.396152125773799</v>
      </c>
    </row>
    <row r="745" spans="1:8" ht="15" customHeight="1" x14ac:dyDescent="0.3">
      <c r="A745" s="20" t="s">
        <v>4</v>
      </c>
      <c r="B745" s="20">
        <v>2020</v>
      </c>
      <c r="C745" s="20" t="s">
        <v>97</v>
      </c>
      <c r="D745" s="20">
        <v>228</v>
      </c>
      <c r="E745" s="20">
        <v>0</v>
      </c>
      <c r="F745" s="22">
        <f>IFERROR(E745/D745*100,"")</f>
        <v>0</v>
      </c>
      <c r="G745" s="23">
        <f>IFERROR(INDEX(Population_by_Province_Year!$B$5:$J$29,MATCH($A745,Population_by_Province_Year!$A$5:$A$29,0),MATCH($B745,Population_by_Province_Year!$B$4:$J$4,0)),"")</f>
        <v>1047557</v>
      </c>
      <c r="H745" s="22">
        <f>IFERROR(D745/G745*100000,"")</f>
        <v>21.764925440811336</v>
      </c>
    </row>
    <row r="746" spans="1:8" ht="15" customHeight="1" x14ac:dyDescent="0.3">
      <c r="A746" s="20" t="s">
        <v>5</v>
      </c>
      <c r="B746" s="20">
        <v>2020</v>
      </c>
      <c r="C746" s="20" t="s">
        <v>97</v>
      </c>
      <c r="D746" s="20">
        <v>175</v>
      </c>
      <c r="E746" s="20">
        <v>0</v>
      </c>
      <c r="F746" s="22">
        <f>IFERROR(E746/D746*100,"")</f>
        <v>0</v>
      </c>
      <c r="G746" s="23">
        <f>IFERROR(INDEX(Population_by_Province_Year!$B$5:$J$29,MATCH($A746,Population_by_Province_Year!$A$5:$A$29,0),MATCH($B746,Population_by_Province_Year!$B$4:$J$4,0)),"")</f>
        <v>945259</v>
      </c>
      <c r="H746" s="22">
        <f>IFERROR(D746/G746*100000,"")</f>
        <v>18.513444463369296</v>
      </c>
    </row>
    <row r="747" spans="1:8" ht="15" customHeight="1" x14ac:dyDescent="0.3">
      <c r="A747" s="20" t="s">
        <v>6</v>
      </c>
      <c r="B747" s="20">
        <v>2020</v>
      </c>
      <c r="C747" s="20" t="s">
        <v>97</v>
      </c>
      <c r="D747" s="20">
        <v>150</v>
      </c>
      <c r="E747" s="20">
        <v>0</v>
      </c>
      <c r="F747" s="22">
        <f>IFERROR(E747/D747*100,"")</f>
        <v>0</v>
      </c>
      <c r="G747" s="23">
        <f>IFERROR(INDEX(Population_by_Province_Year!$B$5:$J$29,MATCH($A747,Population_by_Province_Year!$A$5:$A$29,0),MATCH($B747,Population_by_Province_Year!$B$4:$J$4,0)),"")</f>
        <v>553658</v>
      </c>
      <c r="H747" s="22">
        <f>IFERROR(D747/G747*100000,"")</f>
        <v>27.09253727030044</v>
      </c>
    </row>
    <row r="748" spans="1:8" ht="15" customHeight="1" x14ac:dyDescent="0.3">
      <c r="A748" s="20" t="s">
        <v>7</v>
      </c>
      <c r="B748" s="20">
        <v>2020</v>
      </c>
      <c r="C748" s="20" t="s">
        <v>97</v>
      </c>
      <c r="D748" s="20">
        <v>150</v>
      </c>
      <c r="E748" s="20">
        <v>1</v>
      </c>
      <c r="F748" s="22">
        <f>IFERROR(E748/D748*100,"")</f>
        <v>0.66666666666666674</v>
      </c>
      <c r="G748" s="23">
        <f>IFERROR(INDEX(Population_by_Province_Year!$B$5:$J$29,MATCH($A748,Population_by_Province_Year!$A$5:$A$29,0),MATCH($B748,Population_by_Province_Year!$B$4:$J$4,0)),"")</f>
        <v>921866</v>
      </c>
      <c r="H748" s="22">
        <f>IFERROR(D748/G748*100000,"")</f>
        <v>16.271345293133709</v>
      </c>
    </row>
    <row r="749" spans="1:8" ht="15" customHeight="1" x14ac:dyDescent="0.3">
      <c r="A749" s="20" t="s">
        <v>8</v>
      </c>
      <c r="B749" s="20">
        <v>2020</v>
      </c>
      <c r="C749" s="20" t="s">
        <v>97</v>
      </c>
      <c r="D749" s="20">
        <v>127</v>
      </c>
      <c r="E749" s="20">
        <v>0</v>
      </c>
      <c r="F749" s="22">
        <f>IFERROR(E749/D749*100,"")</f>
        <v>0</v>
      </c>
      <c r="G749" s="23">
        <f>IFERROR(INDEX(Population_by_Province_Year!$B$5:$J$29,MATCH($A749,Population_by_Province_Year!$A$5:$A$29,0),MATCH($B749,Population_by_Province_Year!$B$4:$J$4,0)),"")</f>
        <v>715989</v>
      </c>
      <c r="H749" s="22">
        <f>IFERROR(D749/G749*100000,"")</f>
        <v>17.737702674203096</v>
      </c>
    </row>
    <row r="750" spans="1:8" ht="15" customHeight="1" x14ac:dyDescent="0.3">
      <c r="A750" s="20" t="s">
        <v>9</v>
      </c>
      <c r="B750" s="20">
        <v>2020</v>
      </c>
      <c r="C750" s="20" t="s">
        <v>97</v>
      </c>
      <c r="D750" s="20">
        <v>42</v>
      </c>
      <c r="E750" s="20">
        <v>0</v>
      </c>
      <c r="F750" s="22">
        <f>IFERROR(E750/D750*100,"")</f>
        <v>0</v>
      </c>
      <c r="G750" s="23">
        <f>IFERROR(INDEX(Population_by_Province_Year!$B$5:$J$29,MATCH($A750,Population_by_Province_Year!$A$5:$A$29,0),MATCH($B750,Population_by_Province_Year!$B$4:$J$4,0)),"")</f>
        <v>623836</v>
      </c>
      <c r="H750" s="22">
        <f>IFERROR(D750/G750*100000,"")</f>
        <v>6.7325386800377016</v>
      </c>
    </row>
    <row r="751" spans="1:8" ht="15" customHeight="1" x14ac:dyDescent="0.3">
      <c r="A751" s="20" t="s">
        <v>10</v>
      </c>
      <c r="B751" s="20">
        <v>2020</v>
      </c>
      <c r="C751" s="20" t="s">
        <v>97</v>
      </c>
      <c r="D751" s="20">
        <v>204</v>
      </c>
      <c r="E751" s="20">
        <v>1</v>
      </c>
      <c r="F751" s="22">
        <f>IFERROR(E751/D751*100,"")</f>
        <v>0.49019607843137253</v>
      </c>
      <c r="G751" s="23">
        <f>IFERROR(INDEX(Population_by_Province_Year!$B$5:$J$29,MATCH($A751,Population_by_Province_Year!$A$5:$A$29,0),MATCH($B751,Population_by_Province_Year!$B$4:$J$4,0)),"")</f>
        <v>1262299</v>
      </c>
      <c r="H751" s="22">
        <f>IFERROR(D751/G751*100000,"")</f>
        <v>16.160988799008795</v>
      </c>
    </row>
    <row r="752" spans="1:8" ht="15" customHeight="1" x14ac:dyDescent="0.3">
      <c r="A752" s="20" t="s">
        <v>11</v>
      </c>
      <c r="B752" s="20">
        <v>2020</v>
      </c>
      <c r="C752" s="20" t="s">
        <v>97</v>
      </c>
      <c r="D752" s="20">
        <v>6</v>
      </c>
      <c r="E752" s="20">
        <v>0</v>
      </c>
      <c r="F752" s="22">
        <f>IFERROR(E752/D752*100,"")</f>
        <v>0</v>
      </c>
      <c r="G752" s="23">
        <f>IFERROR(INDEX(Population_by_Province_Year!$B$5:$J$29,MATCH($A752,Population_by_Province_Year!$A$5:$A$29,0),MATCH($B752,Population_by_Province_Year!$B$4:$J$4,0)),"")</f>
        <v>44821</v>
      </c>
      <c r="H752" s="22">
        <f>IFERROR(D752/G752*100000,"")</f>
        <v>13.386582182459115</v>
      </c>
    </row>
    <row r="753" spans="1:8" ht="15" customHeight="1" x14ac:dyDescent="0.3">
      <c r="A753" s="20" t="s">
        <v>12</v>
      </c>
      <c r="B753" s="20">
        <v>2020</v>
      </c>
      <c r="C753" s="20" t="s">
        <v>97</v>
      </c>
      <c r="D753" s="20">
        <v>7</v>
      </c>
      <c r="E753" s="20">
        <v>0</v>
      </c>
      <c r="F753" s="22">
        <f>IFERROR(E753/D753*100,"")</f>
        <v>0</v>
      </c>
      <c r="G753" s="23">
        <f>IFERROR(INDEX(Population_by_Province_Year!$B$5:$J$29,MATCH($A753,Population_by_Province_Year!$A$5:$A$29,0),MATCH($B753,Population_by_Province_Year!$B$4:$J$4,0)),"")</f>
        <v>132264</v>
      </c>
      <c r="H753" s="22">
        <f>IFERROR(D753/G753*100000,"")</f>
        <v>5.2924454122058906</v>
      </c>
    </row>
    <row r="754" spans="1:8" ht="15" customHeight="1" x14ac:dyDescent="0.3">
      <c r="A754" s="20" t="s">
        <v>13</v>
      </c>
      <c r="B754" s="20">
        <v>2020</v>
      </c>
      <c r="C754" s="20" t="s">
        <v>97</v>
      </c>
      <c r="D754" s="20">
        <v>29</v>
      </c>
      <c r="E754" s="20">
        <v>0</v>
      </c>
      <c r="F754" s="22">
        <f>IFERROR(E754/D754*100,"")</f>
        <v>0</v>
      </c>
      <c r="G754" s="23">
        <f>IFERROR(INDEX(Population_by_Province_Year!$B$5:$J$29,MATCH($A754,Population_by_Province_Year!$A$5:$A$29,0),MATCH($B754,Population_by_Province_Year!$B$4:$J$4,0)),"")</f>
        <v>393692</v>
      </c>
      <c r="H754" s="22">
        <f>IFERROR(D754/G754*100000,"")</f>
        <v>7.3661644127896935</v>
      </c>
    </row>
    <row r="755" spans="1:8" ht="15" customHeight="1" x14ac:dyDescent="0.3">
      <c r="A755" s="20" t="s">
        <v>14</v>
      </c>
      <c r="B755" s="20">
        <v>2020</v>
      </c>
      <c r="C755" s="20" t="s">
        <v>97</v>
      </c>
      <c r="D755" s="20">
        <v>1</v>
      </c>
      <c r="E755" s="20">
        <v>0</v>
      </c>
      <c r="F755" s="22">
        <f>IFERROR(E755/D755*100,"")</f>
        <v>0</v>
      </c>
      <c r="G755" s="23">
        <f>IFERROR(INDEX(Population_by_Province_Year!$B$5:$J$29,MATCH($A755,Population_by_Province_Year!$A$5:$A$29,0),MATCH($B755,Population_by_Province_Year!$B$4:$J$4,0)),"")</f>
        <v>96873</v>
      </c>
      <c r="H755" s="22">
        <f>IFERROR(D755/G755*100000,"")</f>
        <v>1.032279376090345</v>
      </c>
    </row>
    <row r="756" spans="1:8" ht="15" customHeight="1" x14ac:dyDescent="0.3">
      <c r="A756" s="20" t="s">
        <v>15</v>
      </c>
      <c r="B756" s="20">
        <v>2020</v>
      </c>
      <c r="C756" s="20" t="s">
        <v>97</v>
      </c>
      <c r="D756" s="20">
        <v>31</v>
      </c>
      <c r="E756" s="20">
        <v>0</v>
      </c>
      <c r="F756" s="22">
        <f>IFERROR(E756/D756*100,"")</f>
        <v>0</v>
      </c>
      <c r="G756" s="23">
        <f>IFERROR(INDEX(Population_by_Province_Year!$B$5:$J$29,MATCH($A756,Population_by_Province_Year!$A$5:$A$29,0),MATCH($B756,Population_by_Province_Year!$B$4:$J$4,0)),"")</f>
        <v>289987</v>
      </c>
      <c r="H756" s="22">
        <f>IFERROR(D756/G756*100000,"")</f>
        <v>10.690134385334515</v>
      </c>
    </row>
    <row r="757" spans="1:8" ht="15" customHeight="1" x14ac:dyDescent="0.3">
      <c r="A757" s="20" t="s">
        <v>16</v>
      </c>
      <c r="B757" s="20">
        <v>2020</v>
      </c>
      <c r="C757" s="20" t="s">
        <v>97</v>
      </c>
      <c r="D757" s="20">
        <v>9</v>
      </c>
      <c r="E757" s="20">
        <v>0</v>
      </c>
      <c r="F757" s="22">
        <f>IFERROR(E757/D757*100,"")</f>
        <v>0</v>
      </c>
      <c r="G757" s="23">
        <f>IFERROR(INDEX(Population_by_Province_Year!$B$5:$J$29,MATCH($A757,Population_by_Province_Year!$A$5:$A$29,0),MATCH($B757,Population_by_Province_Year!$B$4:$J$4,0)),"")</f>
        <v>78908</v>
      </c>
      <c r="H757" s="22">
        <f>IFERROR(D757/G757*100000,"")</f>
        <v>11.405687636234601</v>
      </c>
    </row>
    <row r="758" spans="1:8" ht="15" customHeight="1" x14ac:dyDescent="0.3">
      <c r="A758" s="20" t="s">
        <v>17</v>
      </c>
      <c r="B758" s="20">
        <v>2020</v>
      </c>
      <c r="C758" s="20" t="s">
        <v>97</v>
      </c>
      <c r="D758" s="20">
        <v>338</v>
      </c>
      <c r="E758" s="20">
        <v>0</v>
      </c>
      <c r="F758" s="22">
        <f>IFERROR(E758/D758*100,"")</f>
        <v>0</v>
      </c>
      <c r="G758" s="23">
        <f>IFERROR(INDEX(Population_by_Province_Year!$B$5:$J$29,MATCH($A758,Population_by_Province_Year!$A$5:$A$29,0),MATCH($B758,Population_by_Province_Year!$B$4:$J$4,0)),"")</f>
        <v>2397261</v>
      </c>
      <c r="H758" s="22">
        <f>IFERROR(D758/G758*100000,"")</f>
        <v>14.099424301317212</v>
      </c>
    </row>
    <row r="759" spans="1:8" ht="15" customHeight="1" x14ac:dyDescent="0.3">
      <c r="A759" s="20" t="s">
        <v>18</v>
      </c>
      <c r="B759" s="20">
        <v>2020</v>
      </c>
      <c r="C759" s="20" t="s">
        <v>97</v>
      </c>
      <c r="D759" s="20">
        <v>47</v>
      </c>
      <c r="E759" s="20">
        <v>0</v>
      </c>
      <c r="F759" s="22">
        <f>IFERROR(E759/D759*100,"")</f>
        <v>0</v>
      </c>
      <c r="G759" s="23">
        <f>IFERROR(INDEX(Population_by_Province_Year!$B$5:$J$29,MATCH($A759,Population_by_Province_Year!$A$5:$A$29,0),MATCH($B759,Population_by_Province_Year!$B$4:$J$4,0)),"")</f>
        <v>325740</v>
      </c>
      <c r="H759" s="22">
        <f>IFERROR(D759/G759*100000,"")</f>
        <v>14.428685454657089</v>
      </c>
    </row>
    <row r="760" spans="1:8" ht="15" customHeight="1" x14ac:dyDescent="0.3">
      <c r="A760" s="20" t="s">
        <v>19</v>
      </c>
      <c r="B760" s="20">
        <v>2020</v>
      </c>
      <c r="C760" s="20" t="s">
        <v>97</v>
      </c>
      <c r="D760" s="20">
        <v>33</v>
      </c>
      <c r="E760" s="20">
        <v>0</v>
      </c>
      <c r="F760" s="22">
        <f>IFERROR(E760/D760*100,"")</f>
        <v>0</v>
      </c>
      <c r="G760" s="23">
        <f>IFERROR(INDEX(Population_by_Province_Year!$B$5:$J$29,MATCH($A760,Population_by_Province_Year!$A$5:$A$29,0),MATCH($B760,Population_by_Province_Year!$B$4:$J$4,0)),"")</f>
        <v>267704</v>
      </c>
      <c r="H760" s="22">
        <f>IFERROR(D760/G760*100000,"")</f>
        <v>12.327047784119774</v>
      </c>
    </row>
    <row r="761" spans="1:8" ht="15" customHeight="1" x14ac:dyDescent="0.3">
      <c r="A761" s="20" t="s">
        <v>20</v>
      </c>
      <c r="B761" s="20">
        <v>2020</v>
      </c>
      <c r="C761" s="20" t="s">
        <v>97</v>
      </c>
      <c r="D761" s="20">
        <v>47</v>
      </c>
      <c r="E761" s="20">
        <v>0</v>
      </c>
      <c r="F761" s="22">
        <f>IFERROR(E761/D761*100,"")</f>
        <v>0</v>
      </c>
      <c r="G761" s="23">
        <f>IFERROR(INDEX(Population_by_Province_Year!$B$5:$J$29,MATCH($A761,Population_by_Province_Year!$A$5:$A$29,0),MATCH($B761,Population_by_Province_Year!$B$4:$J$4,0)),"")</f>
        <v>1111168</v>
      </c>
      <c r="H761" s="22">
        <f>IFERROR(D761/G761*100000,"")</f>
        <v>4.229783435088124</v>
      </c>
    </row>
    <row r="762" spans="1:8" ht="15" customHeight="1" x14ac:dyDescent="0.3">
      <c r="A762" s="20" t="s">
        <v>21</v>
      </c>
      <c r="B762" s="20">
        <v>2020</v>
      </c>
      <c r="C762" s="20" t="s">
        <v>97</v>
      </c>
      <c r="D762" s="20">
        <v>30</v>
      </c>
      <c r="E762" s="20">
        <v>0</v>
      </c>
      <c r="F762" s="22">
        <f>IFERROR(E762/D762*100,"")</f>
        <v>0</v>
      </c>
      <c r="G762" s="23">
        <f>IFERROR(INDEX(Population_by_Province_Year!$B$5:$J$29,MATCH($A762,Population_by_Province_Year!$A$5:$A$29,0),MATCH($B762,Population_by_Province_Year!$B$4:$J$4,0)),"")</f>
        <v>441173</v>
      </c>
      <c r="H762" s="22">
        <f>IFERROR(D762/G762*100000,"")</f>
        <v>6.8000534937541515</v>
      </c>
    </row>
    <row r="763" spans="1:8" ht="15" customHeight="1" x14ac:dyDescent="0.3">
      <c r="A763" s="20" t="s">
        <v>22</v>
      </c>
      <c r="B763" s="20">
        <v>2020</v>
      </c>
      <c r="C763" s="20" t="s">
        <v>97</v>
      </c>
      <c r="D763" s="20">
        <v>42</v>
      </c>
      <c r="E763" s="20">
        <v>0</v>
      </c>
      <c r="F763" s="22">
        <f>IFERROR(E763/D763*100,"")</f>
        <v>0</v>
      </c>
      <c r="G763" s="23">
        <f>IFERROR(INDEX(Population_by_Province_Year!$B$5:$J$29,MATCH($A763,Population_by_Province_Year!$A$5:$A$29,0),MATCH($B763,Population_by_Province_Year!$B$4:$J$4,0)),"")</f>
        <v>228441</v>
      </c>
      <c r="H763" s="22">
        <f>IFERROR(D763/G763*100000,"")</f>
        <v>18.385491220927943</v>
      </c>
    </row>
    <row r="764" spans="1:8" ht="15" customHeight="1" x14ac:dyDescent="0.3">
      <c r="A764" s="20" t="s">
        <v>23</v>
      </c>
      <c r="B764" s="20">
        <v>2020</v>
      </c>
      <c r="C764" s="20" t="s">
        <v>97</v>
      </c>
      <c r="D764" s="20">
        <v>236</v>
      </c>
      <c r="E764" s="20">
        <v>0</v>
      </c>
      <c r="F764" s="22">
        <f>IFERROR(E764/D764*100,"")</f>
        <v>0</v>
      </c>
      <c r="G764" s="23">
        <f>IFERROR(INDEX(Population_by_Province_Year!$B$5:$J$29,MATCH($A764,Population_by_Province_Year!$A$5:$A$29,0),MATCH($B764,Population_by_Province_Year!$B$4:$J$4,0)),"")</f>
        <v>1065485</v>
      </c>
      <c r="H764" s="22">
        <f>IFERROR(D764/G764*100000,"")</f>
        <v>22.149537534549992</v>
      </c>
    </row>
    <row r="765" spans="1:8" ht="15" customHeight="1" x14ac:dyDescent="0.3">
      <c r="A765" s="20" t="s">
        <v>24</v>
      </c>
      <c r="B765" s="20">
        <v>2020</v>
      </c>
      <c r="C765" s="20" t="s">
        <v>97</v>
      </c>
      <c r="D765" s="20">
        <v>27</v>
      </c>
      <c r="E765" s="20">
        <v>0</v>
      </c>
      <c r="F765" s="22">
        <f>IFERROR(E765/D765*100,"")</f>
        <v>0</v>
      </c>
      <c r="G765" s="23">
        <f>IFERROR(INDEX(Population_by_Province_Year!$B$5:$J$29,MATCH($A765,Population_by_Province_Year!$A$5:$A$29,0),MATCH($B765,Population_by_Province_Year!$B$4:$J$4,0)),"")</f>
        <v>174087</v>
      </c>
      <c r="H765" s="22">
        <f>IFERROR(D765/G765*100000,"")</f>
        <v>15.509486635992349</v>
      </c>
    </row>
    <row r="766" spans="1:8" ht="15" customHeight="1" x14ac:dyDescent="0.3">
      <c r="A766" s="20" t="s">
        <v>25</v>
      </c>
      <c r="B766" s="20">
        <v>2020</v>
      </c>
      <c r="C766" s="20" t="s">
        <v>97</v>
      </c>
      <c r="D766" s="20">
        <v>53</v>
      </c>
      <c r="E766" s="20">
        <v>0</v>
      </c>
      <c r="F766" s="22">
        <f>IFERROR(E766/D766*100,"")</f>
        <v>0</v>
      </c>
      <c r="G766" s="23">
        <f>IFERROR(INDEX(Population_by_Province_Year!$B$5:$J$29,MATCH($A766,Population_by_Province_Year!$A$5:$A$29,0),MATCH($B766,Population_by_Province_Year!$B$4:$J$4,0)),"")</f>
        <v>552051</v>
      </c>
      <c r="H766" s="22">
        <f>IFERROR(D766/G766*100000,"")</f>
        <v>9.600562266892009</v>
      </c>
    </row>
    <row r="767" spans="1:8" ht="15" customHeight="1" x14ac:dyDescent="0.3">
      <c r="A767" s="20" t="s">
        <v>26</v>
      </c>
      <c r="B767" s="20">
        <v>2020</v>
      </c>
      <c r="C767" s="20" t="s">
        <v>97</v>
      </c>
      <c r="D767" s="20">
        <v>50</v>
      </c>
      <c r="E767" s="20">
        <v>0</v>
      </c>
      <c r="F767" s="22">
        <f>IFERROR(E767/D767*100,"")</f>
        <v>0</v>
      </c>
      <c r="G767" s="23">
        <f>IFERROR(INDEX(Population_by_Province_Year!$B$5:$J$29,MATCH($A767,Population_by_Province_Year!$A$5:$A$29,0),MATCH($B767,Population_by_Province_Year!$B$4:$J$4,0)),"")</f>
        <v>946439</v>
      </c>
      <c r="H767" s="22">
        <f>IFERROR(D767/G767*100000,"")</f>
        <v>5.2829606556788136</v>
      </c>
    </row>
    <row r="768" spans="1:8" ht="15" customHeight="1" x14ac:dyDescent="0.3">
      <c r="A768" s="20" t="s">
        <v>27</v>
      </c>
      <c r="B768" s="20">
        <v>2020</v>
      </c>
      <c r="C768" s="20" t="s">
        <v>97</v>
      </c>
      <c r="D768" s="20">
        <v>133</v>
      </c>
      <c r="E768" s="20">
        <v>1</v>
      </c>
      <c r="F768" s="22">
        <f>IFERROR(E768/D768*100,"")</f>
        <v>0.75187969924812026</v>
      </c>
      <c r="G768" s="23">
        <f>IFERROR(INDEX(Population_by_Province_Year!$B$5:$J$29,MATCH($A768,Population_by_Province_Year!$A$5:$A$29,0),MATCH($B768,Population_by_Province_Year!$B$4:$J$4,0)),"")</f>
        <v>816096</v>
      </c>
      <c r="H768" s="22">
        <f>IFERROR(D768/G768*100000,"")</f>
        <v>16.297102301689996</v>
      </c>
    </row>
    <row r="769" spans="1:8" ht="15" customHeight="1" x14ac:dyDescent="0.3">
      <c r="A769" s="20" t="s">
        <v>3</v>
      </c>
      <c r="B769" s="20">
        <v>2020</v>
      </c>
      <c r="C769" s="20" t="s">
        <v>107</v>
      </c>
      <c r="D769" s="20">
        <v>220</v>
      </c>
      <c r="E769" s="20">
        <v>0</v>
      </c>
      <c r="F769" s="22">
        <f>IFERROR(E769/D769*100,"")</f>
        <v>0</v>
      </c>
      <c r="G769" s="23">
        <f>IFERROR(INDEX(Population_by_Province_Year!$B$5:$J$29,MATCH($A769,Population_by_Province_Year!$A$5:$A$29,0),MATCH($B769,Population_by_Province_Year!$B$4:$J$4,0)),"")</f>
        <v>905435</v>
      </c>
      <c r="H769" s="22">
        <f>IFERROR(D769/G769*100000,"")</f>
        <v>24.297713253850361</v>
      </c>
    </row>
    <row r="770" spans="1:8" ht="15" customHeight="1" x14ac:dyDescent="0.3">
      <c r="A770" s="20" t="s">
        <v>4</v>
      </c>
      <c r="B770" s="20">
        <v>2020</v>
      </c>
      <c r="C770" s="20" t="s">
        <v>107</v>
      </c>
      <c r="D770" s="20">
        <v>114</v>
      </c>
      <c r="E770" s="20">
        <v>0</v>
      </c>
      <c r="F770" s="22">
        <f>IFERROR(E770/D770*100,"")</f>
        <v>0</v>
      </c>
      <c r="G770" s="23">
        <f>IFERROR(INDEX(Population_by_Province_Year!$B$5:$J$29,MATCH($A770,Population_by_Province_Year!$A$5:$A$29,0),MATCH($B770,Population_by_Province_Year!$B$4:$J$4,0)),"")</f>
        <v>1047557</v>
      </c>
      <c r="H770" s="22">
        <f>IFERROR(D770/G770*100000,"")</f>
        <v>10.882462720405668</v>
      </c>
    </row>
    <row r="771" spans="1:8" ht="15" customHeight="1" x14ac:dyDescent="0.3">
      <c r="A771" s="20" t="s">
        <v>5</v>
      </c>
      <c r="B771" s="20">
        <v>2020</v>
      </c>
      <c r="C771" s="20" t="s">
        <v>107</v>
      </c>
      <c r="D771" s="20">
        <v>80</v>
      </c>
      <c r="E771" s="20">
        <v>0</v>
      </c>
      <c r="F771" s="22">
        <f>IFERROR(E771/D771*100,"")</f>
        <v>0</v>
      </c>
      <c r="G771" s="23">
        <f>IFERROR(INDEX(Population_by_Province_Year!$B$5:$J$29,MATCH($A771,Population_by_Province_Year!$A$5:$A$29,0),MATCH($B771,Population_by_Province_Year!$B$4:$J$4,0)),"")</f>
        <v>945259</v>
      </c>
      <c r="H771" s="22">
        <f>IFERROR(D771/G771*100000,"")</f>
        <v>8.4632888975402505</v>
      </c>
    </row>
    <row r="772" spans="1:8" ht="15" customHeight="1" x14ac:dyDescent="0.3">
      <c r="A772" s="20" t="s">
        <v>6</v>
      </c>
      <c r="B772" s="20">
        <v>2020</v>
      </c>
      <c r="C772" s="20" t="s">
        <v>107</v>
      </c>
      <c r="D772" s="20">
        <v>71</v>
      </c>
      <c r="E772" s="20">
        <v>0</v>
      </c>
      <c r="F772" s="22">
        <f>IFERROR(E772/D772*100,"")</f>
        <v>0</v>
      </c>
      <c r="G772" s="23">
        <f>IFERROR(INDEX(Population_by_Province_Year!$B$5:$J$29,MATCH($A772,Population_by_Province_Year!$A$5:$A$29,0),MATCH($B772,Population_by_Province_Year!$B$4:$J$4,0)),"")</f>
        <v>553658</v>
      </c>
      <c r="H772" s="22">
        <f>IFERROR(D772/G772*100000,"")</f>
        <v>12.823800974608872</v>
      </c>
    </row>
    <row r="773" spans="1:8" ht="15" customHeight="1" x14ac:dyDescent="0.3">
      <c r="A773" s="20" t="s">
        <v>7</v>
      </c>
      <c r="B773" s="20">
        <v>2020</v>
      </c>
      <c r="C773" s="20" t="s">
        <v>107</v>
      </c>
      <c r="D773" s="20">
        <v>82</v>
      </c>
      <c r="E773" s="20">
        <v>0</v>
      </c>
      <c r="F773" s="22">
        <f>IFERROR(E773/D773*100,"")</f>
        <v>0</v>
      </c>
      <c r="G773" s="23">
        <f>IFERROR(INDEX(Population_by_Province_Year!$B$5:$J$29,MATCH($A773,Population_by_Province_Year!$A$5:$A$29,0),MATCH($B773,Population_by_Province_Year!$B$4:$J$4,0)),"")</f>
        <v>921866</v>
      </c>
      <c r="H773" s="22">
        <f>IFERROR(D773/G773*100000,"")</f>
        <v>8.8950020935797607</v>
      </c>
    </row>
    <row r="774" spans="1:8" ht="15" customHeight="1" x14ac:dyDescent="0.3">
      <c r="A774" s="20" t="s">
        <v>8</v>
      </c>
      <c r="B774" s="20">
        <v>2020</v>
      </c>
      <c r="C774" s="20" t="s">
        <v>107</v>
      </c>
      <c r="D774" s="20">
        <v>60</v>
      </c>
      <c r="E774" s="20">
        <v>0</v>
      </c>
      <c r="F774" s="22">
        <f>IFERROR(E774/D774*100,"")</f>
        <v>0</v>
      </c>
      <c r="G774" s="23">
        <f>IFERROR(INDEX(Population_by_Province_Year!$B$5:$J$29,MATCH($A774,Population_by_Province_Year!$A$5:$A$29,0),MATCH($B774,Population_by_Province_Year!$B$4:$J$4,0)),"")</f>
        <v>715989</v>
      </c>
      <c r="H774" s="22">
        <f>IFERROR(D774/G774*100000,"")</f>
        <v>8.3800170114345338</v>
      </c>
    </row>
    <row r="775" spans="1:8" ht="15" customHeight="1" x14ac:dyDescent="0.3">
      <c r="A775" s="20" t="s">
        <v>9</v>
      </c>
      <c r="B775" s="20">
        <v>2020</v>
      </c>
      <c r="C775" s="20" t="s">
        <v>107</v>
      </c>
      <c r="D775" s="20">
        <v>30</v>
      </c>
      <c r="E775" s="20">
        <v>0</v>
      </c>
      <c r="F775" s="22">
        <f>IFERROR(E775/D775*100,"")</f>
        <v>0</v>
      </c>
      <c r="G775" s="23">
        <f>IFERROR(INDEX(Population_by_Province_Year!$B$5:$J$29,MATCH($A775,Population_by_Province_Year!$A$5:$A$29,0),MATCH($B775,Population_by_Province_Year!$B$4:$J$4,0)),"")</f>
        <v>623836</v>
      </c>
      <c r="H775" s="22">
        <f>IFERROR(D775/G775*100000,"")</f>
        <v>4.8089562000269304</v>
      </c>
    </row>
    <row r="776" spans="1:8" ht="15" customHeight="1" x14ac:dyDescent="0.3">
      <c r="A776" s="20" t="s">
        <v>10</v>
      </c>
      <c r="B776" s="20">
        <v>2020</v>
      </c>
      <c r="C776" s="20" t="s">
        <v>107</v>
      </c>
      <c r="D776" s="20">
        <v>181</v>
      </c>
      <c r="E776" s="20">
        <v>2</v>
      </c>
      <c r="F776" s="22">
        <f>IFERROR(E776/D776*100,"")</f>
        <v>1.1049723756906076</v>
      </c>
      <c r="G776" s="23">
        <f>IFERROR(INDEX(Population_by_Province_Year!$B$5:$J$29,MATCH($A776,Population_by_Province_Year!$A$5:$A$29,0),MATCH($B776,Population_by_Province_Year!$B$4:$J$4,0)),"")</f>
        <v>1262299</v>
      </c>
      <c r="H776" s="22">
        <f>IFERROR(D776/G776*100000,"")</f>
        <v>14.338916532453879</v>
      </c>
    </row>
    <row r="777" spans="1:8" ht="15" customHeight="1" x14ac:dyDescent="0.3">
      <c r="A777" s="20" t="s">
        <v>11</v>
      </c>
      <c r="B777" s="20">
        <v>2020</v>
      </c>
      <c r="C777" s="20" t="s">
        <v>107</v>
      </c>
      <c r="D777" s="20">
        <v>2</v>
      </c>
      <c r="E777" s="20">
        <v>0</v>
      </c>
      <c r="F777" s="22">
        <f>IFERROR(E777/D777*100,"")</f>
        <v>0</v>
      </c>
      <c r="G777" s="23">
        <f>IFERROR(INDEX(Population_by_Province_Year!$B$5:$J$29,MATCH($A777,Population_by_Province_Year!$A$5:$A$29,0),MATCH($B777,Population_by_Province_Year!$B$4:$J$4,0)),"")</f>
        <v>44821</v>
      </c>
      <c r="H777" s="22">
        <f>IFERROR(D777/G777*100000,"")</f>
        <v>4.462194060819705</v>
      </c>
    </row>
    <row r="778" spans="1:8" ht="15" customHeight="1" x14ac:dyDescent="0.3">
      <c r="A778" s="20" t="s">
        <v>12</v>
      </c>
      <c r="B778" s="20">
        <v>2020</v>
      </c>
      <c r="C778" s="20" t="s">
        <v>107</v>
      </c>
      <c r="D778" s="20">
        <v>12</v>
      </c>
      <c r="E778" s="20">
        <v>0</v>
      </c>
      <c r="F778" s="22">
        <f>IFERROR(E778/D778*100,"")</f>
        <v>0</v>
      </c>
      <c r="G778" s="23">
        <f>IFERROR(INDEX(Population_by_Province_Year!$B$5:$J$29,MATCH($A778,Population_by_Province_Year!$A$5:$A$29,0),MATCH($B778,Population_by_Province_Year!$B$4:$J$4,0)),"")</f>
        <v>132264</v>
      </c>
      <c r="H778" s="22">
        <f>IFERROR(D778/G778*100000,"")</f>
        <v>9.0727635637815283</v>
      </c>
    </row>
    <row r="779" spans="1:8" ht="15" customHeight="1" x14ac:dyDescent="0.3">
      <c r="A779" s="20" t="s">
        <v>13</v>
      </c>
      <c r="B779" s="20">
        <v>2020</v>
      </c>
      <c r="C779" s="20" t="s">
        <v>107</v>
      </c>
      <c r="D779" s="20">
        <v>21</v>
      </c>
      <c r="E779" s="20">
        <v>1</v>
      </c>
      <c r="F779" s="22">
        <f>IFERROR(E779/D779*100,"")</f>
        <v>4.7619047619047619</v>
      </c>
      <c r="G779" s="23">
        <f>IFERROR(INDEX(Population_by_Province_Year!$B$5:$J$29,MATCH($A779,Population_by_Province_Year!$A$5:$A$29,0),MATCH($B779,Population_by_Province_Year!$B$4:$J$4,0)),"")</f>
        <v>393692</v>
      </c>
      <c r="H779" s="22">
        <f>IFERROR(D779/G779*100000,"")</f>
        <v>5.3341190575373645</v>
      </c>
    </row>
    <row r="780" spans="1:8" ht="15" customHeight="1" x14ac:dyDescent="0.3">
      <c r="A780" s="20" t="s">
        <v>15</v>
      </c>
      <c r="B780" s="20">
        <v>2020</v>
      </c>
      <c r="C780" s="20" t="s">
        <v>107</v>
      </c>
      <c r="D780" s="20">
        <v>11</v>
      </c>
      <c r="E780" s="20">
        <v>0</v>
      </c>
      <c r="F780" s="22">
        <f>IFERROR(E780/D780*100,"")</f>
        <v>0</v>
      </c>
      <c r="G780" s="23">
        <f>IFERROR(INDEX(Population_by_Province_Year!$B$5:$J$29,MATCH($A780,Population_by_Province_Year!$A$5:$A$29,0),MATCH($B780,Population_by_Province_Year!$B$4:$J$4,0)),"")</f>
        <v>289987</v>
      </c>
      <c r="H780" s="22">
        <f>IFERROR(D780/G780*100000,"")</f>
        <v>3.7932734915703117</v>
      </c>
    </row>
    <row r="781" spans="1:8" ht="15" customHeight="1" x14ac:dyDescent="0.3">
      <c r="A781" s="20" t="s">
        <v>16</v>
      </c>
      <c r="B781" s="20">
        <v>2020</v>
      </c>
      <c r="C781" s="20" t="s">
        <v>107</v>
      </c>
      <c r="D781" s="20">
        <v>7</v>
      </c>
      <c r="E781" s="20">
        <v>0</v>
      </c>
      <c r="F781" s="22">
        <f>IFERROR(E781/D781*100,"")</f>
        <v>0</v>
      </c>
      <c r="G781" s="23">
        <f>IFERROR(INDEX(Population_by_Province_Year!$B$5:$J$29,MATCH($A781,Population_by_Province_Year!$A$5:$A$29,0),MATCH($B781,Population_by_Province_Year!$B$4:$J$4,0)),"")</f>
        <v>78908</v>
      </c>
      <c r="H781" s="22">
        <f>IFERROR(D781/G781*100000,"")</f>
        <v>8.8710903837380233</v>
      </c>
    </row>
    <row r="782" spans="1:8" ht="15" customHeight="1" x14ac:dyDescent="0.3">
      <c r="A782" s="20" t="s">
        <v>17</v>
      </c>
      <c r="B782" s="20">
        <v>2020</v>
      </c>
      <c r="C782" s="20" t="s">
        <v>107</v>
      </c>
      <c r="D782" s="20">
        <v>349</v>
      </c>
      <c r="E782" s="20">
        <v>1</v>
      </c>
      <c r="F782" s="22">
        <f>IFERROR(E782/D782*100,"")</f>
        <v>0.28653295128939826</v>
      </c>
      <c r="G782" s="23">
        <f>IFERROR(INDEX(Population_by_Province_Year!$B$5:$J$29,MATCH($A782,Population_by_Province_Year!$A$5:$A$29,0),MATCH($B782,Population_by_Province_Year!$B$4:$J$4,0)),"")</f>
        <v>2397261</v>
      </c>
      <c r="H782" s="22">
        <f>IFERROR(D782/G782*100000,"")</f>
        <v>14.558281305206235</v>
      </c>
    </row>
    <row r="783" spans="1:8" ht="15" customHeight="1" x14ac:dyDescent="0.3">
      <c r="A783" s="20" t="s">
        <v>18</v>
      </c>
      <c r="B783" s="20">
        <v>2020</v>
      </c>
      <c r="C783" s="20" t="s">
        <v>107</v>
      </c>
      <c r="D783" s="20">
        <v>19</v>
      </c>
      <c r="E783" s="20">
        <v>0</v>
      </c>
      <c r="F783" s="22">
        <f>IFERROR(E783/D783*100,"")</f>
        <v>0</v>
      </c>
      <c r="G783" s="23">
        <f>IFERROR(INDEX(Population_by_Province_Year!$B$5:$J$29,MATCH($A783,Population_by_Province_Year!$A$5:$A$29,0),MATCH($B783,Population_by_Province_Year!$B$4:$J$4,0)),"")</f>
        <v>325740</v>
      </c>
      <c r="H783" s="22">
        <f>IFERROR(D783/G783*100000,"")</f>
        <v>5.8328728433720141</v>
      </c>
    </row>
    <row r="784" spans="1:8" ht="15" customHeight="1" x14ac:dyDescent="0.3">
      <c r="A784" s="20" t="s">
        <v>19</v>
      </c>
      <c r="B784" s="20">
        <v>2020</v>
      </c>
      <c r="C784" s="20" t="s">
        <v>107</v>
      </c>
      <c r="D784" s="20">
        <v>40</v>
      </c>
      <c r="E784" s="20">
        <v>0</v>
      </c>
      <c r="F784" s="22">
        <f>IFERROR(E784/D784*100,"")</f>
        <v>0</v>
      </c>
      <c r="G784" s="23">
        <f>IFERROR(INDEX(Population_by_Province_Year!$B$5:$J$29,MATCH($A784,Population_by_Province_Year!$A$5:$A$29,0),MATCH($B784,Population_by_Province_Year!$B$4:$J$4,0)),"")</f>
        <v>267704</v>
      </c>
      <c r="H784" s="22">
        <f>IFERROR(D784/G784*100000,"")</f>
        <v>14.941876101963363</v>
      </c>
    </row>
    <row r="785" spans="1:8" ht="15" customHeight="1" x14ac:dyDescent="0.3">
      <c r="A785" s="20" t="s">
        <v>20</v>
      </c>
      <c r="B785" s="20">
        <v>2020</v>
      </c>
      <c r="C785" s="20" t="s">
        <v>107</v>
      </c>
      <c r="D785" s="20">
        <v>38</v>
      </c>
      <c r="E785" s="20">
        <v>0</v>
      </c>
      <c r="F785" s="22">
        <f>IFERROR(E785/D785*100,"")</f>
        <v>0</v>
      </c>
      <c r="G785" s="23">
        <f>IFERROR(INDEX(Population_by_Province_Year!$B$5:$J$29,MATCH($A785,Population_by_Province_Year!$A$5:$A$29,0),MATCH($B785,Population_by_Province_Year!$B$4:$J$4,0)),"")</f>
        <v>1111168</v>
      </c>
      <c r="H785" s="22">
        <f>IFERROR(D785/G785*100000,"")</f>
        <v>3.4198249049648655</v>
      </c>
    </row>
    <row r="786" spans="1:8" ht="15" customHeight="1" x14ac:dyDescent="0.3">
      <c r="A786" s="20" t="s">
        <v>21</v>
      </c>
      <c r="B786" s="20">
        <v>2020</v>
      </c>
      <c r="C786" s="20" t="s">
        <v>107</v>
      </c>
      <c r="D786" s="20">
        <v>30</v>
      </c>
      <c r="E786" s="20">
        <v>0</v>
      </c>
      <c r="F786" s="22">
        <f>IFERROR(E786/D786*100,"")</f>
        <v>0</v>
      </c>
      <c r="G786" s="23">
        <f>IFERROR(INDEX(Population_by_Province_Year!$B$5:$J$29,MATCH($A786,Population_by_Province_Year!$A$5:$A$29,0),MATCH($B786,Population_by_Province_Year!$B$4:$J$4,0)),"")</f>
        <v>441173</v>
      </c>
      <c r="H786" s="22">
        <f>IFERROR(D786/G786*100000,"")</f>
        <v>6.8000534937541515</v>
      </c>
    </row>
    <row r="787" spans="1:8" ht="15" customHeight="1" x14ac:dyDescent="0.3">
      <c r="A787" s="20" t="s">
        <v>22</v>
      </c>
      <c r="B787" s="20">
        <v>2020</v>
      </c>
      <c r="C787" s="20" t="s">
        <v>107</v>
      </c>
      <c r="D787" s="20">
        <v>7</v>
      </c>
      <c r="E787" s="20">
        <v>0</v>
      </c>
      <c r="F787" s="22">
        <f>IFERROR(E787/D787*100,"")</f>
        <v>0</v>
      </c>
      <c r="G787" s="23">
        <f>IFERROR(INDEX(Population_by_Province_Year!$B$5:$J$29,MATCH($A787,Population_by_Province_Year!$A$5:$A$29,0),MATCH($B787,Population_by_Province_Year!$B$4:$J$4,0)),"")</f>
        <v>228441</v>
      </c>
      <c r="H787" s="22">
        <f>IFERROR(D787/G787*100000,"")</f>
        <v>3.0642485368213235</v>
      </c>
    </row>
    <row r="788" spans="1:8" ht="15" customHeight="1" x14ac:dyDescent="0.3">
      <c r="A788" s="20" t="s">
        <v>23</v>
      </c>
      <c r="B788" s="20">
        <v>2020</v>
      </c>
      <c r="C788" s="20" t="s">
        <v>107</v>
      </c>
      <c r="D788" s="20">
        <v>121</v>
      </c>
      <c r="E788" s="20">
        <v>0</v>
      </c>
      <c r="F788" s="22">
        <f>IFERROR(E788/D788*100,"")</f>
        <v>0</v>
      </c>
      <c r="G788" s="23">
        <f>IFERROR(INDEX(Population_by_Province_Year!$B$5:$J$29,MATCH($A788,Population_by_Province_Year!$A$5:$A$29,0),MATCH($B788,Population_by_Province_Year!$B$4:$J$4,0)),"")</f>
        <v>1065485</v>
      </c>
      <c r="H788" s="22">
        <f>IFERROR(D788/G788*100000,"")</f>
        <v>11.356330685087073</v>
      </c>
    </row>
    <row r="789" spans="1:8" ht="15" customHeight="1" x14ac:dyDescent="0.3">
      <c r="A789" s="20" t="s">
        <v>24</v>
      </c>
      <c r="B789" s="20">
        <v>2020</v>
      </c>
      <c r="C789" s="20" t="s">
        <v>107</v>
      </c>
      <c r="D789" s="20">
        <v>33</v>
      </c>
      <c r="E789" s="20">
        <v>0</v>
      </c>
      <c r="F789" s="22">
        <f>IFERROR(E789/D789*100,"")</f>
        <v>0</v>
      </c>
      <c r="G789" s="23">
        <f>IFERROR(INDEX(Population_by_Province_Year!$B$5:$J$29,MATCH($A789,Population_by_Province_Year!$A$5:$A$29,0),MATCH($B789,Population_by_Province_Year!$B$4:$J$4,0)),"")</f>
        <v>174087</v>
      </c>
      <c r="H789" s="22">
        <f>IFERROR(D789/G789*100000,"")</f>
        <v>18.956039221768428</v>
      </c>
    </row>
    <row r="790" spans="1:8" ht="15" customHeight="1" x14ac:dyDescent="0.3">
      <c r="A790" s="20" t="s">
        <v>25</v>
      </c>
      <c r="B790" s="20">
        <v>2020</v>
      </c>
      <c r="C790" s="20" t="s">
        <v>107</v>
      </c>
      <c r="D790" s="20">
        <v>38</v>
      </c>
      <c r="E790" s="20">
        <v>0</v>
      </c>
      <c r="F790" s="22">
        <f>IFERROR(E790/D790*100,"")</f>
        <v>0</v>
      </c>
      <c r="G790" s="23">
        <f>IFERROR(INDEX(Population_by_Province_Year!$B$5:$J$29,MATCH($A790,Population_by_Province_Year!$A$5:$A$29,0),MATCH($B790,Population_by_Province_Year!$B$4:$J$4,0)),"")</f>
        <v>552051</v>
      </c>
      <c r="H790" s="22">
        <f>IFERROR(D790/G790*100000,"")</f>
        <v>6.8834220026772881</v>
      </c>
    </row>
    <row r="791" spans="1:8" ht="15" customHeight="1" x14ac:dyDescent="0.3">
      <c r="A791" s="20" t="s">
        <v>26</v>
      </c>
      <c r="B791" s="20">
        <v>2020</v>
      </c>
      <c r="C791" s="20" t="s">
        <v>107</v>
      </c>
      <c r="D791" s="20">
        <v>56</v>
      </c>
      <c r="E791" s="20">
        <v>0</v>
      </c>
      <c r="F791" s="22">
        <f>IFERROR(E791/D791*100,"")</f>
        <v>0</v>
      </c>
      <c r="G791" s="23">
        <f>IFERROR(INDEX(Population_by_Province_Year!$B$5:$J$29,MATCH($A791,Population_by_Province_Year!$A$5:$A$29,0),MATCH($B791,Population_by_Province_Year!$B$4:$J$4,0)),"")</f>
        <v>946439</v>
      </c>
      <c r="H791" s="22">
        <f>IFERROR(D791/G791*100000,"")</f>
        <v>5.9169159343602704</v>
      </c>
    </row>
    <row r="792" spans="1:8" ht="15" customHeight="1" x14ac:dyDescent="0.3">
      <c r="A792" s="20" t="s">
        <v>27</v>
      </c>
      <c r="B792" s="20">
        <v>2020</v>
      </c>
      <c r="C792" s="20" t="s">
        <v>107</v>
      </c>
      <c r="D792" s="20">
        <v>102</v>
      </c>
      <c r="E792" s="20">
        <v>1</v>
      </c>
      <c r="F792" s="22">
        <f>IFERROR(E792/D792*100,"")</f>
        <v>0.98039215686274506</v>
      </c>
      <c r="G792" s="23">
        <f>IFERROR(INDEX(Population_by_Province_Year!$B$5:$J$29,MATCH($A792,Population_by_Province_Year!$A$5:$A$29,0),MATCH($B792,Population_by_Province_Year!$B$4:$J$4,0)),"")</f>
        <v>816096</v>
      </c>
      <c r="H792" s="22">
        <f>IFERROR(D792/G792*100000,"")</f>
        <v>12.498529584754735</v>
      </c>
    </row>
    <row r="793" spans="1:8" ht="15" customHeight="1" x14ac:dyDescent="0.3">
      <c r="A793" s="20" t="s">
        <v>3</v>
      </c>
      <c r="B793" s="20">
        <v>2020</v>
      </c>
      <c r="C793" s="20" t="s">
        <v>106</v>
      </c>
      <c r="D793" s="20">
        <v>72</v>
      </c>
      <c r="E793" s="20">
        <v>0</v>
      </c>
      <c r="F793" s="22">
        <f>IFERROR(E793/D793*100,"")</f>
        <v>0</v>
      </c>
      <c r="G793" s="23">
        <f>IFERROR(INDEX(Population_by_Province_Year!$B$5:$J$29,MATCH($A793,Population_by_Province_Year!$A$5:$A$29,0),MATCH($B793,Population_by_Province_Year!$B$4:$J$4,0)),"")</f>
        <v>905435</v>
      </c>
      <c r="H793" s="22">
        <f>IFERROR(D793/G793*100000,"")</f>
        <v>7.9519788830782998</v>
      </c>
    </row>
    <row r="794" spans="1:8" ht="15" customHeight="1" x14ac:dyDescent="0.3">
      <c r="A794" s="20" t="s">
        <v>4</v>
      </c>
      <c r="B794" s="20">
        <v>2020</v>
      </c>
      <c r="C794" s="20" t="s">
        <v>106</v>
      </c>
      <c r="D794" s="20">
        <v>31</v>
      </c>
      <c r="E794" s="20">
        <v>0</v>
      </c>
      <c r="F794" s="22">
        <f>IFERROR(E794/D794*100,"")</f>
        <v>0</v>
      </c>
      <c r="G794" s="23">
        <f>IFERROR(INDEX(Population_by_Province_Year!$B$5:$J$29,MATCH($A794,Population_by_Province_Year!$A$5:$A$29,0),MATCH($B794,Population_by_Province_Year!$B$4:$J$4,0)),"")</f>
        <v>1047557</v>
      </c>
      <c r="H794" s="22">
        <f>IFERROR(D794/G794*100000,"")</f>
        <v>2.9592661783559273</v>
      </c>
    </row>
    <row r="795" spans="1:8" ht="15" customHeight="1" x14ac:dyDescent="0.3">
      <c r="A795" s="20" t="s">
        <v>5</v>
      </c>
      <c r="B795" s="20">
        <v>2020</v>
      </c>
      <c r="C795" s="20" t="s">
        <v>106</v>
      </c>
      <c r="D795" s="20">
        <v>61</v>
      </c>
      <c r="E795" s="20">
        <v>0</v>
      </c>
      <c r="F795" s="22">
        <f>IFERROR(E795/D795*100,"")</f>
        <v>0</v>
      </c>
      <c r="G795" s="23">
        <f>IFERROR(INDEX(Population_by_Province_Year!$B$5:$J$29,MATCH($A795,Population_by_Province_Year!$A$5:$A$29,0),MATCH($B795,Population_by_Province_Year!$B$4:$J$4,0)),"")</f>
        <v>945259</v>
      </c>
      <c r="H795" s="22">
        <f>IFERROR(D795/G795*100000,"")</f>
        <v>6.4532577843744408</v>
      </c>
    </row>
    <row r="796" spans="1:8" ht="15" customHeight="1" x14ac:dyDescent="0.3">
      <c r="A796" s="20" t="s">
        <v>6</v>
      </c>
      <c r="B796" s="20">
        <v>2020</v>
      </c>
      <c r="C796" s="20" t="s">
        <v>106</v>
      </c>
      <c r="D796" s="20">
        <v>26</v>
      </c>
      <c r="E796" s="20">
        <v>0</v>
      </c>
      <c r="F796" s="22">
        <f>IFERROR(E796/D796*100,"")</f>
        <v>0</v>
      </c>
      <c r="G796" s="23">
        <f>IFERROR(INDEX(Population_by_Province_Year!$B$5:$J$29,MATCH($A796,Population_by_Province_Year!$A$5:$A$29,0),MATCH($B796,Population_by_Province_Year!$B$4:$J$4,0)),"")</f>
        <v>553658</v>
      </c>
      <c r="H796" s="22">
        <f>IFERROR(D796/G796*100000,"")</f>
        <v>4.6960397935187421</v>
      </c>
    </row>
    <row r="797" spans="1:8" ht="15" customHeight="1" x14ac:dyDescent="0.3">
      <c r="A797" s="20" t="s">
        <v>7</v>
      </c>
      <c r="B797" s="20">
        <v>2020</v>
      </c>
      <c r="C797" s="20" t="s">
        <v>106</v>
      </c>
      <c r="D797" s="20">
        <v>18</v>
      </c>
      <c r="E797" s="20">
        <v>0</v>
      </c>
      <c r="F797" s="22">
        <f>IFERROR(E797/D797*100,"")</f>
        <v>0</v>
      </c>
      <c r="G797" s="23">
        <f>IFERROR(INDEX(Population_by_Province_Year!$B$5:$J$29,MATCH($A797,Population_by_Province_Year!$A$5:$A$29,0),MATCH($B797,Population_by_Province_Year!$B$4:$J$4,0)),"")</f>
        <v>921866</v>
      </c>
      <c r="H797" s="22">
        <f>IFERROR(D797/G797*100000,"")</f>
        <v>1.952561435176045</v>
      </c>
    </row>
    <row r="798" spans="1:8" ht="15" customHeight="1" x14ac:dyDescent="0.3">
      <c r="A798" s="20" t="s">
        <v>8</v>
      </c>
      <c r="B798" s="20">
        <v>2020</v>
      </c>
      <c r="C798" s="20" t="s">
        <v>106</v>
      </c>
      <c r="D798" s="20">
        <v>25</v>
      </c>
      <c r="E798" s="20">
        <v>0</v>
      </c>
      <c r="F798" s="22">
        <f>IFERROR(E798/D798*100,"")</f>
        <v>0</v>
      </c>
      <c r="G798" s="23">
        <f>IFERROR(INDEX(Population_by_Province_Year!$B$5:$J$29,MATCH($A798,Population_by_Province_Year!$A$5:$A$29,0),MATCH($B798,Population_by_Province_Year!$B$4:$J$4,0)),"")</f>
        <v>715989</v>
      </c>
      <c r="H798" s="22">
        <f>IFERROR(D798/G798*100000,"")</f>
        <v>3.4916737547643883</v>
      </c>
    </row>
    <row r="799" spans="1:8" ht="15" customHeight="1" x14ac:dyDescent="0.3">
      <c r="A799" s="20" t="s">
        <v>9</v>
      </c>
      <c r="B799" s="20">
        <v>2020</v>
      </c>
      <c r="C799" s="20" t="s">
        <v>106</v>
      </c>
      <c r="D799" s="20">
        <v>24</v>
      </c>
      <c r="E799" s="20">
        <v>0</v>
      </c>
      <c r="F799" s="22">
        <f>IFERROR(E799/D799*100,"")</f>
        <v>0</v>
      </c>
      <c r="G799" s="23">
        <f>IFERROR(INDEX(Population_by_Province_Year!$B$5:$J$29,MATCH($A799,Population_by_Province_Year!$A$5:$A$29,0),MATCH($B799,Population_by_Province_Year!$B$4:$J$4,0)),"")</f>
        <v>623836</v>
      </c>
      <c r="H799" s="22">
        <f>IFERROR(D799/G799*100000,"")</f>
        <v>3.8471649600215443</v>
      </c>
    </row>
    <row r="800" spans="1:8" ht="15" customHeight="1" x14ac:dyDescent="0.3">
      <c r="A800" s="20" t="s">
        <v>10</v>
      </c>
      <c r="B800" s="20">
        <v>2020</v>
      </c>
      <c r="C800" s="20" t="s">
        <v>106</v>
      </c>
      <c r="D800" s="20">
        <v>136</v>
      </c>
      <c r="E800" s="20">
        <v>1</v>
      </c>
      <c r="F800" s="22">
        <f>IFERROR(E800/D800*100,"")</f>
        <v>0.73529411764705876</v>
      </c>
      <c r="G800" s="23">
        <f>IFERROR(INDEX(Population_by_Province_Year!$B$5:$J$29,MATCH($A800,Population_by_Province_Year!$A$5:$A$29,0),MATCH($B800,Population_by_Province_Year!$B$4:$J$4,0)),"")</f>
        <v>1262299</v>
      </c>
      <c r="H800" s="22">
        <f>IFERROR(D800/G800*100000,"")</f>
        <v>10.773992532672528</v>
      </c>
    </row>
    <row r="801" spans="1:8" ht="15" customHeight="1" x14ac:dyDescent="0.3">
      <c r="A801" s="20" t="s">
        <v>12</v>
      </c>
      <c r="B801" s="20">
        <v>2020</v>
      </c>
      <c r="C801" s="20" t="s">
        <v>106</v>
      </c>
      <c r="D801" s="20">
        <v>7</v>
      </c>
      <c r="E801" s="20">
        <v>0</v>
      </c>
      <c r="F801" s="22">
        <f>IFERROR(E801/D801*100,"")</f>
        <v>0</v>
      </c>
      <c r="G801" s="23">
        <f>IFERROR(INDEX(Population_by_Province_Year!$B$5:$J$29,MATCH($A801,Population_by_Province_Year!$A$5:$A$29,0),MATCH($B801,Population_by_Province_Year!$B$4:$J$4,0)),"")</f>
        <v>132264</v>
      </c>
      <c r="H801" s="22">
        <f>IFERROR(D801/G801*100000,"")</f>
        <v>5.2924454122058906</v>
      </c>
    </row>
    <row r="802" spans="1:8" ht="15" customHeight="1" x14ac:dyDescent="0.3">
      <c r="A802" s="20" t="s">
        <v>13</v>
      </c>
      <c r="B802" s="20">
        <v>2020</v>
      </c>
      <c r="C802" s="20" t="s">
        <v>106</v>
      </c>
      <c r="D802" s="20">
        <v>19</v>
      </c>
      <c r="E802" s="20">
        <v>0</v>
      </c>
      <c r="F802" s="22">
        <f>IFERROR(E802/D802*100,"")</f>
        <v>0</v>
      </c>
      <c r="G802" s="23">
        <f>IFERROR(INDEX(Population_by_Province_Year!$B$5:$J$29,MATCH($A802,Population_by_Province_Year!$A$5:$A$29,0),MATCH($B802,Population_by_Province_Year!$B$4:$J$4,0)),"")</f>
        <v>393692</v>
      </c>
      <c r="H802" s="22">
        <f>IFERROR(D802/G802*100000,"")</f>
        <v>4.8261077187242822</v>
      </c>
    </row>
    <row r="803" spans="1:8" ht="15" customHeight="1" x14ac:dyDescent="0.3">
      <c r="A803" s="20" t="s">
        <v>14</v>
      </c>
      <c r="B803" s="20">
        <v>2020</v>
      </c>
      <c r="C803" s="20" t="s">
        <v>106</v>
      </c>
      <c r="D803" s="20">
        <v>1</v>
      </c>
      <c r="E803" s="20">
        <v>0</v>
      </c>
      <c r="F803" s="22">
        <f>IFERROR(E803/D803*100,"")</f>
        <v>0</v>
      </c>
      <c r="G803" s="23">
        <f>IFERROR(INDEX(Population_by_Province_Year!$B$5:$J$29,MATCH($A803,Population_by_Province_Year!$A$5:$A$29,0),MATCH($B803,Population_by_Province_Year!$B$4:$J$4,0)),"")</f>
        <v>96873</v>
      </c>
      <c r="H803" s="22">
        <f>IFERROR(D803/G803*100000,"")</f>
        <v>1.032279376090345</v>
      </c>
    </row>
    <row r="804" spans="1:8" ht="15" customHeight="1" x14ac:dyDescent="0.3">
      <c r="A804" s="20" t="s">
        <v>15</v>
      </c>
      <c r="B804" s="20">
        <v>2020</v>
      </c>
      <c r="C804" s="20" t="s">
        <v>106</v>
      </c>
      <c r="D804" s="20">
        <v>7</v>
      </c>
      <c r="E804" s="20">
        <v>0</v>
      </c>
      <c r="F804" s="22">
        <f>IFERROR(E804/D804*100,"")</f>
        <v>0</v>
      </c>
      <c r="G804" s="23">
        <f>IFERROR(INDEX(Population_by_Province_Year!$B$5:$J$29,MATCH($A804,Population_by_Province_Year!$A$5:$A$29,0),MATCH($B804,Population_by_Province_Year!$B$4:$J$4,0)),"")</f>
        <v>289987</v>
      </c>
      <c r="H804" s="22">
        <f>IFERROR(D804/G804*100000,"")</f>
        <v>2.4139013128174711</v>
      </c>
    </row>
    <row r="805" spans="1:8" ht="15" customHeight="1" x14ac:dyDescent="0.3">
      <c r="A805" s="20" t="s">
        <v>16</v>
      </c>
      <c r="B805" s="20">
        <v>2020</v>
      </c>
      <c r="C805" s="20" t="s">
        <v>106</v>
      </c>
      <c r="D805" s="20">
        <v>5</v>
      </c>
      <c r="E805" s="20">
        <v>0</v>
      </c>
      <c r="F805" s="22">
        <f>IFERROR(E805/D805*100,"")</f>
        <v>0</v>
      </c>
      <c r="G805" s="23">
        <f>IFERROR(INDEX(Population_by_Province_Year!$B$5:$J$29,MATCH($A805,Population_by_Province_Year!$A$5:$A$29,0),MATCH($B805,Population_by_Province_Year!$B$4:$J$4,0)),"")</f>
        <v>78908</v>
      </c>
      <c r="H805" s="22">
        <f>IFERROR(D805/G805*100000,"")</f>
        <v>6.3364931312414461</v>
      </c>
    </row>
    <row r="806" spans="1:8" ht="15" customHeight="1" x14ac:dyDescent="0.3">
      <c r="A806" s="20" t="s">
        <v>17</v>
      </c>
      <c r="B806" s="20">
        <v>2020</v>
      </c>
      <c r="C806" s="20" t="s">
        <v>106</v>
      </c>
      <c r="D806" s="20">
        <v>317</v>
      </c>
      <c r="E806" s="20">
        <v>0</v>
      </c>
      <c r="F806" s="22">
        <f>IFERROR(E806/D806*100,"")</f>
        <v>0</v>
      </c>
      <c r="G806" s="23">
        <f>IFERROR(INDEX(Population_by_Province_Year!$B$5:$J$29,MATCH($A806,Population_by_Province_Year!$A$5:$A$29,0),MATCH($B806,Population_by_Province_Year!$B$4:$J$4,0)),"")</f>
        <v>2397261</v>
      </c>
      <c r="H806" s="22">
        <f>IFERROR(D806/G806*100000,"")</f>
        <v>13.223424566619988</v>
      </c>
    </row>
    <row r="807" spans="1:8" ht="15" customHeight="1" x14ac:dyDescent="0.3">
      <c r="A807" s="20" t="s">
        <v>18</v>
      </c>
      <c r="B807" s="20">
        <v>2020</v>
      </c>
      <c r="C807" s="20" t="s">
        <v>106</v>
      </c>
      <c r="D807" s="20">
        <v>13</v>
      </c>
      <c r="E807" s="20">
        <v>0</v>
      </c>
      <c r="F807" s="22">
        <f>IFERROR(E807/D807*100,"")</f>
        <v>0</v>
      </c>
      <c r="G807" s="23">
        <f>IFERROR(INDEX(Population_by_Province_Year!$B$5:$J$29,MATCH($A807,Population_by_Province_Year!$A$5:$A$29,0),MATCH($B807,Population_by_Province_Year!$B$4:$J$4,0)),"")</f>
        <v>325740</v>
      </c>
      <c r="H807" s="22">
        <f>IFERROR(D807/G807*100000,"")</f>
        <v>3.9909129980966411</v>
      </c>
    </row>
    <row r="808" spans="1:8" ht="15" customHeight="1" x14ac:dyDescent="0.3">
      <c r="A808" s="20" t="s">
        <v>19</v>
      </c>
      <c r="B808" s="20">
        <v>2020</v>
      </c>
      <c r="C808" s="20" t="s">
        <v>106</v>
      </c>
      <c r="D808" s="20">
        <v>21</v>
      </c>
      <c r="E808" s="20">
        <v>0</v>
      </c>
      <c r="F808" s="22">
        <f>IFERROR(E808/D808*100,"")</f>
        <v>0</v>
      </c>
      <c r="G808" s="23">
        <f>IFERROR(INDEX(Population_by_Province_Year!$B$5:$J$29,MATCH($A808,Population_by_Province_Year!$A$5:$A$29,0),MATCH($B808,Population_by_Province_Year!$B$4:$J$4,0)),"")</f>
        <v>267704</v>
      </c>
      <c r="H808" s="22">
        <f>IFERROR(D808/G808*100000,"")</f>
        <v>7.8444849535307659</v>
      </c>
    </row>
    <row r="809" spans="1:8" ht="15" customHeight="1" x14ac:dyDescent="0.3">
      <c r="A809" s="20" t="s">
        <v>20</v>
      </c>
      <c r="B809" s="20">
        <v>2020</v>
      </c>
      <c r="C809" s="20" t="s">
        <v>106</v>
      </c>
      <c r="D809" s="20">
        <v>29</v>
      </c>
      <c r="E809" s="20">
        <v>0</v>
      </c>
      <c r="F809" s="22">
        <f>IFERROR(E809/D809*100,"")</f>
        <v>0</v>
      </c>
      <c r="G809" s="23">
        <f>IFERROR(INDEX(Population_by_Province_Year!$B$5:$J$29,MATCH($A809,Population_by_Province_Year!$A$5:$A$29,0),MATCH($B809,Population_by_Province_Year!$B$4:$J$4,0)),"")</f>
        <v>1111168</v>
      </c>
      <c r="H809" s="22">
        <f>IFERROR(D809/G809*100000,"")</f>
        <v>2.6098663748416078</v>
      </c>
    </row>
    <row r="810" spans="1:8" ht="15" customHeight="1" x14ac:dyDescent="0.3">
      <c r="A810" s="20" t="s">
        <v>21</v>
      </c>
      <c r="B810" s="20">
        <v>2020</v>
      </c>
      <c r="C810" s="20" t="s">
        <v>106</v>
      </c>
      <c r="D810" s="20">
        <v>16</v>
      </c>
      <c r="E810" s="20">
        <v>0</v>
      </c>
      <c r="F810" s="22">
        <f>IFERROR(E810/D810*100,"")</f>
        <v>0</v>
      </c>
      <c r="G810" s="23">
        <f>IFERROR(INDEX(Population_by_Province_Year!$B$5:$J$29,MATCH($A810,Population_by_Province_Year!$A$5:$A$29,0),MATCH($B810,Population_by_Province_Year!$B$4:$J$4,0)),"")</f>
        <v>441173</v>
      </c>
      <c r="H810" s="22">
        <f>IFERROR(D810/G810*100000,"")</f>
        <v>3.6266951966688801</v>
      </c>
    </row>
    <row r="811" spans="1:8" ht="15" customHeight="1" x14ac:dyDescent="0.3">
      <c r="A811" s="20" t="s">
        <v>22</v>
      </c>
      <c r="B811" s="20">
        <v>2020</v>
      </c>
      <c r="C811" s="20" t="s">
        <v>106</v>
      </c>
      <c r="D811" s="20">
        <v>11</v>
      </c>
      <c r="E811" s="20">
        <v>0</v>
      </c>
      <c r="F811" s="22">
        <f>IFERROR(E811/D811*100,"")</f>
        <v>0</v>
      </c>
      <c r="G811" s="23">
        <f>IFERROR(INDEX(Population_by_Province_Year!$B$5:$J$29,MATCH($A811,Population_by_Province_Year!$A$5:$A$29,0),MATCH($B811,Population_by_Province_Year!$B$4:$J$4,0)),"")</f>
        <v>228441</v>
      </c>
      <c r="H811" s="22">
        <f>IFERROR(D811/G811*100000,"")</f>
        <v>4.8152477007192234</v>
      </c>
    </row>
    <row r="812" spans="1:8" ht="15" customHeight="1" x14ac:dyDescent="0.3">
      <c r="A812" s="20" t="s">
        <v>23</v>
      </c>
      <c r="B812" s="20">
        <v>2020</v>
      </c>
      <c r="C812" s="20" t="s">
        <v>106</v>
      </c>
      <c r="D812" s="20">
        <v>66</v>
      </c>
      <c r="E812" s="20">
        <v>0</v>
      </c>
      <c r="F812" s="22">
        <f>IFERROR(E812/D812*100,"")</f>
        <v>0</v>
      </c>
      <c r="G812" s="23">
        <f>IFERROR(INDEX(Population_by_Province_Year!$B$5:$J$29,MATCH($A812,Population_by_Province_Year!$A$5:$A$29,0),MATCH($B812,Population_by_Province_Year!$B$4:$J$4,0)),"")</f>
        <v>1065485</v>
      </c>
      <c r="H812" s="22">
        <f>IFERROR(D812/G812*100000,"")</f>
        <v>6.1943621918656762</v>
      </c>
    </row>
    <row r="813" spans="1:8" ht="15" customHeight="1" x14ac:dyDescent="0.3">
      <c r="A813" s="20" t="s">
        <v>24</v>
      </c>
      <c r="B813" s="20">
        <v>2020</v>
      </c>
      <c r="C813" s="20" t="s">
        <v>106</v>
      </c>
      <c r="D813" s="20">
        <v>11</v>
      </c>
      <c r="E813" s="20">
        <v>0</v>
      </c>
      <c r="F813" s="22">
        <f>IFERROR(E813/D813*100,"")</f>
        <v>0</v>
      </c>
      <c r="G813" s="23">
        <f>IFERROR(INDEX(Population_by_Province_Year!$B$5:$J$29,MATCH($A813,Population_by_Province_Year!$A$5:$A$29,0),MATCH($B813,Population_by_Province_Year!$B$4:$J$4,0)),"")</f>
        <v>174087</v>
      </c>
      <c r="H813" s="22">
        <f>IFERROR(D813/G813*100000,"")</f>
        <v>6.3186797405894746</v>
      </c>
    </row>
    <row r="814" spans="1:8" ht="15" customHeight="1" x14ac:dyDescent="0.3">
      <c r="A814" s="20" t="s">
        <v>25</v>
      </c>
      <c r="B814" s="20">
        <v>2020</v>
      </c>
      <c r="C814" s="20" t="s">
        <v>106</v>
      </c>
      <c r="D814" s="20">
        <v>19</v>
      </c>
      <c r="E814" s="20">
        <v>0</v>
      </c>
      <c r="F814" s="22">
        <f>IFERROR(E814/D814*100,"")</f>
        <v>0</v>
      </c>
      <c r="G814" s="23">
        <f>IFERROR(INDEX(Population_by_Province_Year!$B$5:$J$29,MATCH($A814,Population_by_Province_Year!$A$5:$A$29,0),MATCH($B814,Population_by_Province_Year!$B$4:$J$4,0)),"")</f>
        <v>552051</v>
      </c>
      <c r="H814" s="22">
        <f>IFERROR(D814/G814*100000,"")</f>
        <v>3.441711001338644</v>
      </c>
    </row>
    <row r="815" spans="1:8" ht="15" customHeight="1" x14ac:dyDescent="0.3">
      <c r="A815" s="20" t="s">
        <v>26</v>
      </c>
      <c r="B815" s="20">
        <v>2020</v>
      </c>
      <c r="C815" s="20" t="s">
        <v>106</v>
      </c>
      <c r="D815" s="20">
        <v>23</v>
      </c>
      <c r="E815" s="20">
        <v>0</v>
      </c>
      <c r="F815" s="22">
        <f>IFERROR(E815/D815*100,"")</f>
        <v>0</v>
      </c>
      <c r="G815" s="23">
        <f>IFERROR(INDEX(Population_by_Province_Year!$B$5:$J$29,MATCH($A815,Population_by_Province_Year!$A$5:$A$29,0),MATCH($B815,Population_by_Province_Year!$B$4:$J$4,0)),"")</f>
        <v>946439</v>
      </c>
      <c r="H815" s="22">
        <f>IFERROR(D815/G815*100000,"")</f>
        <v>2.4301619016122542</v>
      </c>
    </row>
    <row r="816" spans="1:8" ht="15" customHeight="1" x14ac:dyDescent="0.3">
      <c r="A816" s="20" t="s">
        <v>27</v>
      </c>
      <c r="B816" s="20">
        <v>2020</v>
      </c>
      <c r="C816" s="20" t="s">
        <v>106</v>
      </c>
      <c r="D816" s="20">
        <v>69</v>
      </c>
      <c r="E816" s="20">
        <v>0</v>
      </c>
      <c r="F816" s="22">
        <f>IFERROR(E816/D816*100,"")</f>
        <v>0</v>
      </c>
      <c r="G816" s="23">
        <f>IFERROR(INDEX(Population_by_Province_Year!$B$5:$J$29,MATCH($A816,Population_by_Province_Year!$A$5:$A$29,0),MATCH($B816,Population_by_Province_Year!$B$4:$J$4,0)),"")</f>
        <v>816096</v>
      </c>
      <c r="H816" s="22">
        <f>IFERROR(D816/G816*100000,"")</f>
        <v>8.4548876602752614</v>
      </c>
    </row>
    <row r="817" spans="1:8" ht="15" customHeight="1" x14ac:dyDescent="0.3">
      <c r="A817" s="20" t="s">
        <v>3</v>
      </c>
      <c r="B817" s="20">
        <v>2020</v>
      </c>
      <c r="C817" s="20" t="s">
        <v>105</v>
      </c>
      <c r="D817" s="20">
        <v>29</v>
      </c>
      <c r="E817" s="20">
        <v>0</v>
      </c>
      <c r="F817" s="22">
        <f>IFERROR(E817/D817*100,"")</f>
        <v>0</v>
      </c>
      <c r="G817" s="23">
        <f>IFERROR(INDEX(Population_by_Province_Year!$B$5:$J$29,MATCH($A817,Population_by_Province_Year!$A$5:$A$29,0),MATCH($B817,Population_by_Province_Year!$B$4:$J$4,0)),"")</f>
        <v>905435</v>
      </c>
      <c r="H817" s="22">
        <f>IFERROR(D817/G817*100000,"")</f>
        <v>3.2028803834620927</v>
      </c>
    </row>
    <row r="818" spans="1:8" ht="15" customHeight="1" x14ac:dyDescent="0.3">
      <c r="A818" s="20" t="s">
        <v>4</v>
      </c>
      <c r="B818" s="20">
        <v>2020</v>
      </c>
      <c r="C818" s="20" t="s">
        <v>105</v>
      </c>
      <c r="D818" s="20">
        <v>1</v>
      </c>
      <c r="E818" s="20">
        <v>0</v>
      </c>
      <c r="F818" s="22">
        <f>IFERROR(E818/D818*100,"")</f>
        <v>0</v>
      </c>
      <c r="G818" s="23">
        <f>IFERROR(INDEX(Population_by_Province_Year!$B$5:$J$29,MATCH($A818,Population_by_Province_Year!$A$5:$A$29,0),MATCH($B818,Population_by_Province_Year!$B$4:$J$4,0)),"")</f>
        <v>1047557</v>
      </c>
      <c r="H818" s="22">
        <f>IFERROR(D818/G818*100000,"")</f>
        <v>9.5460199301804105E-2</v>
      </c>
    </row>
    <row r="819" spans="1:8" ht="15" customHeight="1" x14ac:dyDescent="0.3">
      <c r="A819" s="20" t="s">
        <v>5</v>
      </c>
      <c r="B819" s="20">
        <v>2020</v>
      </c>
      <c r="C819" s="20" t="s">
        <v>105</v>
      </c>
      <c r="D819" s="20">
        <v>49</v>
      </c>
      <c r="E819" s="20">
        <v>0</v>
      </c>
      <c r="F819" s="22">
        <f>IFERROR(E819/D819*100,"")</f>
        <v>0</v>
      </c>
      <c r="G819" s="23">
        <f>IFERROR(INDEX(Population_by_Province_Year!$B$5:$J$29,MATCH($A819,Population_by_Province_Year!$A$5:$A$29,0),MATCH($B819,Population_by_Province_Year!$B$4:$J$4,0)),"")</f>
        <v>945259</v>
      </c>
      <c r="H819" s="22">
        <f>IFERROR(D819/G819*100000,"")</f>
        <v>5.1837644497434034</v>
      </c>
    </row>
    <row r="820" spans="1:8" ht="15" customHeight="1" x14ac:dyDescent="0.3">
      <c r="A820" s="20" t="s">
        <v>6</v>
      </c>
      <c r="B820" s="20">
        <v>2020</v>
      </c>
      <c r="C820" s="20" t="s">
        <v>105</v>
      </c>
      <c r="D820" s="20">
        <v>6</v>
      </c>
      <c r="E820" s="20">
        <v>0</v>
      </c>
      <c r="F820" s="22">
        <f>IFERROR(E820/D820*100,"")</f>
        <v>0</v>
      </c>
      <c r="G820" s="23">
        <f>IFERROR(INDEX(Population_by_Province_Year!$B$5:$J$29,MATCH($A820,Population_by_Province_Year!$A$5:$A$29,0),MATCH($B820,Population_by_Province_Year!$B$4:$J$4,0)),"")</f>
        <v>553658</v>
      </c>
      <c r="H820" s="22">
        <f>IFERROR(D820/G820*100000,"")</f>
        <v>1.0837014908120175</v>
      </c>
    </row>
    <row r="821" spans="1:8" ht="15" customHeight="1" x14ac:dyDescent="0.3">
      <c r="A821" s="20" t="s">
        <v>7</v>
      </c>
      <c r="B821" s="20">
        <v>2020</v>
      </c>
      <c r="C821" s="20" t="s">
        <v>105</v>
      </c>
      <c r="D821" s="20">
        <v>23</v>
      </c>
      <c r="E821" s="20">
        <v>0</v>
      </c>
      <c r="F821" s="22">
        <f>IFERROR(E821/D821*100,"")</f>
        <v>0</v>
      </c>
      <c r="G821" s="23">
        <f>IFERROR(INDEX(Population_by_Province_Year!$B$5:$J$29,MATCH($A821,Population_by_Province_Year!$A$5:$A$29,0),MATCH($B821,Population_by_Province_Year!$B$4:$J$4,0)),"")</f>
        <v>921866</v>
      </c>
      <c r="H821" s="22">
        <f>IFERROR(D821/G821*100000,"")</f>
        <v>2.4949396116138356</v>
      </c>
    </row>
    <row r="822" spans="1:8" ht="15" customHeight="1" x14ac:dyDescent="0.3">
      <c r="A822" s="20" t="s">
        <v>8</v>
      </c>
      <c r="B822" s="20">
        <v>2020</v>
      </c>
      <c r="C822" s="20" t="s">
        <v>105</v>
      </c>
      <c r="D822" s="20">
        <v>21</v>
      </c>
      <c r="E822" s="20">
        <v>0</v>
      </c>
      <c r="F822" s="22">
        <f>IFERROR(E822/D822*100,"")</f>
        <v>0</v>
      </c>
      <c r="G822" s="23">
        <f>IFERROR(INDEX(Population_by_Province_Year!$B$5:$J$29,MATCH($A822,Population_by_Province_Year!$A$5:$A$29,0),MATCH($B822,Population_by_Province_Year!$B$4:$J$4,0)),"")</f>
        <v>715989</v>
      </c>
      <c r="H822" s="22">
        <f>IFERROR(D822/G822*100000,"")</f>
        <v>2.9330059540020863</v>
      </c>
    </row>
    <row r="823" spans="1:8" ht="15" customHeight="1" x14ac:dyDescent="0.3">
      <c r="A823" s="20" t="s">
        <v>9</v>
      </c>
      <c r="B823" s="20">
        <v>2020</v>
      </c>
      <c r="C823" s="20" t="s">
        <v>105</v>
      </c>
      <c r="D823" s="20">
        <v>19</v>
      </c>
      <c r="E823" s="20">
        <v>0</v>
      </c>
      <c r="F823" s="22">
        <f>IFERROR(E823/D823*100,"")</f>
        <v>0</v>
      </c>
      <c r="G823" s="23">
        <f>IFERROR(INDEX(Population_by_Province_Year!$B$5:$J$29,MATCH($A823,Population_by_Province_Year!$A$5:$A$29,0),MATCH($B823,Population_by_Province_Year!$B$4:$J$4,0)),"")</f>
        <v>623836</v>
      </c>
      <c r="H823" s="22">
        <f>IFERROR(D823/G823*100000,"")</f>
        <v>3.0456722600170556</v>
      </c>
    </row>
    <row r="824" spans="1:8" ht="15" customHeight="1" x14ac:dyDescent="0.3">
      <c r="A824" s="20" t="s">
        <v>10</v>
      </c>
      <c r="B824" s="20">
        <v>2020</v>
      </c>
      <c r="C824" s="20" t="s">
        <v>105</v>
      </c>
      <c r="D824" s="20">
        <v>96</v>
      </c>
      <c r="E824" s="20">
        <v>0</v>
      </c>
      <c r="F824" s="22">
        <f>IFERROR(E824/D824*100,"")</f>
        <v>0</v>
      </c>
      <c r="G824" s="23">
        <f>IFERROR(INDEX(Population_by_Province_Year!$B$5:$J$29,MATCH($A824,Population_by_Province_Year!$A$5:$A$29,0),MATCH($B824,Population_by_Province_Year!$B$4:$J$4,0)),"")</f>
        <v>1262299</v>
      </c>
      <c r="H824" s="22">
        <f>IFERROR(D824/G824*100000,"")</f>
        <v>7.60517119953355</v>
      </c>
    </row>
    <row r="825" spans="1:8" ht="15" customHeight="1" x14ac:dyDescent="0.3">
      <c r="A825" s="20" t="s">
        <v>11</v>
      </c>
      <c r="B825" s="20">
        <v>2020</v>
      </c>
      <c r="C825" s="20" t="s">
        <v>105</v>
      </c>
      <c r="D825" s="20">
        <v>2</v>
      </c>
      <c r="E825" s="20">
        <v>0</v>
      </c>
      <c r="F825" s="22">
        <f>IFERROR(E825/D825*100,"")</f>
        <v>0</v>
      </c>
      <c r="G825" s="23">
        <f>IFERROR(INDEX(Population_by_Province_Year!$B$5:$J$29,MATCH($A825,Population_by_Province_Year!$A$5:$A$29,0),MATCH($B825,Population_by_Province_Year!$B$4:$J$4,0)),"")</f>
        <v>44821</v>
      </c>
      <c r="H825" s="22">
        <f>IFERROR(D825/G825*100000,"")</f>
        <v>4.462194060819705</v>
      </c>
    </row>
    <row r="826" spans="1:8" ht="15" customHeight="1" x14ac:dyDescent="0.3">
      <c r="A826" s="20" t="s">
        <v>12</v>
      </c>
      <c r="B826" s="20">
        <v>2020</v>
      </c>
      <c r="C826" s="20" t="s">
        <v>105</v>
      </c>
      <c r="D826" s="20">
        <v>13</v>
      </c>
      <c r="E826" s="20">
        <v>0</v>
      </c>
      <c r="F826" s="22">
        <f>IFERROR(E826/D826*100,"")</f>
        <v>0</v>
      </c>
      <c r="G826" s="23">
        <f>IFERROR(INDEX(Population_by_Province_Year!$B$5:$J$29,MATCH($A826,Population_by_Province_Year!$A$5:$A$29,0),MATCH($B826,Population_by_Province_Year!$B$4:$J$4,0)),"")</f>
        <v>132264</v>
      </c>
      <c r="H826" s="22">
        <f>IFERROR(D826/G826*100000,"")</f>
        <v>9.8288271940966556</v>
      </c>
    </row>
    <row r="827" spans="1:8" ht="15" customHeight="1" x14ac:dyDescent="0.3">
      <c r="A827" s="20" t="s">
        <v>13</v>
      </c>
      <c r="B827" s="20">
        <v>2020</v>
      </c>
      <c r="C827" s="20" t="s">
        <v>105</v>
      </c>
      <c r="D827" s="20">
        <v>1</v>
      </c>
      <c r="E827" s="20">
        <v>0</v>
      </c>
      <c r="F827" s="22">
        <f>IFERROR(E827/D827*100,"")</f>
        <v>0</v>
      </c>
      <c r="G827" s="23">
        <f>IFERROR(INDEX(Population_by_Province_Year!$B$5:$J$29,MATCH($A827,Population_by_Province_Year!$A$5:$A$29,0),MATCH($B827,Population_by_Province_Year!$B$4:$J$4,0)),"")</f>
        <v>393692</v>
      </c>
      <c r="H827" s="22">
        <f>IFERROR(D827/G827*100000,"")</f>
        <v>0.25400566940654118</v>
      </c>
    </row>
    <row r="828" spans="1:8" ht="15" customHeight="1" x14ac:dyDescent="0.3">
      <c r="A828" s="20" t="s">
        <v>15</v>
      </c>
      <c r="B828" s="20">
        <v>2020</v>
      </c>
      <c r="C828" s="20" t="s">
        <v>105</v>
      </c>
      <c r="D828" s="20">
        <v>3</v>
      </c>
      <c r="E828" s="20">
        <v>0</v>
      </c>
      <c r="F828" s="22">
        <f>IFERROR(E828/D828*100,"")</f>
        <v>0</v>
      </c>
      <c r="G828" s="23">
        <f>IFERROR(INDEX(Population_by_Province_Year!$B$5:$J$29,MATCH($A828,Population_by_Province_Year!$A$5:$A$29,0),MATCH($B828,Population_by_Province_Year!$B$4:$J$4,0)),"")</f>
        <v>289987</v>
      </c>
      <c r="H828" s="22">
        <f>IFERROR(D828/G828*100000,"")</f>
        <v>1.0345291340646305</v>
      </c>
    </row>
    <row r="829" spans="1:8" ht="15" customHeight="1" x14ac:dyDescent="0.3">
      <c r="A829" s="20" t="s">
        <v>16</v>
      </c>
      <c r="B829" s="20">
        <v>2020</v>
      </c>
      <c r="C829" s="20" t="s">
        <v>105</v>
      </c>
      <c r="D829" s="20">
        <v>3</v>
      </c>
      <c r="E829" s="20">
        <v>0</v>
      </c>
      <c r="F829" s="22">
        <f>IFERROR(E829/D829*100,"")</f>
        <v>0</v>
      </c>
      <c r="G829" s="23">
        <f>IFERROR(INDEX(Population_by_Province_Year!$B$5:$J$29,MATCH($A829,Population_by_Province_Year!$A$5:$A$29,0),MATCH($B829,Population_by_Province_Year!$B$4:$J$4,0)),"")</f>
        <v>78908</v>
      </c>
      <c r="H829" s="22">
        <f>IFERROR(D829/G829*100000,"")</f>
        <v>3.8018958787448676</v>
      </c>
    </row>
    <row r="830" spans="1:8" ht="15" customHeight="1" x14ac:dyDescent="0.3">
      <c r="A830" s="20" t="s">
        <v>17</v>
      </c>
      <c r="B830" s="20">
        <v>2020</v>
      </c>
      <c r="C830" s="20" t="s">
        <v>105</v>
      </c>
      <c r="D830" s="20">
        <v>342</v>
      </c>
      <c r="E830" s="20">
        <v>0</v>
      </c>
      <c r="F830" s="22">
        <f>IFERROR(E830/D830*100,"")</f>
        <v>0</v>
      </c>
      <c r="G830" s="23">
        <f>IFERROR(INDEX(Population_by_Province_Year!$B$5:$J$29,MATCH($A830,Population_by_Province_Year!$A$5:$A$29,0),MATCH($B830,Population_by_Province_Year!$B$4:$J$4,0)),"")</f>
        <v>2397261</v>
      </c>
      <c r="H830" s="22">
        <f>IFERROR(D830/G830*100000,"")</f>
        <v>14.266281393640492</v>
      </c>
    </row>
    <row r="831" spans="1:8" ht="15" customHeight="1" x14ac:dyDescent="0.3">
      <c r="A831" s="20" t="s">
        <v>18</v>
      </c>
      <c r="B831" s="20">
        <v>2020</v>
      </c>
      <c r="C831" s="20" t="s">
        <v>105</v>
      </c>
      <c r="D831" s="20">
        <v>10</v>
      </c>
      <c r="E831" s="20">
        <v>0</v>
      </c>
      <c r="F831" s="22">
        <f>IFERROR(E831/D831*100,"")</f>
        <v>0</v>
      </c>
      <c r="G831" s="23">
        <f>IFERROR(INDEX(Population_by_Province_Year!$B$5:$J$29,MATCH($A831,Population_by_Province_Year!$A$5:$A$29,0),MATCH($B831,Population_by_Province_Year!$B$4:$J$4,0)),"")</f>
        <v>325740</v>
      </c>
      <c r="H831" s="22">
        <f>IFERROR(D831/G831*100000,"")</f>
        <v>3.0699330754589549</v>
      </c>
    </row>
    <row r="832" spans="1:8" ht="15" customHeight="1" x14ac:dyDescent="0.3">
      <c r="A832" s="20" t="s">
        <v>19</v>
      </c>
      <c r="B832" s="20">
        <v>2020</v>
      </c>
      <c r="C832" s="20" t="s">
        <v>105</v>
      </c>
      <c r="D832" s="20">
        <v>13</v>
      </c>
      <c r="E832" s="20">
        <v>0</v>
      </c>
      <c r="F832" s="22">
        <f>IFERROR(E832/D832*100,"")</f>
        <v>0</v>
      </c>
      <c r="G832" s="23">
        <f>IFERROR(INDEX(Population_by_Province_Year!$B$5:$J$29,MATCH($A832,Population_by_Province_Year!$A$5:$A$29,0),MATCH($B832,Population_by_Province_Year!$B$4:$J$4,0)),"")</f>
        <v>267704</v>
      </c>
      <c r="H832" s="22">
        <f>IFERROR(D832/G832*100000,"")</f>
        <v>4.8561097331380925</v>
      </c>
    </row>
    <row r="833" spans="1:8" ht="15" customHeight="1" x14ac:dyDescent="0.3">
      <c r="A833" s="20" t="s">
        <v>20</v>
      </c>
      <c r="B833" s="20">
        <v>2020</v>
      </c>
      <c r="C833" s="20" t="s">
        <v>105</v>
      </c>
      <c r="D833" s="20">
        <v>27</v>
      </c>
      <c r="E833" s="20">
        <v>0</v>
      </c>
      <c r="F833" s="22">
        <f>IFERROR(E833/D833*100,"")</f>
        <v>0</v>
      </c>
      <c r="G833" s="23">
        <f>IFERROR(INDEX(Population_by_Province_Year!$B$5:$J$29,MATCH($A833,Population_by_Province_Year!$A$5:$A$29,0),MATCH($B833,Population_by_Province_Year!$B$4:$J$4,0)),"")</f>
        <v>1111168</v>
      </c>
      <c r="H833" s="22">
        <f>IFERROR(D833/G833*100000,"")</f>
        <v>2.4298755903697731</v>
      </c>
    </row>
    <row r="834" spans="1:8" ht="15" customHeight="1" x14ac:dyDescent="0.3">
      <c r="A834" s="20" t="s">
        <v>21</v>
      </c>
      <c r="B834" s="20">
        <v>2020</v>
      </c>
      <c r="C834" s="20" t="s">
        <v>105</v>
      </c>
      <c r="D834" s="20">
        <v>5</v>
      </c>
      <c r="E834" s="20">
        <v>0</v>
      </c>
      <c r="F834" s="22">
        <f>IFERROR(E834/D834*100,"")</f>
        <v>0</v>
      </c>
      <c r="G834" s="23">
        <f>IFERROR(INDEX(Population_by_Province_Year!$B$5:$J$29,MATCH($A834,Population_by_Province_Year!$A$5:$A$29,0),MATCH($B834,Population_by_Province_Year!$B$4:$J$4,0)),"")</f>
        <v>441173</v>
      </c>
      <c r="H834" s="22">
        <f>IFERROR(D834/G834*100000,"")</f>
        <v>1.1333422489590252</v>
      </c>
    </row>
    <row r="835" spans="1:8" ht="15" customHeight="1" x14ac:dyDescent="0.3">
      <c r="A835" s="20" t="s">
        <v>22</v>
      </c>
      <c r="B835" s="20">
        <v>2020</v>
      </c>
      <c r="C835" s="20" t="s">
        <v>105</v>
      </c>
      <c r="D835" s="20">
        <v>6</v>
      </c>
      <c r="E835" s="20">
        <v>0</v>
      </c>
      <c r="F835" s="22">
        <f>IFERROR(E835/D835*100,"")</f>
        <v>0</v>
      </c>
      <c r="G835" s="23">
        <f>IFERROR(INDEX(Population_by_Province_Year!$B$5:$J$29,MATCH($A835,Population_by_Province_Year!$A$5:$A$29,0),MATCH($B835,Population_by_Province_Year!$B$4:$J$4,0)),"")</f>
        <v>228441</v>
      </c>
      <c r="H835" s="22">
        <f>IFERROR(D835/G835*100000,"")</f>
        <v>2.6264987458468489</v>
      </c>
    </row>
    <row r="836" spans="1:8" ht="15" customHeight="1" x14ac:dyDescent="0.3">
      <c r="A836" s="20" t="s">
        <v>23</v>
      </c>
      <c r="B836" s="20">
        <v>2020</v>
      </c>
      <c r="C836" s="20" t="s">
        <v>105</v>
      </c>
      <c r="D836" s="20">
        <v>21</v>
      </c>
      <c r="E836" s="20">
        <v>0</v>
      </c>
      <c r="F836" s="22">
        <f>IFERROR(E836/D836*100,"")</f>
        <v>0</v>
      </c>
      <c r="G836" s="23">
        <f>IFERROR(INDEX(Population_by_Province_Year!$B$5:$J$29,MATCH($A836,Population_by_Province_Year!$A$5:$A$29,0),MATCH($B836,Population_by_Province_Year!$B$4:$J$4,0)),"")</f>
        <v>1065485</v>
      </c>
      <c r="H836" s="22">
        <f>IFERROR(D836/G836*100000,"")</f>
        <v>1.9709334246845334</v>
      </c>
    </row>
    <row r="837" spans="1:8" ht="15" customHeight="1" x14ac:dyDescent="0.3">
      <c r="A837" s="20" t="s">
        <v>24</v>
      </c>
      <c r="B837" s="20">
        <v>2020</v>
      </c>
      <c r="C837" s="20" t="s">
        <v>105</v>
      </c>
      <c r="D837" s="20">
        <v>13</v>
      </c>
      <c r="E837" s="20">
        <v>0</v>
      </c>
      <c r="F837" s="22">
        <f>IFERROR(E837/D837*100,"")</f>
        <v>0</v>
      </c>
      <c r="G837" s="23">
        <f>IFERROR(INDEX(Population_by_Province_Year!$B$5:$J$29,MATCH($A837,Population_by_Province_Year!$A$5:$A$29,0),MATCH($B837,Population_by_Province_Year!$B$4:$J$4,0)),"")</f>
        <v>174087</v>
      </c>
      <c r="H837" s="22">
        <f>IFERROR(D837/G837*100000,"")</f>
        <v>7.4675306025148354</v>
      </c>
    </row>
    <row r="838" spans="1:8" ht="15" customHeight="1" x14ac:dyDescent="0.3">
      <c r="A838" s="20" t="s">
        <v>25</v>
      </c>
      <c r="B838" s="20">
        <v>2020</v>
      </c>
      <c r="C838" s="20" t="s">
        <v>105</v>
      </c>
      <c r="D838" s="20">
        <v>12</v>
      </c>
      <c r="E838" s="20">
        <v>0</v>
      </c>
      <c r="F838" s="22">
        <f>IFERROR(E838/D838*100,"")</f>
        <v>0</v>
      </c>
      <c r="G838" s="23">
        <f>IFERROR(INDEX(Population_by_Province_Year!$B$5:$J$29,MATCH($A838,Population_by_Province_Year!$A$5:$A$29,0),MATCH($B838,Population_by_Province_Year!$B$4:$J$4,0)),"")</f>
        <v>552051</v>
      </c>
      <c r="H838" s="22">
        <f>IFERROR(D838/G838*100000,"")</f>
        <v>2.1737122113717753</v>
      </c>
    </row>
    <row r="839" spans="1:8" ht="15" customHeight="1" x14ac:dyDescent="0.3">
      <c r="A839" s="20" t="s">
        <v>26</v>
      </c>
      <c r="B839" s="20">
        <v>2020</v>
      </c>
      <c r="C839" s="20" t="s">
        <v>105</v>
      </c>
      <c r="D839" s="20">
        <v>10</v>
      </c>
      <c r="E839" s="20">
        <v>0</v>
      </c>
      <c r="F839" s="22">
        <f>IFERROR(E839/D839*100,"")</f>
        <v>0</v>
      </c>
      <c r="G839" s="23">
        <f>IFERROR(INDEX(Population_by_Province_Year!$B$5:$J$29,MATCH($A839,Population_by_Province_Year!$A$5:$A$29,0),MATCH($B839,Population_by_Province_Year!$B$4:$J$4,0)),"")</f>
        <v>946439</v>
      </c>
      <c r="H839" s="22">
        <f>IFERROR(D839/G839*100000,"")</f>
        <v>1.0565921311357627</v>
      </c>
    </row>
    <row r="840" spans="1:8" ht="15" customHeight="1" x14ac:dyDescent="0.3">
      <c r="A840" s="20" t="s">
        <v>27</v>
      </c>
      <c r="B840" s="20">
        <v>2020</v>
      </c>
      <c r="C840" s="20" t="s">
        <v>105</v>
      </c>
      <c r="D840" s="20">
        <v>48</v>
      </c>
      <c r="E840" s="20">
        <v>0</v>
      </c>
      <c r="F840" s="22">
        <f>IFERROR(E840/D840*100,"")</f>
        <v>0</v>
      </c>
      <c r="G840" s="23">
        <f>IFERROR(INDEX(Population_by_Province_Year!$B$5:$J$29,MATCH($A840,Population_by_Province_Year!$A$5:$A$29,0),MATCH($B840,Population_by_Province_Year!$B$4:$J$4,0)),"")</f>
        <v>816096</v>
      </c>
      <c r="H840" s="22">
        <f>IFERROR(D840/G840*100000,"")</f>
        <v>5.8816609810610521</v>
      </c>
    </row>
    <row r="841" spans="1:8" ht="15" customHeight="1" x14ac:dyDescent="0.3">
      <c r="A841" s="20" t="s">
        <v>3</v>
      </c>
      <c r="B841" s="20">
        <v>2020</v>
      </c>
      <c r="C841" s="20" t="s">
        <v>98</v>
      </c>
      <c r="D841" s="20">
        <v>19</v>
      </c>
      <c r="E841" s="20">
        <v>0</v>
      </c>
      <c r="F841" s="22">
        <f>IFERROR(E841/D841*100,"")</f>
        <v>0</v>
      </c>
      <c r="G841" s="23">
        <f>IFERROR(INDEX(Population_by_Province_Year!$B$5:$J$29,MATCH($A841,Population_by_Province_Year!$A$5:$A$29,0),MATCH($B841,Population_by_Province_Year!$B$4:$J$4,0)),"")</f>
        <v>905435</v>
      </c>
      <c r="H841" s="22">
        <f>IFERROR(D841/G841*100000,"")</f>
        <v>2.0984388719234399</v>
      </c>
    </row>
    <row r="842" spans="1:8" ht="15" customHeight="1" x14ac:dyDescent="0.3">
      <c r="A842" s="20" t="s">
        <v>4</v>
      </c>
      <c r="B842" s="20">
        <v>2020</v>
      </c>
      <c r="C842" s="20" t="s">
        <v>98</v>
      </c>
      <c r="D842" s="20">
        <v>2</v>
      </c>
      <c r="E842" s="20">
        <v>0</v>
      </c>
      <c r="F842" s="22">
        <f>IFERROR(E842/D842*100,"")</f>
        <v>0</v>
      </c>
      <c r="G842" s="23">
        <f>IFERROR(INDEX(Population_by_Province_Year!$B$5:$J$29,MATCH($A842,Population_by_Province_Year!$A$5:$A$29,0),MATCH($B842,Population_by_Province_Year!$B$4:$J$4,0)),"")</f>
        <v>1047557</v>
      </c>
      <c r="H842" s="22">
        <f>IFERROR(D842/G842*100000,"")</f>
        <v>0.19092039860360821</v>
      </c>
    </row>
    <row r="843" spans="1:8" ht="15" customHeight="1" x14ac:dyDescent="0.3">
      <c r="A843" s="20" t="s">
        <v>5</v>
      </c>
      <c r="B843" s="20">
        <v>2020</v>
      </c>
      <c r="C843" s="20" t="s">
        <v>98</v>
      </c>
      <c r="D843" s="20">
        <v>29</v>
      </c>
      <c r="E843" s="20">
        <v>0</v>
      </c>
      <c r="F843" s="22">
        <f>IFERROR(E843/D843*100,"")</f>
        <v>0</v>
      </c>
      <c r="G843" s="23">
        <f>IFERROR(INDEX(Population_by_Province_Year!$B$5:$J$29,MATCH($A843,Population_by_Province_Year!$A$5:$A$29,0),MATCH($B843,Population_by_Province_Year!$B$4:$J$4,0)),"")</f>
        <v>945259</v>
      </c>
      <c r="H843" s="22">
        <f>IFERROR(D843/G843*100000,"")</f>
        <v>3.0679422253583413</v>
      </c>
    </row>
    <row r="844" spans="1:8" ht="15" customHeight="1" x14ac:dyDescent="0.3">
      <c r="A844" s="20" t="s">
        <v>6</v>
      </c>
      <c r="B844" s="20">
        <v>2020</v>
      </c>
      <c r="C844" s="20" t="s">
        <v>98</v>
      </c>
      <c r="D844" s="20">
        <v>7</v>
      </c>
      <c r="E844" s="20">
        <v>0</v>
      </c>
      <c r="F844" s="22">
        <f>IFERROR(E844/D844*100,"")</f>
        <v>0</v>
      </c>
      <c r="G844" s="23">
        <f>IFERROR(INDEX(Population_by_Province_Year!$B$5:$J$29,MATCH($A844,Population_by_Province_Year!$A$5:$A$29,0),MATCH($B844,Population_by_Province_Year!$B$4:$J$4,0)),"")</f>
        <v>553658</v>
      </c>
      <c r="H844" s="22">
        <f>IFERROR(D844/G844*100000,"")</f>
        <v>1.2643184059473538</v>
      </c>
    </row>
    <row r="845" spans="1:8" ht="15" customHeight="1" x14ac:dyDescent="0.3">
      <c r="A845" s="20" t="s">
        <v>7</v>
      </c>
      <c r="B845" s="20">
        <v>2020</v>
      </c>
      <c r="C845" s="20" t="s">
        <v>98</v>
      </c>
      <c r="D845" s="20">
        <v>21</v>
      </c>
      <c r="E845" s="20">
        <v>0</v>
      </c>
      <c r="F845" s="22">
        <f>IFERROR(E845/D845*100,"")</f>
        <v>0</v>
      </c>
      <c r="G845" s="23">
        <f>IFERROR(INDEX(Population_by_Province_Year!$B$5:$J$29,MATCH($A845,Population_by_Province_Year!$A$5:$A$29,0),MATCH($B845,Population_by_Province_Year!$B$4:$J$4,0)),"")</f>
        <v>921866</v>
      </c>
      <c r="H845" s="22">
        <f>IFERROR(D845/G845*100000,"")</f>
        <v>2.2779883410387196</v>
      </c>
    </row>
    <row r="846" spans="1:8" ht="15" customHeight="1" x14ac:dyDescent="0.3">
      <c r="A846" s="20" t="s">
        <v>8</v>
      </c>
      <c r="B846" s="20">
        <v>2020</v>
      </c>
      <c r="C846" s="20" t="s">
        <v>98</v>
      </c>
      <c r="D846" s="20">
        <v>11</v>
      </c>
      <c r="E846" s="20">
        <v>0</v>
      </c>
      <c r="F846" s="22">
        <f>IFERROR(E846/D846*100,"")</f>
        <v>0</v>
      </c>
      <c r="G846" s="23">
        <f>IFERROR(INDEX(Population_by_Province_Year!$B$5:$J$29,MATCH($A846,Population_by_Province_Year!$A$5:$A$29,0),MATCH($B846,Population_by_Province_Year!$B$4:$J$4,0)),"")</f>
        <v>715989</v>
      </c>
      <c r="H846" s="22">
        <f>IFERROR(D846/G846*100000,"")</f>
        <v>1.5363364520963312</v>
      </c>
    </row>
    <row r="847" spans="1:8" ht="15" customHeight="1" x14ac:dyDescent="0.3">
      <c r="A847" s="20" t="s">
        <v>9</v>
      </c>
      <c r="B847" s="20">
        <v>2020</v>
      </c>
      <c r="C847" s="20" t="s">
        <v>98</v>
      </c>
      <c r="D847" s="20">
        <v>6</v>
      </c>
      <c r="E847" s="20">
        <v>0</v>
      </c>
      <c r="F847" s="22">
        <f>IFERROR(E847/D847*100,"")</f>
        <v>0</v>
      </c>
      <c r="G847" s="23">
        <f>IFERROR(INDEX(Population_by_Province_Year!$B$5:$J$29,MATCH($A847,Population_by_Province_Year!$A$5:$A$29,0),MATCH($B847,Population_by_Province_Year!$B$4:$J$4,0)),"")</f>
        <v>623836</v>
      </c>
      <c r="H847" s="22">
        <f>IFERROR(D847/G847*100000,"")</f>
        <v>0.96179124000538607</v>
      </c>
    </row>
    <row r="848" spans="1:8" ht="15" customHeight="1" x14ac:dyDescent="0.3">
      <c r="A848" s="20" t="s">
        <v>10</v>
      </c>
      <c r="B848" s="20">
        <v>2020</v>
      </c>
      <c r="C848" s="20" t="s">
        <v>98</v>
      </c>
      <c r="D848" s="20">
        <v>76</v>
      </c>
      <c r="E848" s="20">
        <v>0</v>
      </c>
      <c r="F848" s="22">
        <f>IFERROR(E848/D848*100,"")</f>
        <v>0</v>
      </c>
      <c r="G848" s="23">
        <f>IFERROR(INDEX(Population_by_Province_Year!$B$5:$J$29,MATCH($A848,Population_by_Province_Year!$A$5:$A$29,0),MATCH($B848,Population_by_Province_Year!$B$4:$J$4,0)),"")</f>
        <v>1262299</v>
      </c>
      <c r="H848" s="22">
        <f>IFERROR(D848/G848*100000,"")</f>
        <v>6.0207605329640606</v>
      </c>
    </row>
    <row r="849" spans="1:8" ht="15" customHeight="1" x14ac:dyDescent="0.3">
      <c r="A849" s="20" t="s">
        <v>12</v>
      </c>
      <c r="B849" s="20">
        <v>2020</v>
      </c>
      <c r="C849" s="20" t="s">
        <v>98</v>
      </c>
      <c r="D849" s="20">
        <v>10</v>
      </c>
      <c r="E849" s="20">
        <v>0</v>
      </c>
      <c r="F849" s="22">
        <f>IFERROR(E849/D849*100,"")</f>
        <v>0</v>
      </c>
      <c r="G849" s="23">
        <f>IFERROR(INDEX(Population_by_Province_Year!$B$5:$J$29,MATCH($A849,Population_by_Province_Year!$A$5:$A$29,0),MATCH($B849,Population_by_Province_Year!$B$4:$J$4,0)),"")</f>
        <v>132264</v>
      </c>
      <c r="H849" s="22">
        <f>IFERROR(D849/G849*100000,"")</f>
        <v>7.5606363031512736</v>
      </c>
    </row>
    <row r="850" spans="1:8" ht="15" customHeight="1" x14ac:dyDescent="0.3">
      <c r="A850" s="20" t="s">
        <v>13</v>
      </c>
      <c r="B850" s="20">
        <v>2020</v>
      </c>
      <c r="C850" s="20" t="s">
        <v>98</v>
      </c>
      <c r="D850" s="20">
        <v>2</v>
      </c>
      <c r="E850" s="20">
        <v>0</v>
      </c>
      <c r="F850" s="22">
        <f>IFERROR(E850/D850*100,"")</f>
        <v>0</v>
      </c>
      <c r="G850" s="23">
        <f>IFERROR(INDEX(Population_by_Province_Year!$B$5:$J$29,MATCH($A850,Population_by_Province_Year!$A$5:$A$29,0),MATCH($B850,Population_by_Province_Year!$B$4:$J$4,0)),"")</f>
        <v>393692</v>
      </c>
      <c r="H850" s="22">
        <f>IFERROR(D850/G850*100000,"")</f>
        <v>0.50801133881308236</v>
      </c>
    </row>
    <row r="851" spans="1:8" ht="15" customHeight="1" x14ac:dyDescent="0.3">
      <c r="A851" s="20" t="s">
        <v>15</v>
      </c>
      <c r="B851" s="20">
        <v>2020</v>
      </c>
      <c r="C851" s="20" t="s">
        <v>98</v>
      </c>
      <c r="D851" s="20">
        <v>1</v>
      </c>
      <c r="E851" s="20">
        <v>0</v>
      </c>
      <c r="F851" s="22">
        <f>IFERROR(E851/D851*100,"")</f>
        <v>0</v>
      </c>
      <c r="G851" s="23">
        <f>IFERROR(INDEX(Population_by_Province_Year!$B$5:$J$29,MATCH($A851,Population_by_Province_Year!$A$5:$A$29,0),MATCH($B851,Population_by_Province_Year!$B$4:$J$4,0)),"")</f>
        <v>289987</v>
      </c>
      <c r="H851" s="22">
        <f>IFERROR(D851/G851*100000,"")</f>
        <v>0.3448430446882102</v>
      </c>
    </row>
    <row r="852" spans="1:8" ht="15" customHeight="1" x14ac:dyDescent="0.3">
      <c r="A852" s="20" t="s">
        <v>16</v>
      </c>
      <c r="B852" s="20">
        <v>2020</v>
      </c>
      <c r="C852" s="20" t="s">
        <v>98</v>
      </c>
      <c r="D852" s="20">
        <v>1</v>
      </c>
      <c r="E852" s="20">
        <v>0</v>
      </c>
      <c r="F852" s="22">
        <f>IFERROR(E852/D852*100,"")</f>
        <v>0</v>
      </c>
      <c r="G852" s="23">
        <f>IFERROR(INDEX(Population_by_Province_Year!$B$5:$J$29,MATCH($A852,Population_by_Province_Year!$A$5:$A$29,0),MATCH($B852,Population_by_Province_Year!$B$4:$J$4,0)),"")</f>
        <v>78908</v>
      </c>
      <c r="H852" s="22">
        <f>IFERROR(D852/G852*100000,"")</f>
        <v>1.2672986262482893</v>
      </c>
    </row>
    <row r="853" spans="1:8" ht="15" customHeight="1" x14ac:dyDescent="0.3">
      <c r="A853" s="20" t="s">
        <v>17</v>
      </c>
      <c r="B853" s="20">
        <v>2020</v>
      </c>
      <c r="C853" s="20" t="s">
        <v>98</v>
      </c>
      <c r="D853" s="20">
        <v>277</v>
      </c>
      <c r="E853" s="20">
        <v>0</v>
      </c>
      <c r="F853" s="22">
        <f>IFERROR(E853/D853*100,"")</f>
        <v>0</v>
      </c>
      <c r="G853" s="23">
        <f>IFERROR(INDEX(Population_by_Province_Year!$B$5:$J$29,MATCH($A853,Population_by_Province_Year!$A$5:$A$29,0),MATCH($B853,Population_by_Province_Year!$B$4:$J$4,0)),"")</f>
        <v>2397261</v>
      </c>
      <c r="H853" s="22">
        <f>IFERROR(D853/G853*100000,"")</f>
        <v>11.554853643387183</v>
      </c>
    </row>
    <row r="854" spans="1:8" ht="15" customHeight="1" x14ac:dyDescent="0.3">
      <c r="A854" s="20" t="s">
        <v>18</v>
      </c>
      <c r="B854" s="20">
        <v>2020</v>
      </c>
      <c r="C854" s="20" t="s">
        <v>98</v>
      </c>
      <c r="D854" s="20">
        <v>6</v>
      </c>
      <c r="E854" s="20">
        <v>0</v>
      </c>
      <c r="F854" s="22">
        <f>IFERROR(E854/D854*100,"")</f>
        <v>0</v>
      </c>
      <c r="G854" s="23">
        <f>IFERROR(INDEX(Population_by_Province_Year!$B$5:$J$29,MATCH($A854,Population_by_Province_Year!$A$5:$A$29,0),MATCH($B854,Population_by_Province_Year!$B$4:$J$4,0)),"")</f>
        <v>325740</v>
      </c>
      <c r="H854" s="22">
        <f>IFERROR(D854/G854*100000,"")</f>
        <v>1.8419598452753729</v>
      </c>
    </row>
    <row r="855" spans="1:8" ht="15" customHeight="1" x14ac:dyDescent="0.3">
      <c r="A855" s="20" t="s">
        <v>19</v>
      </c>
      <c r="B855" s="20">
        <v>2020</v>
      </c>
      <c r="C855" s="20" t="s">
        <v>98</v>
      </c>
      <c r="D855" s="20">
        <v>2</v>
      </c>
      <c r="E855" s="20">
        <v>0</v>
      </c>
      <c r="F855" s="22">
        <f>IFERROR(E855/D855*100,"")</f>
        <v>0</v>
      </c>
      <c r="G855" s="23">
        <f>IFERROR(INDEX(Population_by_Province_Year!$B$5:$J$29,MATCH($A855,Population_by_Province_Year!$A$5:$A$29,0),MATCH($B855,Population_by_Province_Year!$B$4:$J$4,0)),"")</f>
        <v>267704</v>
      </c>
      <c r="H855" s="22">
        <f>IFERROR(D855/G855*100000,"")</f>
        <v>0.74709380509816814</v>
      </c>
    </row>
    <row r="856" spans="1:8" ht="15" customHeight="1" x14ac:dyDescent="0.3">
      <c r="A856" s="20" t="s">
        <v>20</v>
      </c>
      <c r="B856" s="20">
        <v>2020</v>
      </c>
      <c r="C856" s="20" t="s">
        <v>98</v>
      </c>
      <c r="D856" s="20">
        <v>11</v>
      </c>
      <c r="E856" s="20">
        <v>0</v>
      </c>
      <c r="F856" s="22">
        <f>IFERROR(E856/D856*100,"")</f>
        <v>0</v>
      </c>
      <c r="G856" s="23">
        <f>IFERROR(INDEX(Population_by_Province_Year!$B$5:$J$29,MATCH($A856,Population_by_Province_Year!$A$5:$A$29,0),MATCH($B856,Population_by_Province_Year!$B$4:$J$4,0)),"")</f>
        <v>1111168</v>
      </c>
      <c r="H856" s="22">
        <f>IFERROR(D856/G856*100000,"")</f>
        <v>0.98994931459509272</v>
      </c>
    </row>
    <row r="857" spans="1:8" ht="15" customHeight="1" x14ac:dyDescent="0.3">
      <c r="A857" s="20" t="s">
        <v>21</v>
      </c>
      <c r="B857" s="20">
        <v>2020</v>
      </c>
      <c r="C857" s="20" t="s">
        <v>98</v>
      </c>
      <c r="D857" s="20">
        <v>3</v>
      </c>
      <c r="E857" s="20">
        <v>0</v>
      </c>
      <c r="F857" s="22">
        <f>IFERROR(E857/D857*100,"")</f>
        <v>0</v>
      </c>
      <c r="G857" s="23">
        <f>IFERROR(INDEX(Population_by_Province_Year!$B$5:$J$29,MATCH($A857,Population_by_Province_Year!$A$5:$A$29,0),MATCH($B857,Population_by_Province_Year!$B$4:$J$4,0)),"")</f>
        <v>441173</v>
      </c>
      <c r="H857" s="22">
        <f>IFERROR(D857/G857*100000,"")</f>
        <v>0.68000534937541512</v>
      </c>
    </row>
    <row r="858" spans="1:8" ht="15" customHeight="1" x14ac:dyDescent="0.3">
      <c r="A858" s="20" t="s">
        <v>22</v>
      </c>
      <c r="B858" s="20">
        <v>2020</v>
      </c>
      <c r="C858" s="20" t="s">
        <v>98</v>
      </c>
      <c r="D858" s="20">
        <v>3</v>
      </c>
      <c r="E858" s="20">
        <v>0</v>
      </c>
      <c r="F858" s="22">
        <f>IFERROR(E858/D858*100,"")</f>
        <v>0</v>
      </c>
      <c r="G858" s="23">
        <f>IFERROR(INDEX(Population_by_Province_Year!$B$5:$J$29,MATCH($A858,Population_by_Province_Year!$A$5:$A$29,0),MATCH($B858,Population_by_Province_Year!$B$4:$J$4,0)),"")</f>
        <v>228441</v>
      </c>
      <c r="H858" s="22">
        <f>IFERROR(D858/G858*100000,"")</f>
        <v>1.3132493729234245</v>
      </c>
    </row>
    <row r="859" spans="1:8" ht="15" customHeight="1" x14ac:dyDescent="0.3">
      <c r="A859" s="20" t="s">
        <v>23</v>
      </c>
      <c r="B859" s="20">
        <v>2020</v>
      </c>
      <c r="C859" s="20" t="s">
        <v>98</v>
      </c>
      <c r="D859" s="20">
        <v>6</v>
      </c>
      <c r="E859" s="20">
        <v>0</v>
      </c>
      <c r="F859" s="22">
        <f>IFERROR(E859/D859*100,"")</f>
        <v>0</v>
      </c>
      <c r="G859" s="23">
        <f>IFERROR(INDEX(Population_by_Province_Year!$B$5:$J$29,MATCH($A859,Population_by_Province_Year!$A$5:$A$29,0),MATCH($B859,Population_by_Province_Year!$B$4:$J$4,0)),"")</f>
        <v>1065485</v>
      </c>
      <c r="H859" s="22">
        <f>IFERROR(D859/G859*100000,"")</f>
        <v>0.56312383562415236</v>
      </c>
    </row>
    <row r="860" spans="1:8" ht="15" customHeight="1" x14ac:dyDescent="0.3">
      <c r="A860" s="20" t="s">
        <v>24</v>
      </c>
      <c r="B860" s="20">
        <v>2020</v>
      </c>
      <c r="C860" s="20" t="s">
        <v>98</v>
      </c>
      <c r="D860" s="20">
        <v>8</v>
      </c>
      <c r="E860" s="20">
        <v>0</v>
      </c>
      <c r="F860" s="22">
        <f>IFERROR(E860/D860*100,"")</f>
        <v>0</v>
      </c>
      <c r="G860" s="23">
        <f>IFERROR(INDEX(Population_by_Province_Year!$B$5:$J$29,MATCH($A860,Population_by_Province_Year!$A$5:$A$29,0),MATCH($B860,Population_by_Province_Year!$B$4:$J$4,0)),"")</f>
        <v>174087</v>
      </c>
      <c r="H860" s="22">
        <f>IFERROR(D860/G860*100000,"")</f>
        <v>4.5954034477014361</v>
      </c>
    </row>
    <row r="861" spans="1:8" ht="15" customHeight="1" x14ac:dyDescent="0.3">
      <c r="A861" s="20" t="s">
        <v>25</v>
      </c>
      <c r="B861" s="20">
        <v>2020</v>
      </c>
      <c r="C861" s="20" t="s">
        <v>98</v>
      </c>
      <c r="D861" s="20">
        <v>5</v>
      </c>
      <c r="E861" s="20">
        <v>0</v>
      </c>
      <c r="F861" s="22">
        <f>IFERROR(E861/D861*100,"")</f>
        <v>0</v>
      </c>
      <c r="G861" s="23">
        <f>IFERROR(INDEX(Population_by_Province_Year!$B$5:$J$29,MATCH($A861,Population_by_Province_Year!$A$5:$A$29,0),MATCH($B861,Population_by_Province_Year!$B$4:$J$4,0)),"")</f>
        <v>552051</v>
      </c>
      <c r="H861" s="22">
        <f>IFERROR(D861/G861*100000,"")</f>
        <v>0.9057134214049064</v>
      </c>
    </row>
    <row r="862" spans="1:8" ht="15" customHeight="1" x14ac:dyDescent="0.3">
      <c r="A862" s="20" t="s">
        <v>26</v>
      </c>
      <c r="B862" s="20">
        <v>2020</v>
      </c>
      <c r="C862" s="20" t="s">
        <v>98</v>
      </c>
      <c r="D862" s="20">
        <v>21</v>
      </c>
      <c r="E862" s="20">
        <v>1</v>
      </c>
      <c r="F862" s="22">
        <f>IFERROR(E862/D862*100,"")</f>
        <v>4.7619047619047619</v>
      </c>
      <c r="G862" s="23">
        <f>IFERROR(INDEX(Population_by_Province_Year!$B$5:$J$29,MATCH($A862,Population_by_Province_Year!$A$5:$A$29,0),MATCH($B862,Population_by_Province_Year!$B$4:$J$4,0)),"")</f>
        <v>946439</v>
      </c>
      <c r="H862" s="22">
        <f>IFERROR(D862/G862*100000,"")</f>
        <v>2.2188434753851016</v>
      </c>
    </row>
    <row r="863" spans="1:8" ht="15" customHeight="1" x14ac:dyDescent="0.3">
      <c r="A863" s="20" t="s">
        <v>27</v>
      </c>
      <c r="B863" s="20">
        <v>2020</v>
      </c>
      <c r="C863" s="20" t="s">
        <v>98</v>
      </c>
      <c r="D863" s="20">
        <v>22</v>
      </c>
      <c r="E863" s="20">
        <v>0</v>
      </c>
      <c r="F863" s="22">
        <f>IFERROR(E863/D863*100,"")</f>
        <v>0</v>
      </c>
      <c r="G863" s="23">
        <f>IFERROR(INDEX(Population_by_Province_Year!$B$5:$J$29,MATCH($A863,Population_by_Province_Year!$A$5:$A$29,0),MATCH($B863,Population_by_Province_Year!$B$4:$J$4,0)),"")</f>
        <v>816096</v>
      </c>
      <c r="H863" s="22">
        <f>IFERROR(D863/G863*100000,"")</f>
        <v>2.6957612829863153</v>
      </c>
    </row>
    <row r="864" spans="1:8" ht="15" customHeight="1" x14ac:dyDescent="0.3">
      <c r="A864" s="20" t="s">
        <v>3</v>
      </c>
      <c r="B864" s="20">
        <v>2021</v>
      </c>
      <c r="C864" s="20" t="s">
        <v>100</v>
      </c>
      <c r="D864" s="20">
        <v>2</v>
      </c>
      <c r="E864" s="20">
        <v>0</v>
      </c>
      <c r="F864" s="22">
        <f>IFERROR(E864/D864*100,"")</f>
        <v>0</v>
      </c>
      <c r="G864" s="23">
        <f>IFERROR(INDEX(Population_by_Province_Year!$B$5:$J$29,MATCH($A864,Population_by_Province_Year!$A$5:$A$29,0),MATCH($B864,Population_by_Province_Year!$B$4:$J$4,0)),"")</f>
        <v>919512</v>
      </c>
      <c r="H864" s="22">
        <f>IFERROR(D864/G864*100000,"")</f>
        <v>0.21750667745499785</v>
      </c>
    </row>
    <row r="865" spans="1:8" ht="15" customHeight="1" x14ac:dyDescent="0.3">
      <c r="A865" s="20" t="s">
        <v>4</v>
      </c>
      <c r="B865" s="20">
        <v>2021</v>
      </c>
      <c r="C865" s="20" t="s">
        <v>100</v>
      </c>
      <c r="D865" s="20">
        <v>2</v>
      </c>
      <c r="E865" s="20">
        <v>0</v>
      </c>
      <c r="F865" s="22">
        <f>IFERROR(E865/D865*100,"")</f>
        <v>0</v>
      </c>
      <c r="G865" s="23">
        <f>IFERROR(INDEX(Population_by_Province_Year!$B$5:$J$29,MATCH($A865,Population_by_Province_Year!$A$5:$A$29,0),MATCH($B865,Population_by_Province_Year!$B$4:$J$4,0)),"")</f>
        <v>1063843</v>
      </c>
      <c r="H865" s="22">
        <f>IFERROR(D865/G865*100000,"")</f>
        <v>0.18799766506899984</v>
      </c>
    </row>
    <row r="866" spans="1:8" ht="15" customHeight="1" x14ac:dyDescent="0.3">
      <c r="A866" s="20" t="s">
        <v>5</v>
      </c>
      <c r="B866" s="20">
        <v>2021</v>
      </c>
      <c r="C866" s="20" t="s">
        <v>100</v>
      </c>
      <c r="D866" s="20">
        <v>17</v>
      </c>
      <c r="E866" s="20">
        <v>0</v>
      </c>
      <c r="F866" s="22">
        <f>IFERROR(E866/D866*100,"")</f>
        <v>0</v>
      </c>
      <c r="G866" s="23">
        <f>IFERROR(INDEX(Population_by_Province_Year!$B$5:$J$29,MATCH($A866,Population_by_Province_Year!$A$5:$A$29,0),MATCH($B866,Population_by_Province_Year!$B$4:$J$4,0)),"")</f>
        <v>959954</v>
      </c>
      <c r="H866" s="22">
        <f>IFERROR(D866/G866*100000,"")</f>
        <v>1.7709181898299293</v>
      </c>
    </row>
    <row r="867" spans="1:8" ht="15" customHeight="1" x14ac:dyDescent="0.3">
      <c r="A867" s="20" t="s">
        <v>6</v>
      </c>
      <c r="B867" s="20">
        <v>2021</v>
      </c>
      <c r="C867" s="20" t="s">
        <v>100</v>
      </c>
      <c r="D867" s="20">
        <v>1</v>
      </c>
      <c r="E867" s="20">
        <v>0</v>
      </c>
      <c r="F867" s="22">
        <f>IFERROR(E867/D867*100,"")</f>
        <v>0</v>
      </c>
      <c r="G867" s="23">
        <f>IFERROR(INDEX(Population_by_Province_Year!$B$5:$J$29,MATCH($A867,Population_by_Province_Year!$A$5:$A$29,0),MATCH($B867,Population_by_Province_Year!$B$4:$J$4,0)),"")</f>
        <v>562266</v>
      </c>
      <c r="H867" s="22">
        <f>IFERROR(D867/G867*100000,"")</f>
        <v>0.17785176411164821</v>
      </c>
    </row>
    <row r="868" spans="1:8" ht="15" customHeight="1" x14ac:dyDescent="0.3">
      <c r="A868" s="20" t="s">
        <v>7</v>
      </c>
      <c r="B868" s="20">
        <v>2021</v>
      </c>
      <c r="C868" s="20" t="s">
        <v>100</v>
      </c>
      <c r="D868" s="20">
        <v>13</v>
      </c>
      <c r="E868" s="20">
        <v>0</v>
      </c>
      <c r="F868" s="22">
        <f>IFERROR(E868/D868*100,"")</f>
        <v>0</v>
      </c>
      <c r="G868" s="23">
        <f>IFERROR(INDEX(Population_by_Province_Year!$B$5:$J$29,MATCH($A868,Population_by_Province_Year!$A$5:$A$29,0),MATCH($B868,Population_by_Province_Year!$B$4:$J$4,0)),"")</f>
        <v>936197</v>
      </c>
      <c r="H868" s="22">
        <f>IFERROR(D868/G868*100000,"")</f>
        <v>1.3885966308373132</v>
      </c>
    </row>
    <row r="869" spans="1:8" ht="15" customHeight="1" x14ac:dyDescent="0.3">
      <c r="A869" s="20" t="s">
        <v>8</v>
      </c>
      <c r="B869" s="20">
        <v>2021</v>
      </c>
      <c r="C869" s="20" t="s">
        <v>100</v>
      </c>
      <c r="D869" s="20">
        <v>5</v>
      </c>
      <c r="E869" s="20">
        <v>0</v>
      </c>
      <c r="F869" s="22">
        <f>IFERROR(E869/D869*100,"")</f>
        <v>0</v>
      </c>
      <c r="G869" s="23">
        <f>IFERROR(INDEX(Population_by_Province_Year!$B$5:$J$29,MATCH($A869,Population_by_Province_Year!$A$5:$A$29,0),MATCH($B869,Population_by_Province_Year!$B$4:$J$4,0)),"")</f>
        <v>727120</v>
      </c>
      <c r="H869" s="22">
        <f>IFERROR(D869/G869*100000,"")</f>
        <v>0.68764440532511828</v>
      </c>
    </row>
    <row r="870" spans="1:8" ht="15" customHeight="1" x14ac:dyDescent="0.3">
      <c r="A870" s="20" t="s">
        <v>9</v>
      </c>
      <c r="B870" s="20">
        <v>2021</v>
      </c>
      <c r="C870" s="20" t="s">
        <v>100</v>
      </c>
      <c r="D870" s="20">
        <v>5</v>
      </c>
      <c r="E870" s="20">
        <v>0</v>
      </c>
      <c r="F870" s="22">
        <f>IFERROR(E870/D870*100,"")</f>
        <v>0</v>
      </c>
      <c r="G870" s="23">
        <f>IFERROR(INDEX(Population_by_Province_Year!$B$5:$J$29,MATCH($A870,Population_by_Province_Year!$A$5:$A$29,0),MATCH($B870,Population_by_Province_Year!$B$4:$J$4,0)),"")</f>
        <v>633535</v>
      </c>
      <c r="H870" s="22">
        <f>IFERROR(D870/G870*100000,"")</f>
        <v>0.78922237918978433</v>
      </c>
    </row>
    <row r="871" spans="1:8" ht="15" customHeight="1" x14ac:dyDescent="0.3">
      <c r="A871" s="20" t="s">
        <v>10</v>
      </c>
      <c r="B871" s="20">
        <v>2021</v>
      </c>
      <c r="C871" s="20" t="s">
        <v>100</v>
      </c>
      <c r="D871" s="20">
        <v>26</v>
      </c>
      <c r="E871" s="20">
        <v>0</v>
      </c>
      <c r="F871" s="22">
        <f>IFERROR(E871/D871*100,"")</f>
        <v>0</v>
      </c>
      <c r="G871" s="23">
        <f>IFERROR(INDEX(Population_by_Province_Year!$B$5:$J$29,MATCH($A871,Population_by_Province_Year!$A$5:$A$29,0),MATCH($B871,Population_by_Province_Year!$B$4:$J$4,0)),"")</f>
        <v>1281923</v>
      </c>
      <c r="H871" s="22">
        <f>IFERROR(D871/G871*100000,"")</f>
        <v>2.028202941986375</v>
      </c>
    </row>
    <row r="872" spans="1:8" ht="15" customHeight="1" x14ac:dyDescent="0.3">
      <c r="A872" s="20" t="s">
        <v>12</v>
      </c>
      <c r="B872" s="20">
        <v>2021</v>
      </c>
      <c r="C872" s="20" t="s">
        <v>100</v>
      </c>
      <c r="D872" s="20">
        <v>1</v>
      </c>
      <c r="E872" s="20">
        <v>0</v>
      </c>
      <c r="F872" s="22">
        <f>IFERROR(E872/D872*100,"")</f>
        <v>0</v>
      </c>
      <c r="G872" s="23">
        <f>IFERROR(INDEX(Population_by_Province_Year!$B$5:$J$29,MATCH($A872,Population_by_Province_Year!$A$5:$A$29,0),MATCH($B872,Population_by_Province_Year!$B$4:$J$4,0)),"")</f>
        <v>134320</v>
      </c>
      <c r="H872" s="22">
        <f>IFERROR(D872/G872*100000,"")</f>
        <v>0.74449076831447292</v>
      </c>
    </row>
    <row r="873" spans="1:8" ht="15" customHeight="1" x14ac:dyDescent="0.3">
      <c r="A873" s="20" t="s">
        <v>13</v>
      </c>
      <c r="B873" s="20">
        <v>2021</v>
      </c>
      <c r="C873" s="20" t="s">
        <v>100</v>
      </c>
      <c r="D873" s="20">
        <v>2</v>
      </c>
      <c r="E873" s="20">
        <v>0</v>
      </c>
      <c r="F873" s="22">
        <f>IFERROR(E873/D873*100,"")</f>
        <v>0</v>
      </c>
      <c r="G873" s="23">
        <f>IFERROR(INDEX(Population_by_Province_Year!$B$5:$J$29,MATCH($A873,Population_by_Province_Year!$A$5:$A$29,0),MATCH($B873,Population_by_Province_Year!$B$4:$J$4,0)),"")</f>
        <v>399812</v>
      </c>
      <c r="H873" s="22">
        <f>IFERROR(D873/G873*100000,"")</f>
        <v>0.50023511050193592</v>
      </c>
    </row>
    <row r="874" spans="1:8" ht="15" customHeight="1" x14ac:dyDescent="0.3">
      <c r="A874" s="20" t="s">
        <v>17</v>
      </c>
      <c r="B874" s="20">
        <v>2021</v>
      </c>
      <c r="C874" s="20" t="s">
        <v>100</v>
      </c>
      <c r="D874" s="20">
        <v>109</v>
      </c>
      <c r="E874" s="20">
        <v>0</v>
      </c>
      <c r="F874" s="22">
        <f>IFERROR(E874/D874*100,"")</f>
        <v>0</v>
      </c>
      <c r="G874" s="23">
        <f>IFERROR(INDEX(Population_by_Province_Year!$B$5:$J$29,MATCH($A874,Population_by_Province_Year!$A$5:$A$29,0),MATCH($B874,Population_by_Province_Year!$B$4:$J$4,0)),"")</f>
        <v>2434531</v>
      </c>
      <c r="H874" s="22">
        <f>IFERROR(D874/G874*100000,"")</f>
        <v>4.477248389936296</v>
      </c>
    </row>
    <row r="875" spans="1:8" ht="15" customHeight="1" x14ac:dyDescent="0.3">
      <c r="A875" s="20" t="s">
        <v>20</v>
      </c>
      <c r="B875" s="20">
        <v>2021</v>
      </c>
      <c r="C875" s="20" t="s">
        <v>100</v>
      </c>
      <c r="D875" s="20">
        <v>6</v>
      </c>
      <c r="E875" s="20">
        <v>0</v>
      </c>
      <c r="F875" s="22">
        <f>IFERROR(E875/D875*100,"")</f>
        <v>0</v>
      </c>
      <c r="G875" s="23">
        <f>IFERROR(INDEX(Population_by_Province_Year!$B$5:$J$29,MATCH($A875,Population_by_Province_Year!$A$5:$A$29,0),MATCH($B875,Population_by_Province_Year!$B$4:$J$4,0)),"")</f>
        <v>1128443</v>
      </c>
      <c r="H875" s="22">
        <f>IFERROR(D875/G875*100000,"")</f>
        <v>0.53170607642565904</v>
      </c>
    </row>
    <row r="876" spans="1:8" ht="15" customHeight="1" x14ac:dyDescent="0.3">
      <c r="A876" s="20" t="s">
        <v>21</v>
      </c>
      <c r="B876" s="20">
        <v>2021</v>
      </c>
      <c r="C876" s="20" t="s">
        <v>100</v>
      </c>
      <c r="D876" s="20">
        <v>2</v>
      </c>
      <c r="E876" s="20">
        <v>0</v>
      </c>
      <c r="F876" s="22">
        <f>IFERROR(E876/D876*100,"")</f>
        <v>0</v>
      </c>
      <c r="G876" s="23">
        <f>IFERROR(INDEX(Population_by_Province_Year!$B$5:$J$29,MATCH($A876,Population_by_Province_Year!$A$5:$A$29,0),MATCH($B876,Population_by_Province_Year!$B$4:$J$4,0)),"")</f>
        <v>448032</v>
      </c>
      <c r="H876" s="22">
        <f>IFERROR(D876/G876*100000,"")</f>
        <v>0.44639668595100351</v>
      </c>
    </row>
    <row r="877" spans="1:8" ht="15" customHeight="1" x14ac:dyDescent="0.3">
      <c r="A877" s="20" t="s">
        <v>23</v>
      </c>
      <c r="B877" s="20">
        <v>2021</v>
      </c>
      <c r="C877" s="20" t="s">
        <v>100</v>
      </c>
      <c r="D877" s="20">
        <v>3</v>
      </c>
      <c r="E877" s="20">
        <v>0</v>
      </c>
      <c r="F877" s="22">
        <f>IFERROR(E877/D877*100,"")</f>
        <v>0</v>
      </c>
      <c r="G877" s="23">
        <f>IFERROR(INDEX(Population_by_Province_Year!$B$5:$J$29,MATCH($A877,Population_by_Province_Year!$A$5:$A$29,0),MATCH($B877,Population_by_Province_Year!$B$4:$J$4,0)),"")</f>
        <v>1082049</v>
      </c>
      <c r="H877" s="22">
        <f>IFERROR(D877/G877*100000,"")</f>
        <v>0.27725176955941921</v>
      </c>
    </row>
    <row r="878" spans="1:8" ht="15" customHeight="1" x14ac:dyDescent="0.3">
      <c r="A878" s="20" t="s">
        <v>24</v>
      </c>
      <c r="B878" s="20">
        <v>2021</v>
      </c>
      <c r="C878" s="20" t="s">
        <v>100</v>
      </c>
      <c r="D878" s="20">
        <v>4</v>
      </c>
      <c r="E878" s="20">
        <v>0</v>
      </c>
      <c r="F878" s="22">
        <f>IFERROR(E878/D878*100,"")</f>
        <v>0</v>
      </c>
      <c r="G878" s="23">
        <f>IFERROR(INDEX(Population_by_Province_Year!$B$5:$J$29,MATCH($A878,Population_by_Province_Year!$A$5:$A$29,0),MATCH($B878,Population_by_Province_Year!$B$4:$J$4,0)),"")</f>
        <v>176793</v>
      </c>
      <c r="H878" s="22">
        <f>IFERROR(D878/G878*100000,"")</f>
        <v>2.2625330188412436</v>
      </c>
    </row>
    <row r="879" spans="1:8" ht="15" customHeight="1" x14ac:dyDescent="0.3">
      <c r="A879" s="20" t="s">
        <v>25</v>
      </c>
      <c r="B879" s="20">
        <v>2021</v>
      </c>
      <c r="C879" s="20" t="s">
        <v>100</v>
      </c>
      <c r="D879" s="20">
        <v>3</v>
      </c>
      <c r="E879" s="20">
        <v>0</v>
      </c>
      <c r="F879" s="22">
        <f>IFERROR(E879/D879*100,"")</f>
        <v>0</v>
      </c>
      <c r="G879" s="23">
        <f>IFERROR(INDEX(Population_by_Province_Year!$B$5:$J$29,MATCH($A879,Population_by_Province_Year!$A$5:$A$29,0),MATCH($B879,Population_by_Province_Year!$B$4:$J$4,0)),"")</f>
        <v>560634</v>
      </c>
      <c r="H879" s="22">
        <f>IFERROR(D879/G879*100000,"")</f>
        <v>0.53510846648615673</v>
      </c>
    </row>
    <row r="880" spans="1:8" ht="15" customHeight="1" x14ac:dyDescent="0.3">
      <c r="A880" s="20" t="s">
        <v>26</v>
      </c>
      <c r="B880" s="20">
        <v>2021</v>
      </c>
      <c r="C880" s="20" t="s">
        <v>100</v>
      </c>
      <c r="D880" s="20">
        <v>8</v>
      </c>
      <c r="E880" s="20">
        <v>0</v>
      </c>
      <c r="F880" s="22">
        <f>IFERROR(E880/D880*100,"")</f>
        <v>0</v>
      </c>
      <c r="G880" s="23">
        <f>IFERROR(INDEX(Population_by_Province_Year!$B$5:$J$29,MATCH($A880,Population_by_Province_Year!$A$5:$A$29,0),MATCH($B880,Population_by_Province_Year!$B$4:$J$4,0)),"")</f>
        <v>961152</v>
      </c>
      <c r="H880" s="22">
        <f>IFERROR(D880/G880*100000,"")</f>
        <v>0.83233453189505924</v>
      </c>
    </row>
    <row r="881" spans="1:8" ht="15" customHeight="1" x14ac:dyDescent="0.3">
      <c r="A881" s="20" t="s">
        <v>27</v>
      </c>
      <c r="B881" s="20">
        <v>2021</v>
      </c>
      <c r="C881" s="20" t="s">
        <v>100</v>
      </c>
      <c r="D881" s="20">
        <v>5</v>
      </c>
      <c r="E881" s="20">
        <v>0</v>
      </c>
      <c r="F881" s="22">
        <f>IFERROR(E881/D881*100,"")</f>
        <v>0</v>
      </c>
      <c r="G881" s="23">
        <f>IFERROR(INDEX(Population_by_Province_Year!$B$5:$J$29,MATCH($A881,Population_by_Province_Year!$A$5:$A$29,0),MATCH($B881,Population_by_Province_Year!$B$4:$J$4,0)),"")</f>
        <v>828783</v>
      </c>
      <c r="H881" s="22">
        <f>IFERROR(D881/G881*100000,"")</f>
        <v>0.60329422780148723</v>
      </c>
    </row>
    <row r="882" spans="1:8" ht="15" customHeight="1" x14ac:dyDescent="0.3">
      <c r="A882" s="20" t="s">
        <v>3</v>
      </c>
      <c r="B882" s="20">
        <v>2021</v>
      </c>
      <c r="C882" s="20" t="s">
        <v>99</v>
      </c>
      <c r="D882" s="20">
        <v>3</v>
      </c>
      <c r="E882" s="20">
        <v>0</v>
      </c>
      <c r="F882" s="22">
        <f>IFERROR(E882/D882*100,"")</f>
        <v>0</v>
      </c>
      <c r="G882" s="23">
        <f>IFERROR(INDEX(Population_by_Province_Year!$B$5:$J$29,MATCH($A882,Population_by_Province_Year!$A$5:$A$29,0),MATCH($B882,Population_by_Province_Year!$B$4:$J$4,0)),"")</f>
        <v>919512</v>
      </c>
      <c r="H882" s="22">
        <f>IFERROR(D882/G882*100000,"")</f>
        <v>0.32626001618249684</v>
      </c>
    </row>
    <row r="883" spans="1:8" ht="15" customHeight="1" x14ac:dyDescent="0.3">
      <c r="A883" s="20" t="s">
        <v>5</v>
      </c>
      <c r="B883" s="20">
        <v>2021</v>
      </c>
      <c r="C883" s="20" t="s">
        <v>99</v>
      </c>
      <c r="D883" s="20">
        <v>11</v>
      </c>
      <c r="E883" s="20">
        <v>0</v>
      </c>
      <c r="F883" s="22">
        <f>IFERROR(E883/D883*100,"")</f>
        <v>0</v>
      </c>
      <c r="G883" s="23">
        <f>IFERROR(INDEX(Population_by_Province_Year!$B$5:$J$29,MATCH($A883,Population_by_Province_Year!$A$5:$A$29,0),MATCH($B883,Population_by_Province_Year!$B$4:$J$4,0)),"")</f>
        <v>959954</v>
      </c>
      <c r="H883" s="22">
        <f>IFERROR(D883/G883*100000,"")</f>
        <v>1.1458882404781896</v>
      </c>
    </row>
    <row r="884" spans="1:8" ht="15" customHeight="1" x14ac:dyDescent="0.3">
      <c r="A884" s="20" t="s">
        <v>7</v>
      </c>
      <c r="B884" s="20">
        <v>2021</v>
      </c>
      <c r="C884" s="20" t="s">
        <v>99</v>
      </c>
      <c r="D884" s="20">
        <v>7</v>
      </c>
      <c r="E884" s="20">
        <v>0</v>
      </c>
      <c r="F884" s="22">
        <f>IFERROR(E884/D884*100,"")</f>
        <v>0</v>
      </c>
      <c r="G884" s="23">
        <f>IFERROR(INDEX(Population_by_Province_Year!$B$5:$J$29,MATCH($A884,Population_by_Province_Year!$A$5:$A$29,0),MATCH($B884,Population_by_Province_Year!$B$4:$J$4,0)),"")</f>
        <v>936197</v>
      </c>
      <c r="H884" s="22">
        <f>IFERROR(D884/G884*100000,"")</f>
        <v>0.74770587814316858</v>
      </c>
    </row>
    <row r="885" spans="1:8" ht="15" customHeight="1" x14ac:dyDescent="0.3">
      <c r="A885" s="20" t="s">
        <v>8</v>
      </c>
      <c r="B885" s="20">
        <v>2021</v>
      </c>
      <c r="C885" s="20" t="s">
        <v>99</v>
      </c>
      <c r="D885" s="20">
        <v>3</v>
      </c>
      <c r="E885" s="20">
        <v>0</v>
      </c>
      <c r="F885" s="22">
        <f>IFERROR(E885/D885*100,"")</f>
        <v>0</v>
      </c>
      <c r="G885" s="23">
        <f>IFERROR(INDEX(Population_by_Province_Year!$B$5:$J$29,MATCH($A885,Population_by_Province_Year!$A$5:$A$29,0),MATCH($B885,Population_by_Province_Year!$B$4:$J$4,0)),"")</f>
        <v>727120</v>
      </c>
      <c r="H885" s="22">
        <f>IFERROR(D885/G885*100000,"")</f>
        <v>0.41258664319507093</v>
      </c>
    </row>
    <row r="886" spans="1:8" ht="15" customHeight="1" x14ac:dyDescent="0.3">
      <c r="A886" s="20" t="s">
        <v>9</v>
      </c>
      <c r="B886" s="20">
        <v>2021</v>
      </c>
      <c r="C886" s="20" t="s">
        <v>99</v>
      </c>
      <c r="D886" s="20">
        <v>1</v>
      </c>
      <c r="E886" s="20">
        <v>0</v>
      </c>
      <c r="F886" s="22">
        <f>IFERROR(E886/D886*100,"")</f>
        <v>0</v>
      </c>
      <c r="G886" s="23">
        <f>IFERROR(INDEX(Population_by_Province_Year!$B$5:$J$29,MATCH($A886,Population_by_Province_Year!$A$5:$A$29,0),MATCH($B886,Population_by_Province_Year!$B$4:$J$4,0)),"")</f>
        <v>633535</v>
      </c>
      <c r="H886" s="22">
        <f>IFERROR(D886/G886*100000,"")</f>
        <v>0.15784447583795685</v>
      </c>
    </row>
    <row r="887" spans="1:8" ht="15" customHeight="1" x14ac:dyDescent="0.3">
      <c r="A887" s="20" t="s">
        <v>10</v>
      </c>
      <c r="B887" s="20">
        <v>2021</v>
      </c>
      <c r="C887" s="20" t="s">
        <v>99</v>
      </c>
      <c r="D887" s="20">
        <v>19</v>
      </c>
      <c r="E887" s="20">
        <v>0</v>
      </c>
      <c r="F887" s="22">
        <f>IFERROR(E887/D887*100,"")</f>
        <v>0</v>
      </c>
      <c r="G887" s="23">
        <f>IFERROR(INDEX(Population_by_Province_Year!$B$5:$J$29,MATCH($A887,Population_by_Province_Year!$A$5:$A$29,0),MATCH($B887,Population_by_Province_Year!$B$4:$J$4,0)),"")</f>
        <v>1281923</v>
      </c>
      <c r="H887" s="22">
        <f>IFERROR(D887/G887*100000,"")</f>
        <v>1.4821483037592742</v>
      </c>
    </row>
    <row r="888" spans="1:8" ht="15" customHeight="1" x14ac:dyDescent="0.3">
      <c r="A888" s="20" t="s">
        <v>17</v>
      </c>
      <c r="B888" s="20">
        <v>2021</v>
      </c>
      <c r="C888" s="20" t="s">
        <v>99</v>
      </c>
      <c r="D888" s="20">
        <v>54</v>
      </c>
      <c r="E888" s="20">
        <v>0</v>
      </c>
      <c r="F888" s="22">
        <f>IFERROR(E888/D888*100,"")</f>
        <v>0</v>
      </c>
      <c r="G888" s="23">
        <f>IFERROR(INDEX(Population_by_Province_Year!$B$5:$J$29,MATCH($A888,Population_by_Province_Year!$A$5:$A$29,0),MATCH($B888,Population_by_Province_Year!$B$4:$J$4,0)),"")</f>
        <v>2434531</v>
      </c>
      <c r="H888" s="22">
        <f>IFERROR(D888/G888*100000,"")</f>
        <v>2.218086358317064</v>
      </c>
    </row>
    <row r="889" spans="1:8" ht="15" customHeight="1" x14ac:dyDescent="0.3">
      <c r="A889" s="20" t="s">
        <v>18</v>
      </c>
      <c r="B889" s="20">
        <v>2021</v>
      </c>
      <c r="C889" s="20" t="s">
        <v>99</v>
      </c>
      <c r="D889" s="20">
        <v>1</v>
      </c>
      <c r="E889" s="20">
        <v>0</v>
      </c>
      <c r="F889" s="22">
        <f>IFERROR(E889/D889*100,"")</f>
        <v>0</v>
      </c>
      <c r="G889" s="23">
        <f>IFERROR(INDEX(Population_by_Province_Year!$B$5:$J$29,MATCH($A889,Population_by_Province_Year!$A$5:$A$29,0),MATCH($B889,Population_by_Province_Year!$B$4:$J$4,0)),"")</f>
        <v>330805</v>
      </c>
      <c r="H889" s="22">
        <f>IFERROR(D889/G889*100000,"")</f>
        <v>0.30229289158265443</v>
      </c>
    </row>
    <row r="890" spans="1:8" ht="15" customHeight="1" x14ac:dyDescent="0.3">
      <c r="A890" s="20" t="s">
        <v>19</v>
      </c>
      <c r="B890" s="20">
        <v>2021</v>
      </c>
      <c r="C890" s="20" t="s">
        <v>99</v>
      </c>
      <c r="D890" s="20">
        <v>2</v>
      </c>
      <c r="E890" s="20">
        <v>0</v>
      </c>
      <c r="F890" s="22">
        <f>IFERROR(E890/D890*100,"")</f>
        <v>0</v>
      </c>
      <c r="G890" s="23">
        <f>IFERROR(INDEX(Population_by_Province_Year!$B$5:$J$29,MATCH($A890,Population_by_Province_Year!$A$5:$A$29,0),MATCH($B890,Population_by_Province_Year!$B$4:$J$4,0)),"")</f>
        <v>271866</v>
      </c>
      <c r="H890" s="22">
        <f>IFERROR(D890/G890*100000,"")</f>
        <v>0.7356565366761566</v>
      </c>
    </row>
    <row r="891" spans="1:8" ht="15" customHeight="1" x14ac:dyDescent="0.3">
      <c r="A891" s="20" t="s">
        <v>20</v>
      </c>
      <c r="B891" s="20">
        <v>2021</v>
      </c>
      <c r="C891" s="20" t="s">
        <v>99</v>
      </c>
      <c r="D891" s="20">
        <v>3</v>
      </c>
      <c r="E891" s="20">
        <v>0</v>
      </c>
      <c r="F891" s="22">
        <f>IFERROR(E891/D891*100,"")</f>
        <v>0</v>
      </c>
      <c r="G891" s="23">
        <f>IFERROR(INDEX(Population_by_Province_Year!$B$5:$J$29,MATCH($A891,Population_by_Province_Year!$A$5:$A$29,0),MATCH($B891,Population_by_Province_Year!$B$4:$J$4,0)),"")</f>
        <v>1128443</v>
      </c>
      <c r="H891" s="22">
        <f>IFERROR(D891/G891*100000,"")</f>
        <v>0.26585303821282952</v>
      </c>
    </row>
    <row r="892" spans="1:8" ht="15" customHeight="1" x14ac:dyDescent="0.3">
      <c r="A892" s="20" t="s">
        <v>21</v>
      </c>
      <c r="B892" s="20">
        <v>2021</v>
      </c>
      <c r="C892" s="20" t="s">
        <v>99</v>
      </c>
      <c r="D892" s="20">
        <v>1</v>
      </c>
      <c r="E892" s="20">
        <v>0</v>
      </c>
      <c r="F892" s="22">
        <f>IFERROR(E892/D892*100,"")</f>
        <v>0</v>
      </c>
      <c r="G892" s="23">
        <f>IFERROR(INDEX(Population_by_Province_Year!$B$5:$J$29,MATCH($A892,Population_by_Province_Year!$A$5:$A$29,0),MATCH($B892,Population_by_Province_Year!$B$4:$J$4,0)),"")</f>
        <v>448032</v>
      </c>
      <c r="H892" s="22">
        <f>IFERROR(D892/G892*100000,"")</f>
        <v>0.22319834297550176</v>
      </c>
    </row>
    <row r="893" spans="1:8" ht="15" customHeight="1" x14ac:dyDescent="0.3">
      <c r="A893" s="20" t="s">
        <v>23</v>
      </c>
      <c r="B893" s="20">
        <v>2021</v>
      </c>
      <c r="C893" s="20" t="s">
        <v>99</v>
      </c>
      <c r="D893" s="20">
        <v>6</v>
      </c>
      <c r="E893" s="20">
        <v>0</v>
      </c>
      <c r="F893" s="22">
        <f>IFERROR(E893/D893*100,"")</f>
        <v>0</v>
      </c>
      <c r="G893" s="23">
        <f>IFERROR(INDEX(Population_by_Province_Year!$B$5:$J$29,MATCH($A893,Population_by_Province_Year!$A$5:$A$29,0),MATCH($B893,Population_by_Province_Year!$B$4:$J$4,0)),"")</f>
        <v>1082049</v>
      </c>
      <c r="H893" s="22">
        <f>IFERROR(D893/G893*100000,"")</f>
        <v>0.55450353911883843</v>
      </c>
    </row>
    <row r="894" spans="1:8" ht="15" customHeight="1" x14ac:dyDescent="0.3">
      <c r="A894" s="20" t="s">
        <v>24</v>
      </c>
      <c r="B894" s="20">
        <v>2021</v>
      </c>
      <c r="C894" s="20" t="s">
        <v>99</v>
      </c>
      <c r="D894" s="20">
        <v>1</v>
      </c>
      <c r="E894" s="20">
        <v>0</v>
      </c>
      <c r="F894" s="22">
        <f>IFERROR(E894/D894*100,"")</f>
        <v>0</v>
      </c>
      <c r="G894" s="23">
        <f>IFERROR(INDEX(Population_by_Province_Year!$B$5:$J$29,MATCH($A894,Population_by_Province_Year!$A$5:$A$29,0),MATCH($B894,Population_by_Province_Year!$B$4:$J$4,0)),"")</f>
        <v>176793</v>
      </c>
      <c r="H894" s="22">
        <f>IFERROR(D894/G894*100000,"")</f>
        <v>0.5656332547103109</v>
      </c>
    </row>
    <row r="895" spans="1:8" ht="15" customHeight="1" x14ac:dyDescent="0.3">
      <c r="A895" s="20" t="s">
        <v>25</v>
      </c>
      <c r="B895" s="20">
        <v>2021</v>
      </c>
      <c r="C895" s="20" t="s">
        <v>99</v>
      </c>
      <c r="D895" s="20">
        <v>2</v>
      </c>
      <c r="E895" s="20">
        <v>0</v>
      </c>
      <c r="F895" s="22">
        <f>IFERROR(E895/D895*100,"")</f>
        <v>0</v>
      </c>
      <c r="G895" s="23">
        <f>IFERROR(INDEX(Population_by_Province_Year!$B$5:$J$29,MATCH($A895,Population_by_Province_Year!$A$5:$A$29,0),MATCH($B895,Population_by_Province_Year!$B$4:$J$4,0)),"")</f>
        <v>560634</v>
      </c>
      <c r="H895" s="22">
        <f>IFERROR(D895/G895*100000,"")</f>
        <v>0.35673897765743784</v>
      </c>
    </row>
    <row r="896" spans="1:8" ht="15" customHeight="1" x14ac:dyDescent="0.3">
      <c r="A896" s="20" t="s">
        <v>26</v>
      </c>
      <c r="B896" s="20">
        <v>2021</v>
      </c>
      <c r="C896" s="20" t="s">
        <v>99</v>
      </c>
      <c r="D896" s="20">
        <v>8</v>
      </c>
      <c r="E896" s="20">
        <v>0</v>
      </c>
      <c r="F896" s="22">
        <f>IFERROR(E896/D896*100,"")</f>
        <v>0</v>
      </c>
      <c r="G896" s="23">
        <f>IFERROR(INDEX(Population_by_Province_Year!$B$5:$J$29,MATCH($A896,Population_by_Province_Year!$A$5:$A$29,0),MATCH($B896,Population_by_Province_Year!$B$4:$J$4,0)),"")</f>
        <v>961152</v>
      </c>
      <c r="H896" s="22">
        <f>IFERROR(D896/G896*100000,"")</f>
        <v>0.83233453189505924</v>
      </c>
    </row>
    <row r="897" spans="1:8" ht="15" customHeight="1" x14ac:dyDescent="0.3">
      <c r="A897" s="20" t="s">
        <v>27</v>
      </c>
      <c r="B897" s="20">
        <v>2021</v>
      </c>
      <c r="C897" s="20" t="s">
        <v>99</v>
      </c>
      <c r="D897" s="20">
        <v>4</v>
      </c>
      <c r="E897" s="20">
        <v>0</v>
      </c>
      <c r="F897" s="22">
        <f>IFERROR(E897/D897*100,"")</f>
        <v>0</v>
      </c>
      <c r="G897" s="23">
        <f>IFERROR(INDEX(Population_by_Province_Year!$B$5:$J$29,MATCH($A897,Population_by_Province_Year!$A$5:$A$29,0),MATCH($B897,Population_by_Province_Year!$B$4:$J$4,0)),"")</f>
        <v>828783</v>
      </c>
      <c r="H897" s="22">
        <f>IFERROR(D897/G897*100000,"")</f>
        <v>0.48263538224118985</v>
      </c>
    </row>
    <row r="898" spans="1:8" ht="15" customHeight="1" x14ac:dyDescent="0.3">
      <c r="A898" s="20" t="s">
        <v>3</v>
      </c>
      <c r="B898" s="20">
        <v>2021</v>
      </c>
      <c r="C898" s="20" t="s">
        <v>103</v>
      </c>
      <c r="D898" s="20">
        <v>5</v>
      </c>
      <c r="E898" s="20">
        <v>0</v>
      </c>
      <c r="F898" s="22">
        <f>IFERROR(E898/D898*100,"")</f>
        <v>0</v>
      </c>
      <c r="G898" s="23">
        <f>IFERROR(INDEX(Population_by_Province_Year!$B$5:$J$29,MATCH($A898,Population_by_Province_Year!$A$5:$A$29,0),MATCH($B898,Population_by_Province_Year!$B$4:$J$4,0)),"")</f>
        <v>919512</v>
      </c>
      <c r="H898" s="22">
        <f>IFERROR(D898/G898*100000,"")</f>
        <v>0.54376669363749464</v>
      </c>
    </row>
    <row r="899" spans="1:8" ht="15" customHeight="1" x14ac:dyDescent="0.3">
      <c r="A899" s="20" t="s">
        <v>5</v>
      </c>
      <c r="B899" s="20">
        <v>2021</v>
      </c>
      <c r="C899" s="20" t="s">
        <v>103</v>
      </c>
      <c r="D899" s="20">
        <v>4</v>
      </c>
      <c r="E899" s="20">
        <v>0</v>
      </c>
      <c r="F899" s="22">
        <f>IFERROR(E899/D899*100,"")</f>
        <v>0</v>
      </c>
      <c r="G899" s="23">
        <f>IFERROR(INDEX(Population_by_Province_Year!$B$5:$J$29,MATCH($A899,Population_by_Province_Year!$A$5:$A$29,0),MATCH($B899,Population_by_Province_Year!$B$4:$J$4,0)),"")</f>
        <v>959954</v>
      </c>
      <c r="H899" s="22">
        <f>IFERROR(D899/G899*100000,"")</f>
        <v>0.41668663290115987</v>
      </c>
    </row>
    <row r="900" spans="1:8" ht="15" customHeight="1" x14ac:dyDescent="0.3">
      <c r="A900" s="20" t="s">
        <v>6</v>
      </c>
      <c r="B900" s="20">
        <v>2021</v>
      </c>
      <c r="C900" s="20" t="s">
        <v>103</v>
      </c>
      <c r="D900" s="20">
        <v>2</v>
      </c>
      <c r="E900" s="20">
        <v>0</v>
      </c>
      <c r="F900" s="22">
        <f>IFERROR(E900/D900*100,"")</f>
        <v>0</v>
      </c>
      <c r="G900" s="23">
        <f>IFERROR(INDEX(Population_by_Province_Year!$B$5:$J$29,MATCH($A900,Population_by_Province_Year!$A$5:$A$29,0),MATCH($B900,Population_by_Province_Year!$B$4:$J$4,0)),"")</f>
        <v>562266</v>
      </c>
      <c r="H900" s="22">
        <f>IFERROR(D900/G900*100000,"")</f>
        <v>0.35570352822329643</v>
      </c>
    </row>
    <row r="901" spans="1:8" ht="15" customHeight="1" x14ac:dyDescent="0.3">
      <c r="A901" s="20" t="s">
        <v>7</v>
      </c>
      <c r="B901" s="20">
        <v>2021</v>
      </c>
      <c r="C901" s="20" t="s">
        <v>103</v>
      </c>
      <c r="D901" s="20">
        <v>8</v>
      </c>
      <c r="E901" s="20">
        <v>0</v>
      </c>
      <c r="F901" s="22">
        <f>IFERROR(E901/D901*100,"")</f>
        <v>0</v>
      </c>
      <c r="G901" s="23">
        <f>IFERROR(INDEX(Population_by_Province_Year!$B$5:$J$29,MATCH($A901,Population_by_Province_Year!$A$5:$A$29,0),MATCH($B901,Population_by_Province_Year!$B$4:$J$4,0)),"")</f>
        <v>936197</v>
      </c>
      <c r="H901" s="22">
        <f>IFERROR(D901/G901*100000,"")</f>
        <v>0.85452100359219263</v>
      </c>
    </row>
    <row r="902" spans="1:8" ht="15" customHeight="1" x14ac:dyDescent="0.3">
      <c r="A902" s="20" t="s">
        <v>8</v>
      </c>
      <c r="B902" s="20">
        <v>2021</v>
      </c>
      <c r="C902" s="20" t="s">
        <v>103</v>
      </c>
      <c r="D902" s="20">
        <v>4</v>
      </c>
      <c r="E902" s="20">
        <v>0</v>
      </c>
      <c r="F902" s="22">
        <f>IFERROR(E902/D902*100,"")</f>
        <v>0</v>
      </c>
      <c r="G902" s="23">
        <f>IFERROR(INDEX(Population_by_Province_Year!$B$5:$J$29,MATCH($A902,Population_by_Province_Year!$A$5:$A$29,0),MATCH($B902,Population_by_Province_Year!$B$4:$J$4,0)),"")</f>
        <v>727120</v>
      </c>
      <c r="H902" s="22">
        <f>IFERROR(D902/G902*100000,"")</f>
        <v>0.55011552426009458</v>
      </c>
    </row>
    <row r="903" spans="1:8" ht="15" customHeight="1" x14ac:dyDescent="0.3">
      <c r="A903" s="20" t="s">
        <v>10</v>
      </c>
      <c r="B903" s="20">
        <v>2021</v>
      </c>
      <c r="C903" s="20" t="s">
        <v>103</v>
      </c>
      <c r="D903" s="20">
        <v>15</v>
      </c>
      <c r="E903" s="20">
        <v>0</v>
      </c>
      <c r="F903" s="22">
        <f>IFERROR(E903/D903*100,"")</f>
        <v>0</v>
      </c>
      <c r="G903" s="23">
        <f>IFERROR(INDEX(Population_by_Province_Year!$B$5:$J$29,MATCH($A903,Population_by_Province_Year!$A$5:$A$29,0),MATCH($B903,Population_by_Province_Year!$B$4:$J$4,0)),"")</f>
        <v>1281923</v>
      </c>
      <c r="H903" s="22">
        <f>IFERROR(D903/G903*100000,"")</f>
        <v>1.1701170819152165</v>
      </c>
    </row>
    <row r="904" spans="1:8" ht="15" customHeight="1" x14ac:dyDescent="0.3">
      <c r="A904" s="20" t="s">
        <v>13</v>
      </c>
      <c r="B904" s="20">
        <v>2021</v>
      </c>
      <c r="C904" s="20" t="s">
        <v>103</v>
      </c>
      <c r="D904" s="20">
        <v>3</v>
      </c>
      <c r="E904" s="20">
        <v>0</v>
      </c>
      <c r="F904" s="22">
        <f>IFERROR(E904/D904*100,"")</f>
        <v>0</v>
      </c>
      <c r="G904" s="23">
        <f>IFERROR(INDEX(Population_by_Province_Year!$B$5:$J$29,MATCH($A904,Population_by_Province_Year!$A$5:$A$29,0),MATCH($B904,Population_by_Province_Year!$B$4:$J$4,0)),"")</f>
        <v>399812</v>
      </c>
      <c r="H904" s="22">
        <f>IFERROR(D904/G904*100000,"")</f>
        <v>0.75035266575290394</v>
      </c>
    </row>
    <row r="905" spans="1:8" ht="15" customHeight="1" x14ac:dyDescent="0.3">
      <c r="A905" s="20" t="s">
        <v>17</v>
      </c>
      <c r="B905" s="20">
        <v>2021</v>
      </c>
      <c r="C905" s="20" t="s">
        <v>103</v>
      </c>
      <c r="D905" s="20">
        <v>55</v>
      </c>
      <c r="E905" s="20">
        <v>0</v>
      </c>
      <c r="F905" s="22">
        <f>IFERROR(E905/D905*100,"")</f>
        <v>0</v>
      </c>
      <c r="G905" s="23">
        <f>IFERROR(INDEX(Population_by_Province_Year!$B$5:$J$29,MATCH($A905,Population_by_Province_Year!$A$5:$A$29,0),MATCH($B905,Population_by_Province_Year!$B$4:$J$4,0)),"")</f>
        <v>2434531</v>
      </c>
      <c r="H905" s="22">
        <f>IFERROR(D905/G905*100000,"")</f>
        <v>2.2591620316192316</v>
      </c>
    </row>
    <row r="906" spans="1:8" ht="15" customHeight="1" x14ac:dyDescent="0.3">
      <c r="A906" s="20" t="s">
        <v>18</v>
      </c>
      <c r="B906" s="20">
        <v>2021</v>
      </c>
      <c r="C906" s="20" t="s">
        <v>103</v>
      </c>
      <c r="D906" s="20">
        <v>3</v>
      </c>
      <c r="E906" s="20">
        <v>0</v>
      </c>
      <c r="F906" s="22">
        <f>IFERROR(E906/D906*100,"")</f>
        <v>0</v>
      </c>
      <c r="G906" s="23">
        <f>IFERROR(INDEX(Population_by_Province_Year!$B$5:$J$29,MATCH($A906,Population_by_Province_Year!$A$5:$A$29,0),MATCH($B906,Population_by_Province_Year!$B$4:$J$4,0)),"")</f>
        <v>330805</v>
      </c>
      <c r="H906" s="22">
        <f>IFERROR(D906/G906*100000,"")</f>
        <v>0.90687867474796324</v>
      </c>
    </row>
    <row r="907" spans="1:8" ht="15" customHeight="1" x14ac:dyDescent="0.3">
      <c r="A907" s="20" t="s">
        <v>20</v>
      </c>
      <c r="B907" s="20">
        <v>2021</v>
      </c>
      <c r="C907" s="20" t="s">
        <v>103</v>
      </c>
      <c r="D907" s="20">
        <v>6</v>
      </c>
      <c r="E907" s="20">
        <v>1</v>
      </c>
      <c r="F907" s="22">
        <f>IFERROR(E907/D907*100,"")</f>
        <v>16.666666666666664</v>
      </c>
      <c r="G907" s="23">
        <f>IFERROR(INDEX(Population_by_Province_Year!$B$5:$J$29,MATCH($A907,Population_by_Province_Year!$A$5:$A$29,0),MATCH($B907,Population_by_Province_Year!$B$4:$J$4,0)),"")</f>
        <v>1128443</v>
      </c>
      <c r="H907" s="22">
        <f>IFERROR(D907/G907*100000,"")</f>
        <v>0.53170607642565904</v>
      </c>
    </row>
    <row r="908" spans="1:8" ht="15" customHeight="1" x14ac:dyDescent="0.3">
      <c r="A908" s="20" t="s">
        <v>21</v>
      </c>
      <c r="B908" s="20">
        <v>2021</v>
      </c>
      <c r="C908" s="20" t="s">
        <v>103</v>
      </c>
      <c r="D908" s="20">
        <v>1</v>
      </c>
      <c r="E908" s="20">
        <v>0</v>
      </c>
      <c r="F908" s="22">
        <f>IFERROR(E908/D908*100,"")</f>
        <v>0</v>
      </c>
      <c r="G908" s="23">
        <f>IFERROR(INDEX(Population_by_Province_Year!$B$5:$J$29,MATCH($A908,Population_by_Province_Year!$A$5:$A$29,0),MATCH($B908,Population_by_Province_Year!$B$4:$J$4,0)),"")</f>
        <v>448032</v>
      </c>
      <c r="H908" s="22">
        <f>IFERROR(D908/G908*100000,"")</f>
        <v>0.22319834297550176</v>
      </c>
    </row>
    <row r="909" spans="1:8" ht="15" customHeight="1" x14ac:dyDescent="0.3">
      <c r="A909" s="20" t="s">
        <v>23</v>
      </c>
      <c r="B909" s="20">
        <v>2021</v>
      </c>
      <c r="C909" s="20" t="s">
        <v>103</v>
      </c>
      <c r="D909" s="20">
        <v>1</v>
      </c>
      <c r="E909" s="20">
        <v>0</v>
      </c>
      <c r="F909" s="22">
        <f>IFERROR(E909/D909*100,"")</f>
        <v>0</v>
      </c>
      <c r="G909" s="23">
        <f>IFERROR(INDEX(Population_by_Province_Year!$B$5:$J$29,MATCH($A909,Population_by_Province_Year!$A$5:$A$29,0),MATCH($B909,Population_by_Province_Year!$B$4:$J$4,0)),"")</f>
        <v>1082049</v>
      </c>
      <c r="H909" s="22">
        <f>IFERROR(D909/G909*100000,"")</f>
        <v>9.2417256519806409E-2</v>
      </c>
    </row>
    <row r="910" spans="1:8" ht="15" customHeight="1" x14ac:dyDescent="0.3">
      <c r="A910" s="20" t="s">
        <v>24</v>
      </c>
      <c r="B910" s="20">
        <v>2021</v>
      </c>
      <c r="C910" s="20" t="s">
        <v>103</v>
      </c>
      <c r="D910" s="20">
        <v>1</v>
      </c>
      <c r="E910" s="20">
        <v>0</v>
      </c>
      <c r="F910" s="22">
        <f>IFERROR(E910/D910*100,"")</f>
        <v>0</v>
      </c>
      <c r="G910" s="23">
        <f>IFERROR(INDEX(Population_by_Province_Year!$B$5:$J$29,MATCH($A910,Population_by_Province_Year!$A$5:$A$29,0),MATCH($B910,Population_by_Province_Year!$B$4:$J$4,0)),"")</f>
        <v>176793</v>
      </c>
      <c r="H910" s="22">
        <f>IFERROR(D910/G910*100000,"")</f>
        <v>0.5656332547103109</v>
      </c>
    </row>
    <row r="911" spans="1:8" ht="15" customHeight="1" x14ac:dyDescent="0.3">
      <c r="A911" s="20" t="s">
        <v>25</v>
      </c>
      <c r="B911" s="20">
        <v>2021</v>
      </c>
      <c r="C911" s="20" t="s">
        <v>103</v>
      </c>
      <c r="D911" s="20">
        <v>2</v>
      </c>
      <c r="E911" s="20">
        <v>0</v>
      </c>
      <c r="F911" s="22">
        <f>IFERROR(E911/D911*100,"")</f>
        <v>0</v>
      </c>
      <c r="G911" s="23">
        <f>IFERROR(INDEX(Population_by_Province_Year!$B$5:$J$29,MATCH($A911,Population_by_Province_Year!$A$5:$A$29,0),MATCH($B911,Population_by_Province_Year!$B$4:$J$4,0)),"")</f>
        <v>560634</v>
      </c>
      <c r="H911" s="22">
        <f>IFERROR(D911/G911*100000,"")</f>
        <v>0.35673897765743784</v>
      </c>
    </row>
    <row r="912" spans="1:8" ht="15" customHeight="1" x14ac:dyDescent="0.3">
      <c r="A912" s="20" t="s">
        <v>26</v>
      </c>
      <c r="B912" s="20">
        <v>2021</v>
      </c>
      <c r="C912" s="20" t="s">
        <v>103</v>
      </c>
      <c r="D912" s="20">
        <v>8</v>
      </c>
      <c r="E912" s="20">
        <v>0</v>
      </c>
      <c r="F912" s="22">
        <f>IFERROR(E912/D912*100,"")</f>
        <v>0</v>
      </c>
      <c r="G912" s="23">
        <f>IFERROR(INDEX(Population_by_Province_Year!$B$5:$J$29,MATCH($A912,Population_by_Province_Year!$A$5:$A$29,0),MATCH($B912,Population_by_Province_Year!$B$4:$J$4,0)),"")</f>
        <v>961152</v>
      </c>
      <c r="H912" s="22">
        <f>IFERROR(D912/G912*100000,"")</f>
        <v>0.83233453189505924</v>
      </c>
    </row>
    <row r="913" spans="1:8" ht="15" customHeight="1" x14ac:dyDescent="0.3">
      <c r="A913" s="20" t="s">
        <v>27</v>
      </c>
      <c r="B913" s="20">
        <v>2021</v>
      </c>
      <c r="C913" s="20" t="s">
        <v>103</v>
      </c>
      <c r="D913" s="20">
        <v>3</v>
      </c>
      <c r="E913" s="20">
        <v>0</v>
      </c>
      <c r="F913" s="22">
        <f>IFERROR(E913/D913*100,"")</f>
        <v>0</v>
      </c>
      <c r="G913" s="23">
        <f>IFERROR(INDEX(Population_by_Province_Year!$B$5:$J$29,MATCH($A913,Population_by_Province_Year!$A$5:$A$29,0),MATCH($B913,Population_by_Province_Year!$B$4:$J$4,0)),"")</f>
        <v>828783</v>
      </c>
      <c r="H913" s="22">
        <f>IFERROR(D913/G913*100000,"")</f>
        <v>0.36197653668089236</v>
      </c>
    </row>
    <row r="914" spans="1:8" ht="15" customHeight="1" x14ac:dyDescent="0.3">
      <c r="A914" s="20" t="s">
        <v>3</v>
      </c>
      <c r="B914" s="20">
        <v>2021</v>
      </c>
      <c r="C914" s="20" t="s">
        <v>96</v>
      </c>
      <c r="D914" s="20">
        <v>4</v>
      </c>
      <c r="E914" s="20">
        <v>0</v>
      </c>
      <c r="F914" s="22">
        <f>IFERROR(E914/D914*100,"")</f>
        <v>0</v>
      </c>
      <c r="G914" s="23">
        <f>IFERROR(INDEX(Population_by_Province_Year!$B$5:$J$29,MATCH($A914,Population_by_Province_Year!$A$5:$A$29,0),MATCH($B914,Population_by_Province_Year!$B$4:$J$4,0)),"")</f>
        <v>919512</v>
      </c>
      <c r="H914" s="22">
        <f>IFERROR(D914/G914*100000,"")</f>
        <v>0.43501335490999571</v>
      </c>
    </row>
    <row r="915" spans="1:8" ht="15" customHeight="1" x14ac:dyDescent="0.3">
      <c r="A915" s="20" t="s">
        <v>5</v>
      </c>
      <c r="B915" s="20">
        <v>2021</v>
      </c>
      <c r="C915" s="20" t="s">
        <v>96</v>
      </c>
      <c r="D915" s="20">
        <v>5</v>
      </c>
      <c r="E915" s="20">
        <v>0</v>
      </c>
      <c r="F915" s="22">
        <f>IFERROR(E915/D915*100,"")</f>
        <v>0</v>
      </c>
      <c r="G915" s="23">
        <f>IFERROR(INDEX(Population_by_Province_Year!$B$5:$J$29,MATCH($A915,Population_by_Province_Year!$A$5:$A$29,0),MATCH($B915,Population_by_Province_Year!$B$4:$J$4,0)),"")</f>
        <v>959954</v>
      </c>
      <c r="H915" s="22">
        <f>IFERROR(D915/G915*100000,"")</f>
        <v>0.52085829112644977</v>
      </c>
    </row>
    <row r="916" spans="1:8" ht="15" customHeight="1" x14ac:dyDescent="0.3">
      <c r="A916" s="20" t="s">
        <v>7</v>
      </c>
      <c r="B916" s="20">
        <v>2021</v>
      </c>
      <c r="C916" s="20" t="s">
        <v>96</v>
      </c>
      <c r="D916" s="20">
        <v>15</v>
      </c>
      <c r="E916" s="20">
        <v>0</v>
      </c>
      <c r="F916" s="22">
        <f>IFERROR(E916/D916*100,"")</f>
        <v>0</v>
      </c>
      <c r="G916" s="23">
        <f>IFERROR(INDEX(Population_by_Province_Year!$B$5:$J$29,MATCH($A916,Population_by_Province_Year!$A$5:$A$29,0),MATCH($B916,Population_by_Province_Year!$B$4:$J$4,0)),"")</f>
        <v>936197</v>
      </c>
      <c r="H916" s="22">
        <f>IFERROR(D916/G916*100000,"")</f>
        <v>1.6022268817353613</v>
      </c>
    </row>
    <row r="917" spans="1:8" ht="15" customHeight="1" x14ac:dyDescent="0.3">
      <c r="A917" s="20" t="s">
        <v>8</v>
      </c>
      <c r="B917" s="20">
        <v>2021</v>
      </c>
      <c r="C917" s="20" t="s">
        <v>96</v>
      </c>
      <c r="D917" s="20">
        <v>10</v>
      </c>
      <c r="E917" s="20">
        <v>0</v>
      </c>
      <c r="F917" s="22">
        <f>IFERROR(E917/D917*100,"")</f>
        <v>0</v>
      </c>
      <c r="G917" s="23">
        <f>IFERROR(INDEX(Population_by_Province_Year!$B$5:$J$29,MATCH($A917,Population_by_Province_Year!$A$5:$A$29,0),MATCH($B917,Population_by_Province_Year!$B$4:$J$4,0)),"")</f>
        <v>727120</v>
      </c>
      <c r="H917" s="22">
        <f>IFERROR(D917/G917*100000,"")</f>
        <v>1.3752888106502366</v>
      </c>
    </row>
    <row r="918" spans="1:8" ht="15" customHeight="1" x14ac:dyDescent="0.3">
      <c r="A918" s="20" t="s">
        <v>9</v>
      </c>
      <c r="B918" s="20">
        <v>2021</v>
      </c>
      <c r="C918" s="20" t="s">
        <v>96</v>
      </c>
      <c r="D918" s="20">
        <v>1</v>
      </c>
      <c r="E918" s="20">
        <v>0</v>
      </c>
      <c r="F918" s="22">
        <f>IFERROR(E918/D918*100,"")</f>
        <v>0</v>
      </c>
      <c r="G918" s="23">
        <f>IFERROR(INDEX(Population_by_Province_Year!$B$5:$J$29,MATCH($A918,Population_by_Province_Year!$A$5:$A$29,0),MATCH($B918,Population_by_Province_Year!$B$4:$J$4,0)),"")</f>
        <v>633535</v>
      </c>
      <c r="H918" s="22">
        <f>IFERROR(D918/G918*100000,"")</f>
        <v>0.15784447583795685</v>
      </c>
    </row>
    <row r="919" spans="1:8" ht="15" customHeight="1" x14ac:dyDescent="0.3">
      <c r="A919" s="20" t="s">
        <v>10</v>
      </c>
      <c r="B919" s="20">
        <v>2021</v>
      </c>
      <c r="C919" s="20" t="s">
        <v>96</v>
      </c>
      <c r="D919" s="20">
        <v>12</v>
      </c>
      <c r="E919" s="20">
        <v>0</v>
      </c>
      <c r="F919" s="22">
        <f>IFERROR(E919/D919*100,"")</f>
        <v>0</v>
      </c>
      <c r="G919" s="23">
        <f>IFERROR(INDEX(Population_by_Province_Year!$B$5:$J$29,MATCH($A919,Population_by_Province_Year!$A$5:$A$29,0),MATCH($B919,Population_by_Province_Year!$B$4:$J$4,0)),"")</f>
        <v>1281923</v>
      </c>
      <c r="H919" s="22">
        <f>IFERROR(D919/G919*100000,"")</f>
        <v>0.9360936655321731</v>
      </c>
    </row>
    <row r="920" spans="1:8" ht="15" customHeight="1" x14ac:dyDescent="0.3">
      <c r="A920" s="20" t="s">
        <v>13</v>
      </c>
      <c r="B920" s="20">
        <v>2021</v>
      </c>
      <c r="C920" s="20" t="s">
        <v>96</v>
      </c>
      <c r="D920" s="20">
        <v>1</v>
      </c>
      <c r="E920" s="20">
        <v>0</v>
      </c>
      <c r="F920" s="22">
        <f>IFERROR(E920/D920*100,"")</f>
        <v>0</v>
      </c>
      <c r="G920" s="23">
        <f>IFERROR(INDEX(Population_by_Province_Year!$B$5:$J$29,MATCH($A920,Population_by_Province_Year!$A$5:$A$29,0),MATCH($B920,Population_by_Province_Year!$B$4:$J$4,0)),"")</f>
        <v>399812</v>
      </c>
      <c r="H920" s="22">
        <f>IFERROR(D920/G920*100000,"")</f>
        <v>0.25011755525096796</v>
      </c>
    </row>
    <row r="921" spans="1:8" ht="15" customHeight="1" x14ac:dyDescent="0.3">
      <c r="A921" s="20" t="s">
        <v>17</v>
      </c>
      <c r="B921" s="20">
        <v>2021</v>
      </c>
      <c r="C921" s="20" t="s">
        <v>96</v>
      </c>
      <c r="D921" s="20">
        <v>32</v>
      </c>
      <c r="E921" s="20">
        <v>0</v>
      </c>
      <c r="F921" s="22">
        <f>IFERROR(E921/D921*100,"")</f>
        <v>0</v>
      </c>
      <c r="G921" s="23">
        <f>IFERROR(INDEX(Population_by_Province_Year!$B$5:$J$29,MATCH($A921,Population_by_Province_Year!$A$5:$A$29,0),MATCH($B921,Population_by_Province_Year!$B$4:$J$4,0)),"")</f>
        <v>2434531</v>
      </c>
      <c r="H921" s="22">
        <f>IFERROR(D921/G921*100000,"")</f>
        <v>1.3144215456693713</v>
      </c>
    </row>
    <row r="922" spans="1:8" ht="15" customHeight="1" x14ac:dyDescent="0.3">
      <c r="A922" s="20" t="s">
        <v>20</v>
      </c>
      <c r="B922" s="20">
        <v>2021</v>
      </c>
      <c r="C922" s="20" t="s">
        <v>96</v>
      </c>
      <c r="D922" s="20">
        <v>2</v>
      </c>
      <c r="E922" s="20">
        <v>0</v>
      </c>
      <c r="F922" s="22">
        <f>IFERROR(E922/D922*100,"")</f>
        <v>0</v>
      </c>
      <c r="G922" s="23">
        <f>IFERROR(INDEX(Population_by_Province_Year!$B$5:$J$29,MATCH($A922,Population_by_Province_Year!$A$5:$A$29,0),MATCH($B922,Population_by_Province_Year!$B$4:$J$4,0)),"")</f>
        <v>1128443</v>
      </c>
      <c r="H922" s="22">
        <f>IFERROR(D922/G922*100000,"")</f>
        <v>0.17723535880855301</v>
      </c>
    </row>
    <row r="923" spans="1:8" ht="15" customHeight="1" x14ac:dyDescent="0.3">
      <c r="A923" s="20" t="s">
        <v>21</v>
      </c>
      <c r="B923" s="20">
        <v>2021</v>
      </c>
      <c r="C923" s="20" t="s">
        <v>96</v>
      </c>
      <c r="D923" s="20">
        <v>1</v>
      </c>
      <c r="E923" s="20">
        <v>0</v>
      </c>
      <c r="F923" s="22">
        <f>IFERROR(E923/D923*100,"")</f>
        <v>0</v>
      </c>
      <c r="G923" s="23">
        <f>IFERROR(INDEX(Population_by_Province_Year!$B$5:$J$29,MATCH($A923,Population_by_Province_Year!$A$5:$A$29,0),MATCH($B923,Population_by_Province_Year!$B$4:$J$4,0)),"")</f>
        <v>448032</v>
      </c>
      <c r="H923" s="22">
        <f>IFERROR(D923/G923*100000,"")</f>
        <v>0.22319834297550176</v>
      </c>
    </row>
    <row r="924" spans="1:8" ht="15" customHeight="1" x14ac:dyDescent="0.3">
      <c r="A924" s="20" t="s">
        <v>23</v>
      </c>
      <c r="B924" s="20">
        <v>2021</v>
      </c>
      <c r="C924" s="20" t="s">
        <v>96</v>
      </c>
      <c r="D924" s="20">
        <v>2</v>
      </c>
      <c r="E924" s="20">
        <v>0</v>
      </c>
      <c r="F924" s="22">
        <f>IFERROR(E924/D924*100,"")</f>
        <v>0</v>
      </c>
      <c r="G924" s="23">
        <f>IFERROR(INDEX(Population_by_Province_Year!$B$5:$J$29,MATCH($A924,Population_by_Province_Year!$A$5:$A$29,0),MATCH($B924,Population_by_Province_Year!$B$4:$J$4,0)),"")</f>
        <v>1082049</v>
      </c>
      <c r="H924" s="22">
        <f>IFERROR(D924/G924*100000,"")</f>
        <v>0.18483451303961282</v>
      </c>
    </row>
    <row r="925" spans="1:8" ht="15" customHeight="1" x14ac:dyDescent="0.3">
      <c r="A925" s="20" t="s">
        <v>24</v>
      </c>
      <c r="B925" s="20">
        <v>2021</v>
      </c>
      <c r="C925" s="20" t="s">
        <v>96</v>
      </c>
      <c r="D925" s="20">
        <v>1</v>
      </c>
      <c r="E925" s="20">
        <v>0</v>
      </c>
      <c r="F925" s="22">
        <f>IFERROR(E925/D925*100,"")</f>
        <v>0</v>
      </c>
      <c r="G925" s="23">
        <f>IFERROR(INDEX(Population_by_Province_Year!$B$5:$J$29,MATCH($A925,Population_by_Province_Year!$A$5:$A$29,0),MATCH($B925,Population_by_Province_Year!$B$4:$J$4,0)),"")</f>
        <v>176793</v>
      </c>
      <c r="H925" s="22">
        <f>IFERROR(D925/G925*100000,"")</f>
        <v>0.5656332547103109</v>
      </c>
    </row>
    <row r="926" spans="1:8" ht="15" customHeight="1" x14ac:dyDescent="0.3">
      <c r="A926" s="20" t="s">
        <v>25</v>
      </c>
      <c r="B926" s="20">
        <v>2021</v>
      </c>
      <c r="C926" s="20" t="s">
        <v>96</v>
      </c>
      <c r="D926" s="20">
        <v>1</v>
      </c>
      <c r="E926" s="20">
        <v>0</v>
      </c>
      <c r="F926" s="22">
        <f>IFERROR(E926/D926*100,"")</f>
        <v>0</v>
      </c>
      <c r="G926" s="23">
        <f>IFERROR(INDEX(Population_by_Province_Year!$B$5:$J$29,MATCH($A926,Population_by_Province_Year!$A$5:$A$29,0),MATCH($B926,Population_by_Province_Year!$B$4:$J$4,0)),"")</f>
        <v>560634</v>
      </c>
      <c r="H926" s="22">
        <f>IFERROR(D926/G926*100000,"")</f>
        <v>0.17836948882871892</v>
      </c>
    </row>
    <row r="927" spans="1:8" ht="15" customHeight="1" x14ac:dyDescent="0.3">
      <c r="A927" s="20" t="s">
        <v>26</v>
      </c>
      <c r="B927" s="20">
        <v>2021</v>
      </c>
      <c r="C927" s="20" t="s">
        <v>96</v>
      </c>
      <c r="D927" s="20">
        <v>9</v>
      </c>
      <c r="E927" s="20">
        <v>0</v>
      </c>
      <c r="F927" s="22">
        <f>IFERROR(E927/D927*100,"")</f>
        <v>0</v>
      </c>
      <c r="G927" s="23">
        <f>IFERROR(INDEX(Population_by_Province_Year!$B$5:$J$29,MATCH($A927,Population_by_Province_Year!$A$5:$A$29,0),MATCH($B927,Population_by_Province_Year!$B$4:$J$4,0)),"")</f>
        <v>961152</v>
      </c>
      <c r="H927" s="22">
        <f>IFERROR(D927/G927*100000,"")</f>
        <v>0.93637634838194161</v>
      </c>
    </row>
    <row r="928" spans="1:8" ht="15" customHeight="1" x14ac:dyDescent="0.3">
      <c r="A928" s="20" t="s">
        <v>27</v>
      </c>
      <c r="B928" s="20">
        <v>2021</v>
      </c>
      <c r="C928" s="20" t="s">
        <v>96</v>
      </c>
      <c r="D928" s="20">
        <v>3</v>
      </c>
      <c r="E928" s="20">
        <v>0</v>
      </c>
      <c r="F928" s="22">
        <f>IFERROR(E928/D928*100,"")</f>
        <v>0</v>
      </c>
      <c r="G928" s="23">
        <f>IFERROR(INDEX(Population_by_Province_Year!$B$5:$J$29,MATCH($A928,Population_by_Province_Year!$A$5:$A$29,0),MATCH($B928,Population_by_Province_Year!$B$4:$J$4,0)),"")</f>
        <v>828783</v>
      </c>
      <c r="H928" s="22">
        <f>IFERROR(D928/G928*100000,"")</f>
        <v>0.36197653668089236</v>
      </c>
    </row>
    <row r="929" spans="1:8" ht="15" customHeight="1" x14ac:dyDescent="0.3">
      <c r="A929" s="20" t="s">
        <v>3</v>
      </c>
      <c r="B929" s="20">
        <v>2021</v>
      </c>
      <c r="C929" s="20" t="s">
        <v>104</v>
      </c>
      <c r="D929" s="20">
        <v>1</v>
      </c>
      <c r="E929" s="20">
        <v>0</v>
      </c>
      <c r="F929" s="22">
        <f>IFERROR(E929/D929*100,"")</f>
        <v>0</v>
      </c>
      <c r="G929" s="23">
        <f>IFERROR(INDEX(Population_by_Province_Year!$B$5:$J$29,MATCH($A929,Population_by_Province_Year!$A$5:$A$29,0),MATCH($B929,Population_by_Province_Year!$B$4:$J$4,0)),"")</f>
        <v>919512</v>
      </c>
      <c r="H929" s="22">
        <f>IFERROR(D929/G929*100000,"")</f>
        <v>0.10875333872749893</v>
      </c>
    </row>
    <row r="930" spans="1:8" ht="15" customHeight="1" x14ac:dyDescent="0.3">
      <c r="A930" s="20" t="s">
        <v>4</v>
      </c>
      <c r="B930" s="20">
        <v>2021</v>
      </c>
      <c r="C930" s="20" t="s">
        <v>104</v>
      </c>
      <c r="D930" s="20">
        <v>1</v>
      </c>
      <c r="E930" s="20">
        <v>0</v>
      </c>
      <c r="F930" s="22">
        <f>IFERROR(E930/D930*100,"")</f>
        <v>0</v>
      </c>
      <c r="G930" s="23">
        <f>IFERROR(INDEX(Population_by_Province_Year!$B$5:$J$29,MATCH($A930,Population_by_Province_Year!$A$5:$A$29,0),MATCH($B930,Population_by_Province_Year!$B$4:$J$4,0)),"")</f>
        <v>1063843</v>
      </c>
      <c r="H930" s="22">
        <f>IFERROR(D930/G930*100000,"")</f>
        <v>9.3998832534499921E-2</v>
      </c>
    </row>
    <row r="931" spans="1:8" ht="15" customHeight="1" x14ac:dyDescent="0.3">
      <c r="A931" s="20" t="s">
        <v>5</v>
      </c>
      <c r="B931" s="20">
        <v>2021</v>
      </c>
      <c r="C931" s="20" t="s">
        <v>104</v>
      </c>
      <c r="D931" s="20">
        <v>6</v>
      </c>
      <c r="E931" s="20">
        <v>0</v>
      </c>
      <c r="F931" s="22">
        <f>IFERROR(E931/D931*100,"")</f>
        <v>0</v>
      </c>
      <c r="G931" s="23">
        <f>IFERROR(INDEX(Population_by_Province_Year!$B$5:$J$29,MATCH($A931,Population_by_Province_Year!$A$5:$A$29,0),MATCH($B931,Population_by_Province_Year!$B$4:$J$4,0)),"")</f>
        <v>959954</v>
      </c>
      <c r="H931" s="22">
        <f>IFERROR(D931/G931*100000,"")</f>
        <v>0.62502994935173983</v>
      </c>
    </row>
    <row r="932" spans="1:8" ht="15" customHeight="1" x14ac:dyDescent="0.3">
      <c r="A932" s="20" t="s">
        <v>6</v>
      </c>
      <c r="B932" s="20">
        <v>2021</v>
      </c>
      <c r="C932" s="20" t="s">
        <v>104</v>
      </c>
      <c r="D932" s="20">
        <v>1</v>
      </c>
      <c r="E932" s="20">
        <v>0</v>
      </c>
      <c r="F932" s="22">
        <f>IFERROR(E932/D932*100,"")</f>
        <v>0</v>
      </c>
      <c r="G932" s="23">
        <f>IFERROR(INDEX(Population_by_Province_Year!$B$5:$J$29,MATCH($A932,Population_by_Province_Year!$A$5:$A$29,0),MATCH($B932,Population_by_Province_Year!$B$4:$J$4,0)),"")</f>
        <v>562266</v>
      </c>
      <c r="H932" s="22">
        <f>IFERROR(D932/G932*100000,"")</f>
        <v>0.17785176411164821</v>
      </c>
    </row>
    <row r="933" spans="1:8" ht="15" customHeight="1" x14ac:dyDescent="0.3">
      <c r="A933" s="20" t="s">
        <v>7</v>
      </c>
      <c r="B933" s="20">
        <v>2021</v>
      </c>
      <c r="C933" s="20" t="s">
        <v>104</v>
      </c>
      <c r="D933" s="20">
        <v>11</v>
      </c>
      <c r="E933" s="20">
        <v>0</v>
      </c>
      <c r="F933" s="22">
        <f>IFERROR(E933/D933*100,"")</f>
        <v>0</v>
      </c>
      <c r="G933" s="23">
        <f>IFERROR(INDEX(Population_by_Province_Year!$B$5:$J$29,MATCH($A933,Population_by_Province_Year!$A$5:$A$29,0),MATCH($B933,Population_by_Province_Year!$B$4:$J$4,0)),"")</f>
        <v>936197</v>
      </c>
      <c r="H933" s="22">
        <f>IFERROR(D933/G933*100000,"")</f>
        <v>1.1749663799392649</v>
      </c>
    </row>
    <row r="934" spans="1:8" ht="15" customHeight="1" x14ac:dyDescent="0.3">
      <c r="A934" s="20" t="s">
        <v>8</v>
      </c>
      <c r="B934" s="20">
        <v>2021</v>
      </c>
      <c r="C934" s="20" t="s">
        <v>104</v>
      </c>
      <c r="D934" s="20">
        <v>2</v>
      </c>
      <c r="E934" s="20">
        <v>0</v>
      </c>
      <c r="F934" s="22">
        <f>IFERROR(E934/D934*100,"")</f>
        <v>0</v>
      </c>
      <c r="G934" s="23">
        <f>IFERROR(INDEX(Population_by_Province_Year!$B$5:$J$29,MATCH($A934,Population_by_Province_Year!$A$5:$A$29,0),MATCH($B934,Population_by_Province_Year!$B$4:$J$4,0)),"")</f>
        <v>727120</v>
      </c>
      <c r="H934" s="22">
        <f>IFERROR(D934/G934*100000,"")</f>
        <v>0.27505776213004729</v>
      </c>
    </row>
    <row r="935" spans="1:8" ht="15" customHeight="1" x14ac:dyDescent="0.3">
      <c r="A935" s="20" t="s">
        <v>9</v>
      </c>
      <c r="B935" s="20">
        <v>2021</v>
      </c>
      <c r="C935" s="20" t="s">
        <v>104</v>
      </c>
      <c r="D935" s="20">
        <v>1</v>
      </c>
      <c r="E935" s="20">
        <v>0</v>
      </c>
      <c r="F935" s="22">
        <f>IFERROR(E935/D935*100,"")</f>
        <v>0</v>
      </c>
      <c r="G935" s="23">
        <f>IFERROR(INDEX(Population_by_Province_Year!$B$5:$J$29,MATCH($A935,Population_by_Province_Year!$A$5:$A$29,0),MATCH($B935,Population_by_Province_Year!$B$4:$J$4,0)),"")</f>
        <v>633535</v>
      </c>
      <c r="H935" s="22">
        <f>IFERROR(D935/G935*100000,"")</f>
        <v>0.15784447583795685</v>
      </c>
    </row>
    <row r="936" spans="1:8" ht="15" customHeight="1" x14ac:dyDescent="0.3">
      <c r="A936" s="20" t="s">
        <v>10</v>
      </c>
      <c r="B936" s="20">
        <v>2021</v>
      </c>
      <c r="C936" s="20" t="s">
        <v>104</v>
      </c>
      <c r="D936" s="20">
        <v>4</v>
      </c>
      <c r="E936" s="20">
        <v>0</v>
      </c>
      <c r="F936" s="22">
        <f>IFERROR(E936/D936*100,"")</f>
        <v>0</v>
      </c>
      <c r="G936" s="23">
        <f>IFERROR(INDEX(Population_by_Province_Year!$B$5:$J$29,MATCH($A936,Population_by_Province_Year!$A$5:$A$29,0),MATCH($B936,Population_by_Province_Year!$B$4:$J$4,0)),"")</f>
        <v>1281923</v>
      </c>
      <c r="H936" s="22">
        <f>IFERROR(D936/G936*100000,"")</f>
        <v>0.31203122184405768</v>
      </c>
    </row>
    <row r="937" spans="1:8" ht="15" customHeight="1" x14ac:dyDescent="0.3">
      <c r="A937" s="20" t="s">
        <v>13</v>
      </c>
      <c r="B937" s="20">
        <v>2021</v>
      </c>
      <c r="C937" s="20" t="s">
        <v>104</v>
      </c>
      <c r="D937" s="20">
        <v>6</v>
      </c>
      <c r="E937" s="20">
        <v>0</v>
      </c>
      <c r="F937" s="22">
        <f>IFERROR(E937/D937*100,"")</f>
        <v>0</v>
      </c>
      <c r="G937" s="23">
        <f>IFERROR(INDEX(Population_by_Province_Year!$B$5:$J$29,MATCH($A937,Population_by_Province_Year!$A$5:$A$29,0),MATCH($B937,Population_by_Province_Year!$B$4:$J$4,0)),"")</f>
        <v>399812</v>
      </c>
      <c r="H937" s="22">
        <f>IFERROR(D937/G937*100000,"")</f>
        <v>1.5007053315058079</v>
      </c>
    </row>
    <row r="938" spans="1:8" ht="15" customHeight="1" x14ac:dyDescent="0.3">
      <c r="A938" s="20" t="s">
        <v>17</v>
      </c>
      <c r="B938" s="20">
        <v>2021</v>
      </c>
      <c r="C938" s="20" t="s">
        <v>104</v>
      </c>
      <c r="D938" s="20">
        <v>25</v>
      </c>
      <c r="E938" s="20">
        <v>0</v>
      </c>
      <c r="F938" s="22">
        <f>IFERROR(E938/D938*100,"")</f>
        <v>0</v>
      </c>
      <c r="G938" s="23">
        <f>IFERROR(INDEX(Population_by_Province_Year!$B$5:$J$29,MATCH($A938,Population_by_Province_Year!$A$5:$A$29,0),MATCH($B938,Population_by_Province_Year!$B$4:$J$4,0)),"")</f>
        <v>2434531</v>
      </c>
      <c r="H938" s="22">
        <f>IFERROR(D938/G938*100000,"")</f>
        <v>1.0268918325541962</v>
      </c>
    </row>
    <row r="939" spans="1:8" ht="15" customHeight="1" x14ac:dyDescent="0.3">
      <c r="A939" s="20" t="s">
        <v>18</v>
      </c>
      <c r="B939" s="20">
        <v>2021</v>
      </c>
      <c r="C939" s="20" t="s">
        <v>104</v>
      </c>
      <c r="D939" s="20">
        <v>6</v>
      </c>
      <c r="E939" s="20">
        <v>0</v>
      </c>
      <c r="F939" s="22">
        <f>IFERROR(E939/D939*100,"")</f>
        <v>0</v>
      </c>
      <c r="G939" s="23">
        <f>IFERROR(INDEX(Population_by_Province_Year!$B$5:$J$29,MATCH($A939,Population_by_Province_Year!$A$5:$A$29,0),MATCH($B939,Population_by_Province_Year!$B$4:$J$4,0)),"")</f>
        <v>330805</v>
      </c>
      <c r="H939" s="22">
        <f>IFERROR(D939/G939*100000,"")</f>
        <v>1.8137573494959265</v>
      </c>
    </row>
    <row r="940" spans="1:8" ht="15" customHeight="1" x14ac:dyDescent="0.3">
      <c r="A940" s="20" t="s">
        <v>22</v>
      </c>
      <c r="B940" s="20">
        <v>2021</v>
      </c>
      <c r="C940" s="20" t="s">
        <v>104</v>
      </c>
      <c r="D940" s="20">
        <v>2</v>
      </c>
      <c r="E940" s="20">
        <v>0</v>
      </c>
      <c r="F940" s="22">
        <f>IFERROR(E940/D940*100,"")</f>
        <v>0</v>
      </c>
      <c r="G940" s="23">
        <f>IFERROR(INDEX(Population_by_Province_Year!$B$5:$J$29,MATCH($A940,Population_by_Province_Year!$A$5:$A$29,0),MATCH($B940,Population_by_Province_Year!$B$4:$J$4,0)),"")</f>
        <v>231993</v>
      </c>
      <c r="H940" s="22">
        <f>IFERROR(D940/G940*100000,"")</f>
        <v>0.86209497700361648</v>
      </c>
    </row>
    <row r="941" spans="1:8" ht="15" customHeight="1" x14ac:dyDescent="0.3">
      <c r="A941" s="20" t="s">
        <v>23</v>
      </c>
      <c r="B941" s="20">
        <v>2021</v>
      </c>
      <c r="C941" s="20" t="s">
        <v>104</v>
      </c>
      <c r="D941" s="20">
        <v>6</v>
      </c>
      <c r="E941" s="20">
        <v>0</v>
      </c>
      <c r="F941" s="22">
        <f>IFERROR(E941/D941*100,"")</f>
        <v>0</v>
      </c>
      <c r="G941" s="23">
        <f>IFERROR(INDEX(Population_by_Province_Year!$B$5:$J$29,MATCH($A941,Population_by_Province_Year!$A$5:$A$29,0),MATCH($B941,Population_by_Province_Year!$B$4:$J$4,0)),"")</f>
        <v>1082049</v>
      </c>
      <c r="H941" s="22">
        <f>IFERROR(D941/G941*100000,"")</f>
        <v>0.55450353911883843</v>
      </c>
    </row>
    <row r="942" spans="1:8" ht="15" customHeight="1" x14ac:dyDescent="0.3">
      <c r="A942" s="20" t="s">
        <v>25</v>
      </c>
      <c r="B942" s="20">
        <v>2021</v>
      </c>
      <c r="C942" s="20" t="s">
        <v>104</v>
      </c>
      <c r="D942" s="20">
        <v>7</v>
      </c>
      <c r="E942" s="20">
        <v>0</v>
      </c>
      <c r="F942" s="22">
        <f>IFERROR(E942/D942*100,"")</f>
        <v>0</v>
      </c>
      <c r="G942" s="23">
        <f>IFERROR(INDEX(Population_by_Province_Year!$B$5:$J$29,MATCH($A942,Population_by_Province_Year!$A$5:$A$29,0),MATCH($B942,Population_by_Province_Year!$B$4:$J$4,0)),"")</f>
        <v>560634</v>
      </c>
      <c r="H942" s="22">
        <f>IFERROR(D942/G942*100000,"")</f>
        <v>1.2485864218010325</v>
      </c>
    </row>
    <row r="943" spans="1:8" ht="15" customHeight="1" x14ac:dyDescent="0.3">
      <c r="A943" s="20" t="s">
        <v>26</v>
      </c>
      <c r="B943" s="20">
        <v>2021</v>
      </c>
      <c r="C943" s="20" t="s">
        <v>104</v>
      </c>
      <c r="D943" s="20">
        <v>5</v>
      </c>
      <c r="E943" s="20">
        <v>0</v>
      </c>
      <c r="F943" s="22">
        <f>IFERROR(E943/D943*100,"")</f>
        <v>0</v>
      </c>
      <c r="G943" s="23">
        <f>IFERROR(INDEX(Population_by_Province_Year!$B$5:$J$29,MATCH($A943,Population_by_Province_Year!$A$5:$A$29,0),MATCH($B943,Population_by_Province_Year!$B$4:$J$4,0)),"")</f>
        <v>961152</v>
      </c>
      <c r="H943" s="22">
        <f>IFERROR(D943/G943*100000,"")</f>
        <v>0.520209082434412</v>
      </c>
    </row>
    <row r="944" spans="1:8" ht="15" customHeight="1" x14ac:dyDescent="0.3">
      <c r="A944" s="20" t="s">
        <v>27</v>
      </c>
      <c r="B944" s="20">
        <v>2021</v>
      </c>
      <c r="C944" s="20" t="s">
        <v>104</v>
      </c>
      <c r="D944" s="20">
        <v>3</v>
      </c>
      <c r="E944" s="20">
        <v>0</v>
      </c>
      <c r="F944" s="22">
        <f>IFERROR(E944/D944*100,"")</f>
        <v>0</v>
      </c>
      <c r="G944" s="23">
        <f>IFERROR(INDEX(Population_by_Province_Year!$B$5:$J$29,MATCH($A944,Population_by_Province_Year!$A$5:$A$29,0),MATCH($B944,Population_by_Province_Year!$B$4:$J$4,0)),"")</f>
        <v>828783</v>
      </c>
      <c r="H944" s="22">
        <f>IFERROR(D944/G944*100000,"")</f>
        <v>0.36197653668089236</v>
      </c>
    </row>
    <row r="945" spans="1:8" ht="15" customHeight="1" x14ac:dyDescent="0.3">
      <c r="A945" s="20" t="s">
        <v>3</v>
      </c>
      <c r="B945" s="20">
        <v>2021</v>
      </c>
      <c r="C945" s="20" t="s">
        <v>102</v>
      </c>
      <c r="D945" s="20">
        <v>2</v>
      </c>
      <c r="E945" s="20">
        <v>0</v>
      </c>
      <c r="F945" s="22">
        <f>IFERROR(E945/D945*100,"")</f>
        <v>0</v>
      </c>
      <c r="G945" s="23">
        <f>IFERROR(INDEX(Population_by_Province_Year!$B$5:$J$29,MATCH($A945,Population_by_Province_Year!$A$5:$A$29,0),MATCH($B945,Population_by_Province_Year!$B$4:$J$4,0)),"")</f>
        <v>919512</v>
      </c>
      <c r="H945" s="22">
        <f>IFERROR(D945/G945*100000,"")</f>
        <v>0.21750667745499785</v>
      </c>
    </row>
    <row r="946" spans="1:8" ht="15" customHeight="1" x14ac:dyDescent="0.3">
      <c r="A946" s="20" t="s">
        <v>4</v>
      </c>
      <c r="B946" s="20">
        <v>2021</v>
      </c>
      <c r="C946" s="20" t="s">
        <v>102</v>
      </c>
      <c r="D946" s="20">
        <v>7</v>
      </c>
      <c r="E946" s="20">
        <v>0</v>
      </c>
      <c r="F946" s="22">
        <f>IFERROR(E946/D946*100,"")</f>
        <v>0</v>
      </c>
      <c r="G946" s="23">
        <f>IFERROR(INDEX(Population_by_Province_Year!$B$5:$J$29,MATCH($A946,Population_by_Province_Year!$A$5:$A$29,0),MATCH($B946,Population_by_Province_Year!$B$4:$J$4,0)),"")</f>
        <v>1063843</v>
      </c>
      <c r="H946" s="22">
        <f>IFERROR(D946/G946*100000,"")</f>
        <v>0.65799182774149945</v>
      </c>
    </row>
    <row r="947" spans="1:8" ht="15" customHeight="1" x14ac:dyDescent="0.3">
      <c r="A947" s="20" t="s">
        <v>5</v>
      </c>
      <c r="B947" s="20">
        <v>2021</v>
      </c>
      <c r="C947" s="20" t="s">
        <v>102</v>
      </c>
      <c r="D947" s="20">
        <v>6</v>
      </c>
      <c r="E947" s="20">
        <v>0</v>
      </c>
      <c r="F947" s="22">
        <f>IFERROR(E947/D947*100,"")</f>
        <v>0</v>
      </c>
      <c r="G947" s="23">
        <f>IFERROR(INDEX(Population_by_Province_Year!$B$5:$J$29,MATCH($A947,Population_by_Province_Year!$A$5:$A$29,0),MATCH($B947,Population_by_Province_Year!$B$4:$J$4,0)),"")</f>
        <v>959954</v>
      </c>
      <c r="H947" s="22">
        <f>IFERROR(D947/G947*100000,"")</f>
        <v>0.62502994935173983</v>
      </c>
    </row>
    <row r="948" spans="1:8" ht="15" customHeight="1" x14ac:dyDescent="0.3">
      <c r="A948" s="20" t="s">
        <v>6</v>
      </c>
      <c r="B948" s="20">
        <v>2021</v>
      </c>
      <c r="C948" s="20" t="s">
        <v>102</v>
      </c>
      <c r="D948" s="20">
        <v>13</v>
      </c>
      <c r="E948" s="20">
        <v>0</v>
      </c>
      <c r="F948" s="22">
        <f>IFERROR(E948/D948*100,"")</f>
        <v>0</v>
      </c>
      <c r="G948" s="23">
        <f>IFERROR(INDEX(Population_by_Province_Year!$B$5:$J$29,MATCH($A948,Population_by_Province_Year!$A$5:$A$29,0),MATCH($B948,Population_by_Province_Year!$B$4:$J$4,0)),"")</f>
        <v>562266</v>
      </c>
      <c r="H948" s="22">
        <f>IFERROR(D948/G948*100000,"")</f>
        <v>2.3120729334514269</v>
      </c>
    </row>
    <row r="949" spans="1:8" ht="15" customHeight="1" x14ac:dyDescent="0.3">
      <c r="A949" s="20" t="s">
        <v>7</v>
      </c>
      <c r="B949" s="20">
        <v>2021</v>
      </c>
      <c r="C949" s="20" t="s">
        <v>102</v>
      </c>
      <c r="D949" s="20">
        <v>12</v>
      </c>
      <c r="E949" s="20">
        <v>0</v>
      </c>
      <c r="F949" s="22">
        <f>IFERROR(E949/D949*100,"")</f>
        <v>0</v>
      </c>
      <c r="G949" s="23">
        <f>IFERROR(INDEX(Population_by_Province_Year!$B$5:$J$29,MATCH($A949,Population_by_Province_Year!$A$5:$A$29,0),MATCH($B949,Population_by_Province_Year!$B$4:$J$4,0)),"")</f>
        <v>936197</v>
      </c>
      <c r="H949" s="22">
        <f>IFERROR(D949/G949*100000,"")</f>
        <v>1.2817815053882891</v>
      </c>
    </row>
    <row r="950" spans="1:8" ht="15" customHeight="1" x14ac:dyDescent="0.3">
      <c r="A950" s="20" t="s">
        <v>8</v>
      </c>
      <c r="B950" s="20">
        <v>2021</v>
      </c>
      <c r="C950" s="20" t="s">
        <v>102</v>
      </c>
      <c r="D950" s="20">
        <v>10</v>
      </c>
      <c r="E950" s="20">
        <v>0</v>
      </c>
      <c r="F950" s="22">
        <f>IFERROR(E950/D950*100,"")</f>
        <v>0</v>
      </c>
      <c r="G950" s="23">
        <f>IFERROR(INDEX(Population_by_Province_Year!$B$5:$J$29,MATCH($A950,Population_by_Province_Year!$A$5:$A$29,0),MATCH($B950,Population_by_Province_Year!$B$4:$J$4,0)),"")</f>
        <v>727120</v>
      </c>
      <c r="H950" s="22">
        <f>IFERROR(D950/G950*100000,"")</f>
        <v>1.3752888106502366</v>
      </c>
    </row>
    <row r="951" spans="1:8" ht="15" customHeight="1" x14ac:dyDescent="0.3">
      <c r="A951" s="20" t="s">
        <v>10</v>
      </c>
      <c r="B951" s="20">
        <v>2021</v>
      </c>
      <c r="C951" s="20" t="s">
        <v>102</v>
      </c>
      <c r="D951" s="20">
        <v>19</v>
      </c>
      <c r="E951" s="20">
        <v>0</v>
      </c>
      <c r="F951" s="22">
        <f>IFERROR(E951/D951*100,"")</f>
        <v>0</v>
      </c>
      <c r="G951" s="23">
        <f>IFERROR(INDEX(Population_by_Province_Year!$B$5:$J$29,MATCH($A951,Population_by_Province_Year!$A$5:$A$29,0),MATCH($B951,Population_by_Province_Year!$B$4:$J$4,0)),"")</f>
        <v>1281923</v>
      </c>
      <c r="H951" s="22">
        <f>IFERROR(D951/G951*100000,"")</f>
        <v>1.4821483037592742</v>
      </c>
    </row>
    <row r="952" spans="1:8" ht="15" customHeight="1" x14ac:dyDescent="0.3">
      <c r="A952" s="20" t="s">
        <v>13</v>
      </c>
      <c r="B952" s="20">
        <v>2021</v>
      </c>
      <c r="C952" s="20" t="s">
        <v>102</v>
      </c>
      <c r="D952" s="20">
        <v>10</v>
      </c>
      <c r="E952" s="20">
        <v>0</v>
      </c>
      <c r="F952" s="22">
        <f>IFERROR(E952/D952*100,"")</f>
        <v>0</v>
      </c>
      <c r="G952" s="23">
        <f>IFERROR(INDEX(Population_by_Province_Year!$B$5:$J$29,MATCH($A952,Population_by_Province_Year!$A$5:$A$29,0),MATCH($B952,Population_by_Province_Year!$B$4:$J$4,0)),"")</f>
        <v>399812</v>
      </c>
      <c r="H952" s="22">
        <f>IFERROR(D952/G952*100000,"")</f>
        <v>2.5011755525096797</v>
      </c>
    </row>
    <row r="953" spans="1:8" ht="15" customHeight="1" x14ac:dyDescent="0.3">
      <c r="A953" s="20" t="s">
        <v>14</v>
      </c>
      <c r="B953" s="20">
        <v>2021</v>
      </c>
      <c r="C953" s="20" t="s">
        <v>102</v>
      </c>
      <c r="D953" s="20">
        <v>1</v>
      </c>
      <c r="E953" s="20">
        <v>0</v>
      </c>
      <c r="F953" s="22">
        <f>IFERROR(E953/D953*100,"")</f>
        <v>0</v>
      </c>
      <c r="G953" s="23">
        <f>IFERROR(INDEX(Population_by_Province_Year!$B$5:$J$29,MATCH($A953,Population_by_Province_Year!$A$5:$A$29,0),MATCH($B953,Population_by_Province_Year!$B$4:$J$4,0)),"")</f>
        <v>98379</v>
      </c>
      <c r="H953" s="22">
        <f>IFERROR(D953/G953*100000,"")</f>
        <v>1.0164770936886938</v>
      </c>
    </row>
    <row r="954" spans="1:8" ht="15" customHeight="1" x14ac:dyDescent="0.3">
      <c r="A954" s="20" t="s">
        <v>15</v>
      </c>
      <c r="B954" s="20">
        <v>2021</v>
      </c>
      <c r="C954" s="20" t="s">
        <v>102</v>
      </c>
      <c r="D954" s="20">
        <v>2</v>
      </c>
      <c r="E954" s="20">
        <v>0</v>
      </c>
      <c r="F954" s="22">
        <f>IFERROR(E954/D954*100,"")</f>
        <v>0</v>
      </c>
      <c r="G954" s="23">
        <f>IFERROR(INDEX(Population_by_Province_Year!$B$5:$J$29,MATCH($A954,Population_by_Province_Year!$A$5:$A$29,0),MATCH($B954,Population_by_Province_Year!$B$4:$J$4,0)),"")</f>
        <v>294495</v>
      </c>
      <c r="H954" s="22">
        <f>IFERROR(D954/G954*100000,"")</f>
        <v>0.67912867790624631</v>
      </c>
    </row>
    <row r="955" spans="1:8" ht="15" customHeight="1" x14ac:dyDescent="0.3">
      <c r="A955" s="20" t="s">
        <v>17</v>
      </c>
      <c r="B955" s="20">
        <v>2021</v>
      </c>
      <c r="C955" s="20" t="s">
        <v>102</v>
      </c>
      <c r="D955" s="20">
        <v>31</v>
      </c>
      <c r="E955" s="20">
        <v>0</v>
      </c>
      <c r="F955" s="22">
        <f>IFERROR(E955/D955*100,"")</f>
        <v>0</v>
      </c>
      <c r="G955" s="23">
        <f>IFERROR(INDEX(Population_by_Province_Year!$B$5:$J$29,MATCH($A955,Population_by_Province_Year!$A$5:$A$29,0),MATCH($B955,Population_by_Province_Year!$B$4:$J$4,0)),"")</f>
        <v>2434531</v>
      </c>
      <c r="H955" s="22">
        <f>IFERROR(D955/G955*100000,"")</f>
        <v>1.2733458723672033</v>
      </c>
    </row>
    <row r="956" spans="1:8" ht="15" customHeight="1" x14ac:dyDescent="0.3">
      <c r="A956" s="20" t="s">
        <v>18</v>
      </c>
      <c r="B956" s="20">
        <v>2021</v>
      </c>
      <c r="C956" s="20" t="s">
        <v>102</v>
      </c>
      <c r="D956" s="20">
        <v>7</v>
      </c>
      <c r="E956" s="20">
        <v>0</v>
      </c>
      <c r="F956" s="22">
        <f>IFERROR(E956/D956*100,"")</f>
        <v>0</v>
      </c>
      <c r="G956" s="23">
        <f>IFERROR(INDEX(Population_by_Province_Year!$B$5:$J$29,MATCH($A956,Population_by_Province_Year!$A$5:$A$29,0),MATCH($B956,Population_by_Province_Year!$B$4:$J$4,0)),"")</f>
        <v>330805</v>
      </c>
      <c r="H956" s="22">
        <f>IFERROR(D956/G956*100000,"")</f>
        <v>2.1160502410785811</v>
      </c>
    </row>
    <row r="957" spans="1:8" ht="15" customHeight="1" x14ac:dyDescent="0.3">
      <c r="A957" s="20" t="s">
        <v>19</v>
      </c>
      <c r="B957" s="20">
        <v>2021</v>
      </c>
      <c r="C957" s="20" t="s">
        <v>102</v>
      </c>
      <c r="D957" s="20">
        <v>3</v>
      </c>
      <c r="E957" s="20">
        <v>0</v>
      </c>
      <c r="F957" s="22">
        <f>IFERROR(E957/D957*100,"")</f>
        <v>0</v>
      </c>
      <c r="G957" s="23">
        <f>IFERROR(INDEX(Population_by_Province_Year!$B$5:$J$29,MATCH($A957,Population_by_Province_Year!$A$5:$A$29,0),MATCH($B957,Population_by_Province_Year!$B$4:$J$4,0)),"")</f>
        <v>271866</v>
      </c>
      <c r="H957" s="22">
        <f>IFERROR(D957/G957*100000,"")</f>
        <v>1.103484805014235</v>
      </c>
    </row>
    <row r="958" spans="1:8" ht="15" customHeight="1" x14ac:dyDescent="0.3">
      <c r="A958" s="20" t="s">
        <v>20</v>
      </c>
      <c r="B958" s="20">
        <v>2021</v>
      </c>
      <c r="C958" s="20" t="s">
        <v>102</v>
      </c>
      <c r="D958" s="20">
        <v>1</v>
      </c>
      <c r="E958" s="20">
        <v>0</v>
      </c>
      <c r="F958" s="22">
        <f>IFERROR(E958/D958*100,"")</f>
        <v>0</v>
      </c>
      <c r="G958" s="23">
        <f>IFERROR(INDEX(Population_by_Province_Year!$B$5:$J$29,MATCH($A958,Population_by_Province_Year!$A$5:$A$29,0),MATCH($B958,Population_by_Province_Year!$B$4:$J$4,0)),"")</f>
        <v>1128443</v>
      </c>
      <c r="H958" s="22">
        <f>IFERROR(D958/G958*100000,"")</f>
        <v>8.8617679404276506E-2</v>
      </c>
    </row>
    <row r="959" spans="1:8" ht="15" customHeight="1" x14ac:dyDescent="0.3">
      <c r="A959" s="20" t="s">
        <v>21</v>
      </c>
      <c r="B959" s="20">
        <v>2021</v>
      </c>
      <c r="C959" s="20" t="s">
        <v>102</v>
      </c>
      <c r="D959" s="20">
        <v>5</v>
      </c>
      <c r="E959" s="20">
        <v>0</v>
      </c>
      <c r="F959" s="22">
        <f>IFERROR(E959/D959*100,"")</f>
        <v>0</v>
      </c>
      <c r="G959" s="23">
        <f>IFERROR(INDEX(Population_by_Province_Year!$B$5:$J$29,MATCH($A959,Population_by_Province_Year!$A$5:$A$29,0),MATCH($B959,Population_by_Province_Year!$B$4:$J$4,0)),"")</f>
        <v>448032</v>
      </c>
      <c r="H959" s="22">
        <f>IFERROR(D959/G959*100000,"")</f>
        <v>1.1159917148775087</v>
      </c>
    </row>
    <row r="960" spans="1:8" ht="15" customHeight="1" x14ac:dyDescent="0.3">
      <c r="A960" s="20" t="s">
        <v>23</v>
      </c>
      <c r="B960" s="20">
        <v>2021</v>
      </c>
      <c r="C960" s="20" t="s">
        <v>102</v>
      </c>
      <c r="D960" s="20">
        <v>13</v>
      </c>
      <c r="E960" s="20">
        <v>0</v>
      </c>
      <c r="F960" s="22">
        <f>IFERROR(E960/D960*100,"")</f>
        <v>0</v>
      </c>
      <c r="G960" s="23">
        <f>IFERROR(INDEX(Population_by_Province_Year!$B$5:$J$29,MATCH($A960,Population_by_Province_Year!$A$5:$A$29,0),MATCH($B960,Population_by_Province_Year!$B$4:$J$4,0)),"")</f>
        <v>1082049</v>
      </c>
      <c r="H960" s="22">
        <f>IFERROR(D960/G960*100000,"")</f>
        <v>1.2014243347574831</v>
      </c>
    </row>
    <row r="961" spans="1:8" ht="15" customHeight="1" x14ac:dyDescent="0.3">
      <c r="A961" s="20" t="s">
        <v>24</v>
      </c>
      <c r="B961" s="20">
        <v>2021</v>
      </c>
      <c r="C961" s="20" t="s">
        <v>102</v>
      </c>
      <c r="D961" s="20">
        <v>4</v>
      </c>
      <c r="E961" s="20">
        <v>0</v>
      </c>
      <c r="F961" s="22">
        <f>IFERROR(E961/D961*100,"")</f>
        <v>0</v>
      </c>
      <c r="G961" s="23">
        <f>IFERROR(INDEX(Population_by_Province_Year!$B$5:$J$29,MATCH($A961,Population_by_Province_Year!$A$5:$A$29,0),MATCH($B961,Population_by_Province_Year!$B$4:$J$4,0)),"")</f>
        <v>176793</v>
      </c>
      <c r="H961" s="22">
        <f>IFERROR(D961/G961*100000,"")</f>
        <v>2.2625330188412436</v>
      </c>
    </row>
    <row r="962" spans="1:8" ht="15" customHeight="1" x14ac:dyDescent="0.3">
      <c r="A962" s="20" t="s">
        <v>25</v>
      </c>
      <c r="B962" s="20">
        <v>2021</v>
      </c>
      <c r="C962" s="20" t="s">
        <v>102</v>
      </c>
      <c r="D962" s="20">
        <v>3</v>
      </c>
      <c r="E962" s="20">
        <v>0</v>
      </c>
      <c r="F962" s="22">
        <f>IFERROR(E962/D962*100,"")</f>
        <v>0</v>
      </c>
      <c r="G962" s="23">
        <f>IFERROR(INDEX(Population_by_Province_Year!$B$5:$J$29,MATCH($A962,Population_by_Province_Year!$A$5:$A$29,0),MATCH($B962,Population_by_Province_Year!$B$4:$J$4,0)),"")</f>
        <v>560634</v>
      </c>
      <c r="H962" s="22">
        <f>IFERROR(D962/G962*100000,"")</f>
        <v>0.53510846648615673</v>
      </c>
    </row>
    <row r="963" spans="1:8" ht="15" customHeight="1" x14ac:dyDescent="0.3">
      <c r="A963" s="20" t="s">
        <v>26</v>
      </c>
      <c r="B963" s="20">
        <v>2021</v>
      </c>
      <c r="C963" s="20" t="s">
        <v>102</v>
      </c>
      <c r="D963" s="20">
        <v>7</v>
      </c>
      <c r="E963" s="20">
        <v>0</v>
      </c>
      <c r="F963" s="22">
        <f>IFERROR(E963/D963*100,"")</f>
        <v>0</v>
      </c>
      <c r="G963" s="23">
        <f>IFERROR(INDEX(Population_by_Province_Year!$B$5:$J$29,MATCH($A963,Population_by_Province_Year!$A$5:$A$29,0),MATCH($B963,Population_by_Province_Year!$B$4:$J$4,0)),"")</f>
        <v>961152</v>
      </c>
      <c r="H963" s="22">
        <f>IFERROR(D963/G963*100000,"")</f>
        <v>0.72829271540817686</v>
      </c>
    </row>
    <row r="964" spans="1:8" ht="15" customHeight="1" x14ac:dyDescent="0.3">
      <c r="A964" s="20" t="s">
        <v>27</v>
      </c>
      <c r="B964" s="20">
        <v>2021</v>
      </c>
      <c r="C964" s="20" t="s">
        <v>102</v>
      </c>
      <c r="D964" s="20">
        <v>17</v>
      </c>
      <c r="E964" s="20">
        <v>0</v>
      </c>
      <c r="F964" s="22">
        <f>IFERROR(E964/D964*100,"")</f>
        <v>0</v>
      </c>
      <c r="G964" s="23">
        <f>IFERROR(INDEX(Population_by_Province_Year!$B$5:$J$29,MATCH($A964,Population_by_Province_Year!$A$5:$A$29,0),MATCH($B964,Population_by_Province_Year!$B$4:$J$4,0)),"")</f>
        <v>828783</v>
      </c>
      <c r="H964" s="22">
        <f>IFERROR(D964/G964*100000,"")</f>
        <v>2.0512003745250564</v>
      </c>
    </row>
    <row r="965" spans="1:8" ht="15" customHeight="1" x14ac:dyDescent="0.3">
      <c r="A965" s="20" t="s">
        <v>3</v>
      </c>
      <c r="B965" s="20">
        <v>2021</v>
      </c>
      <c r="C965" s="20" t="s">
        <v>101</v>
      </c>
      <c r="D965" s="20">
        <v>3</v>
      </c>
      <c r="E965" s="20">
        <v>0</v>
      </c>
      <c r="F965" s="22">
        <f>IFERROR(E965/D965*100,"")</f>
        <v>0</v>
      </c>
      <c r="G965" s="23">
        <f>IFERROR(INDEX(Population_by_Province_Year!$B$5:$J$29,MATCH($A965,Population_by_Province_Year!$A$5:$A$29,0),MATCH($B965,Population_by_Province_Year!$B$4:$J$4,0)),"")</f>
        <v>919512</v>
      </c>
      <c r="H965" s="22">
        <f>IFERROR(D965/G965*100000,"")</f>
        <v>0.32626001618249684</v>
      </c>
    </row>
    <row r="966" spans="1:8" ht="15" customHeight="1" x14ac:dyDescent="0.3">
      <c r="A966" s="20" t="s">
        <v>5</v>
      </c>
      <c r="B966" s="20">
        <v>2021</v>
      </c>
      <c r="C966" s="20" t="s">
        <v>101</v>
      </c>
      <c r="D966" s="20">
        <v>4</v>
      </c>
      <c r="E966" s="20">
        <v>0</v>
      </c>
      <c r="F966" s="22">
        <f>IFERROR(E966/D966*100,"")</f>
        <v>0</v>
      </c>
      <c r="G966" s="23">
        <f>IFERROR(INDEX(Population_by_Province_Year!$B$5:$J$29,MATCH($A966,Population_by_Province_Year!$A$5:$A$29,0),MATCH($B966,Population_by_Province_Year!$B$4:$J$4,0)),"")</f>
        <v>959954</v>
      </c>
      <c r="H966" s="22">
        <f>IFERROR(D966/G966*100000,"")</f>
        <v>0.41668663290115987</v>
      </c>
    </row>
    <row r="967" spans="1:8" ht="15" customHeight="1" x14ac:dyDescent="0.3">
      <c r="A967" s="20" t="s">
        <v>6</v>
      </c>
      <c r="B967" s="20">
        <v>2021</v>
      </c>
      <c r="C967" s="20" t="s">
        <v>101</v>
      </c>
      <c r="D967" s="20">
        <v>6</v>
      </c>
      <c r="E967" s="20">
        <v>0</v>
      </c>
      <c r="F967" s="22">
        <f>IFERROR(E967/D967*100,"")</f>
        <v>0</v>
      </c>
      <c r="G967" s="23">
        <f>IFERROR(INDEX(Population_by_Province_Year!$B$5:$J$29,MATCH($A967,Population_by_Province_Year!$A$5:$A$29,0),MATCH($B967,Population_by_Province_Year!$B$4:$J$4,0)),"")</f>
        <v>562266</v>
      </c>
      <c r="H967" s="22">
        <f>IFERROR(D967/G967*100000,"")</f>
        <v>1.0671105846698894</v>
      </c>
    </row>
    <row r="968" spans="1:8" ht="15" customHeight="1" x14ac:dyDescent="0.3">
      <c r="A968" s="20" t="s">
        <v>7</v>
      </c>
      <c r="B968" s="20">
        <v>2021</v>
      </c>
      <c r="C968" s="20" t="s">
        <v>101</v>
      </c>
      <c r="D968" s="20">
        <v>16</v>
      </c>
      <c r="E968" s="20">
        <v>0</v>
      </c>
      <c r="F968" s="22">
        <f>IFERROR(E968/D968*100,"")</f>
        <v>0</v>
      </c>
      <c r="G968" s="23">
        <f>IFERROR(INDEX(Population_by_Province_Year!$B$5:$J$29,MATCH($A968,Population_by_Province_Year!$A$5:$A$29,0),MATCH($B968,Population_by_Province_Year!$B$4:$J$4,0)),"")</f>
        <v>936197</v>
      </c>
      <c r="H968" s="22">
        <f>IFERROR(D968/G968*100000,"")</f>
        <v>1.7090420071843853</v>
      </c>
    </row>
    <row r="969" spans="1:8" ht="15" customHeight="1" x14ac:dyDescent="0.3">
      <c r="A969" s="20" t="s">
        <v>8</v>
      </c>
      <c r="B969" s="20">
        <v>2021</v>
      </c>
      <c r="C969" s="20" t="s">
        <v>101</v>
      </c>
      <c r="D969" s="20">
        <v>5</v>
      </c>
      <c r="E969" s="20">
        <v>0</v>
      </c>
      <c r="F969" s="22">
        <f>IFERROR(E969/D969*100,"")</f>
        <v>0</v>
      </c>
      <c r="G969" s="23">
        <f>IFERROR(INDEX(Population_by_Province_Year!$B$5:$J$29,MATCH($A969,Population_by_Province_Year!$A$5:$A$29,0),MATCH($B969,Population_by_Province_Year!$B$4:$J$4,0)),"")</f>
        <v>727120</v>
      </c>
      <c r="H969" s="22">
        <f>IFERROR(D969/G969*100000,"")</f>
        <v>0.68764440532511828</v>
      </c>
    </row>
    <row r="970" spans="1:8" ht="15" customHeight="1" x14ac:dyDescent="0.3">
      <c r="A970" s="20" t="s">
        <v>9</v>
      </c>
      <c r="B970" s="20">
        <v>2021</v>
      </c>
      <c r="C970" s="20" t="s">
        <v>101</v>
      </c>
      <c r="D970" s="20">
        <v>3</v>
      </c>
      <c r="E970" s="20">
        <v>0</v>
      </c>
      <c r="F970" s="22">
        <f>IFERROR(E970/D970*100,"")</f>
        <v>0</v>
      </c>
      <c r="G970" s="23">
        <f>IFERROR(INDEX(Population_by_Province_Year!$B$5:$J$29,MATCH($A970,Population_by_Province_Year!$A$5:$A$29,0),MATCH($B970,Population_by_Province_Year!$B$4:$J$4,0)),"")</f>
        <v>633535</v>
      </c>
      <c r="H970" s="22">
        <f>IFERROR(D970/G970*100000,"")</f>
        <v>0.47353342751387062</v>
      </c>
    </row>
    <row r="971" spans="1:8" ht="15" customHeight="1" x14ac:dyDescent="0.3">
      <c r="A971" s="20" t="s">
        <v>10</v>
      </c>
      <c r="B971" s="20">
        <v>2021</v>
      </c>
      <c r="C971" s="20" t="s">
        <v>101</v>
      </c>
      <c r="D971" s="20">
        <v>15</v>
      </c>
      <c r="E971" s="20">
        <v>0</v>
      </c>
      <c r="F971" s="22">
        <f>IFERROR(E971/D971*100,"")</f>
        <v>0</v>
      </c>
      <c r="G971" s="23">
        <f>IFERROR(INDEX(Population_by_Province_Year!$B$5:$J$29,MATCH($A971,Population_by_Province_Year!$A$5:$A$29,0),MATCH($B971,Population_by_Province_Year!$B$4:$J$4,0)),"")</f>
        <v>1281923</v>
      </c>
      <c r="H971" s="22">
        <f>IFERROR(D971/G971*100000,"")</f>
        <v>1.1701170819152165</v>
      </c>
    </row>
    <row r="972" spans="1:8" ht="15" customHeight="1" x14ac:dyDescent="0.3">
      <c r="A972" s="20" t="s">
        <v>13</v>
      </c>
      <c r="B972" s="20">
        <v>2021</v>
      </c>
      <c r="C972" s="20" t="s">
        <v>101</v>
      </c>
      <c r="D972" s="20">
        <v>8</v>
      </c>
      <c r="E972" s="20">
        <v>0</v>
      </c>
      <c r="F972" s="22">
        <f>IFERROR(E972/D972*100,"")</f>
        <v>0</v>
      </c>
      <c r="G972" s="23">
        <f>IFERROR(INDEX(Population_by_Province_Year!$B$5:$J$29,MATCH($A972,Population_by_Province_Year!$A$5:$A$29,0),MATCH($B972,Population_by_Province_Year!$B$4:$J$4,0)),"")</f>
        <v>399812</v>
      </c>
      <c r="H972" s="22">
        <f>IFERROR(D972/G972*100000,"")</f>
        <v>2.0009404420077437</v>
      </c>
    </row>
    <row r="973" spans="1:8" ht="15" customHeight="1" x14ac:dyDescent="0.3">
      <c r="A973" s="20" t="s">
        <v>17</v>
      </c>
      <c r="B973" s="20">
        <v>2021</v>
      </c>
      <c r="C973" s="20" t="s">
        <v>101</v>
      </c>
      <c r="D973" s="20">
        <v>18</v>
      </c>
      <c r="E973" s="20">
        <v>0</v>
      </c>
      <c r="F973" s="22">
        <f>IFERROR(E973/D973*100,"")</f>
        <v>0</v>
      </c>
      <c r="G973" s="23">
        <f>IFERROR(INDEX(Population_by_Province_Year!$B$5:$J$29,MATCH($A973,Population_by_Province_Year!$A$5:$A$29,0),MATCH($B973,Population_by_Province_Year!$B$4:$J$4,0)),"")</f>
        <v>2434531</v>
      </c>
      <c r="H973" s="22">
        <f>IFERROR(D973/G973*100000,"")</f>
        <v>0.7393621194390213</v>
      </c>
    </row>
    <row r="974" spans="1:8" ht="15" customHeight="1" x14ac:dyDescent="0.3">
      <c r="A974" s="20" t="s">
        <v>18</v>
      </c>
      <c r="B974" s="20">
        <v>2021</v>
      </c>
      <c r="C974" s="20" t="s">
        <v>101</v>
      </c>
      <c r="D974" s="20">
        <v>3</v>
      </c>
      <c r="E974" s="20">
        <v>0</v>
      </c>
      <c r="F974" s="22">
        <f>IFERROR(E974/D974*100,"")</f>
        <v>0</v>
      </c>
      <c r="G974" s="23">
        <f>IFERROR(INDEX(Population_by_Province_Year!$B$5:$J$29,MATCH($A974,Population_by_Province_Year!$A$5:$A$29,0),MATCH($B974,Population_by_Province_Year!$B$4:$J$4,0)),"")</f>
        <v>330805</v>
      </c>
      <c r="H974" s="22">
        <f>IFERROR(D974/G974*100000,"")</f>
        <v>0.90687867474796324</v>
      </c>
    </row>
    <row r="975" spans="1:8" ht="15" customHeight="1" x14ac:dyDescent="0.3">
      <c r="A975" s="20" t="s">
        <v>19</v>
      </c>
      <c r="B975" s="20">
        <v>2021</v>
      </c>
      <c r="C975" s="20" t="s">
        <v>101</v>
      </c>
      <c r="D975" s="20">
        <v>2</v>
      </c>
      <c r="E975" s="20">
        <v>0</v>
      </c>
      <c r="F975" s="22">
        <f>IFERROR(E975/D975*100,"")</f>
        <v>0</v>
      </c>
      <c r="G975" s="23">
        <f>IFERROR(INDEX(Population_by_Province_Year!$B$5:$J$29,MATCH($A975,Population_by_Province_Year!$A$5:$A$29,0),MATCH($B975,Population_by_Province_Year!$B$4:$J$4,0)),"")</f>
        <v>271866</v>
      </c>
      <c r="H975" s="22">
        <f>IFERROR(D975/G975*100000,"")</f>
        <v>0.7356565366761566</v>
      </c>
    </row>
    <row r="976" spans="1:8" ht="15" customHeight="1" x14ac:dyDescent="0.3">
      <c r="A976" s="20" t="s">
        <v>20</v>
      </c>
      <c r="B976" s="20">
        <v>2021</v>
      </c>
      <c r="C976" s="20" t="s">
        <v>101</v>
      </c>
      <c r="D976" s="20">
        <v>2</v>
      </c>
      <c r="E976" s="20">
        <v>0</v>
      </c>
      <c r="F976" s="22">
        <f>IFERROR(E976/D976*100,"")</f>
        <v>0</v>
      </c>
      <c r="G976" s="23">
        <f>IFERROR(INDEX(Population_by_Province_Year!$B$5:$J$29,MATCH($A976,Population_by_Province_Year!$A$5:$A$29,0),MATCH($B976,Population_by_Province_Year!$B$4:$J$4,0)),"")</f>
        <v>1128443</v>
      </c>
      <c r="H976" s="22">
        <f>IFERROR(D976/G976*100000,"")</f>
        <v>0.17723535880855301</v>
      </c>
    </row>
    <row r="977" spans="1:8" ht="15" customHeight="1" x14ac:dyDescent="0.3">
      <c r="A977" s="20" t="s">
        <v>21</v>
      </c>
      <c r="B977" s="20">
        <v>2021</v>
      </c>
      <c r="C977" s="20" t="s">
        <v>101</v>
      </c>
      <c r="D977" s="20">
        <v>9</v>
      </c>
      <c r="E977" s="20">
        <v>0</v>
      </c>
      <c r="F977" s="22">
        <f>IFERROR(E977/D977*100,"")</f>
        <v>0</v>
      </c>
      <c r="G977" s="23">
        <f>IFERROR(INDEX(Population_by_Province_Year!$B$5:$J$29,MATCH($A977,Population_by_Province_Year!$A$5:$A$29,0),MATCH($B977,Population_by_Province_Year!$B$4:$J$4,0)),"")</f>
        <v>448032</v>
      </c>
      <c r="H977" s="22">
        <f>IFERROR(D977/G977*100000,"")</f>
        <v>2.0087850867795161</v>
      </c>
    </row>
    <row r="978" spans="1:8" ht="15" customHeight="1" x14ac:dyDescent="0.3">
      <c r="A978" s="20" t="s">
        <v>23</v>
      </c>
      <c r="B978" s="20">
        <v>2021</v>
      </c>
      <c r="C978" s="20" t="s">
        <v>101</v>
      </c>
      <c r="D978" s="20">
        <v>7</v>
      </c>
      <c r="E978" s="20">
        <v>0</v>
      </c>
      <c r="F978" s="22">
        <f>IFERROR(E978/D978*100,"")</f>
        <v>0</v>
      </c>
      <c r="G978" s="23">
        <f>IFERROR(INDEX(Population_by_Province_Year!$B$5:$J$29,MATCH($A978,Population_by_Province_Year!$A$5:$A$29,0),MATCH($B978,Population_by_Province_Year!$B$4:$J$4,0)),"")</f>
        <v>1082049</v>
      </c>
      <c r="H978" s="22">
        <f>IFERROR(D978/G978*100000,"")</f>
        <v>0.6469207956386448</v>
      </c>
    </row>
    <row r="979" spans="1:8" ht="15" customHeight="1" x14ac:dyDescent="0.3">
      <c r="A979" s="20" t="s">
        <v>25</v>
      </c>
      <c r="B979" s="20">
        <v>2021</v>
      </c>
      <c r="C979" s="20" t="s">
        <v>101</v>
      </c>
      <c r="D979" s="20">
        <v>1</v>
      </c>
      <c r="E979" s="20">
        <v>0</v>
      </c>
      <c r="F979" s="22">
        <f>IFERROR(E979/D979*100,"")</f>
        <v>0</v>
      </c>
      <c r="G979" s="23">
        <f>IFERROR(INDEX(Population_by_Province_Year!$B$5:$J$29,MATCH($A979,Population_by_Province_Year!$A$5:$A$29,0),MATCH($B979,Population_by_Province_Year!$B$4:$J$4,0)),"")</f>
        <v>560634</v>
      </c>
      <c r="H979" s="22">
        <f>IFERROR(D979/G979*100000,"")</f>
        <v>0.17836948882871892</v>
      </c>
    </row>
    <row r="980" spans="1:8" ht="15" customHeight="1" x14ac:dyDescent="0.3">
      <c r="A980" s="20" t="s">
        <v>26</v>
      </c>
      <c r="B980" s="20">
        <v>2021</v>
      </c>
      <c r="C980" s="20" t="s">
        <v>101</v>
      </c>
      <c r="D980" s="20">
        <v>12</v>
      </c>
      <c r="E980" s="20">
        <v>1</v>
      </c>
      <c r="F980" s="22">
        <f>IFERROR(E980/D980*100,"")</f>
        <v>8.3333333333333321</v>
      </c>
      <c r="G980" s="23">
        <f>IFERROR(INDEX(Population_by_Province_Year!$B$5:$J$29,MATCH($A980,Population_by_Province_Year!$A$5:$A$29,0),MATCH($B980,Population_by_Province_Year!$B$4:$J$4,0)),"")</f>
        <v>961152</v>
      </c>
      <c r="H980" s="22">
        <f>IFERROR(D980/G980*100000,"")</f>
        <v>1.248501797842589</v>
      </c>
    </row>
    <row r="981" spans="1:8" ht="15" customHeight="1" x14ac:dyDescent="0.3">
      <c r="A981" s="20" t="s">
        <v>27</v>
      </c>
      <c r="B981" s="20">
        <v>2021</v>
      </c>
      <c r="C981" s="20" t="s">
        <v>101</v>
      </c>
      <c r="D981" s="20">
        <v>7</v>
      </c>
      <c r="E981" s="20">
        <v>0</v>
      </c>
      <c r="F981" s="22">
        <f>IFERROR(E981/D981*100,"")</f>
        <v>0</v>
      </c>
      <c r="G981" s="23">
        <f>IFERROR(INDEX(Population_by_Province_Year!$B$5:$J$29,MATCH($A981,Population_by_Province_Year!$A$5:$A$29,0),MATCH($B981,Population_by_Province_Year!$B$4:$J$4,0)),"")</f>
        <v>828783</v>
      </c>
      <c r="H981" s="22">
        <f>IFERROR(D981/G981*100000,"")</f>
        <v>0.84461191892208221</v>
      </c>
    </row>
    <row r="982" spans="1:8" ht="15" customHeight="1" x14ac:dyDescent="0.3">
      <c r="A982" s="20" t="s">
        <v>3</v>
      </c>
      <c r="B982" s="20">
        <v>2021</v>
      </c>
      <c r="C982" s="20" t="s">
        <v>97</v>
      </c>
      <c r="D982" s="20">
        <v>3</v>
      </c>
      <c r="E982" s="20">
        <v>0</v>
      </c>
      <c r="F982" s="22">
        <f>IFERROR(E982/D982*100,"")</f>
        <v>0</v>
      </c>
      <c r="G982" s="23">
        <f>IFERROR(INDEX(Population_by_Province_Year!$B$5:$J$29,MATCH($A982,Population_by_Province_Year!$A$5:$A$29,0),MATCH($B982,Population_by_Province_Year!$B$4:$J$4,0)),"")</f>
        <v>919512</v>
      </c>
      <c r="H982" s="22">
        <f>IFERROR(D982/G982*100000,"")</f>
        <v>0.32626001618249684</v>
      </c>
    </row>
    <row r="983" spans="1:8" ht="15" customHeight="1" x14ac:dyDescent="0.3">
      <c r="A983" s="20" t="s">
        <v>4</v>
      </c>
      <c r="B983" s="20">
        <v>2021</v>
      </c>
      <c r="C983" s="20" t="s">
        <v>97</v>
      </c>
      <c r="D983" s="20">
        <v>1</v>
      </c>
      <c r="E983" s="20">
        <v>0</v>
      </c>
      <c r="F983" s="22">
        <f>IFERROR(E983/D983*100,"")</f>
        <v>0</v>
      </c>
      <c r="G983" s="23">
        <f>IFERROR(INDEX(Population_by_Province_Year!$B$5:$J$29,MATCH($A983,Population_by_Province_Year!$A$5:$A$29,0),MATCH($B983,Population_by_Province_Year!$B$4:$J$4,0)),"")</f>
        <v>1063843</v>
      </c>
      <c r="H983" s="22">
        <f>IFERROR(D983/G983*100000,"")</f>
        <v>9.3998832534499921E-2</v>
      </c>
    </row>
    <row r="984" spans="1:8" ht="15" customHeight="1" x14ac:dyDescent="0.3">
      <c r="A984" s="20" t="s">
        <v>5</v>
      </c>
      <c r="B984" s="20">
        <v>2021</v>
      </c>
      <c r="C984" s="20" t="s">
        <v>97</v>
      </c>
      <c r="D984" s="20">
        <v>8</v>
      </c>
      <c r="E984" s="20">
        <v>0</v>
      </c>
      <c r="F984" s="22">
        <f>IFERROR(E984/D984*100,"")</f>
        <v>0</v>
      </c>
      <c r="G984" s="23">
        <f>IFERROR(INDEX(Population_by_Province_Year!$B$5:$J$29,MATCH($A984,Population_by_Province_Year!$A$5:$A$29,0),MATCH($B984,Population_by_Province_Year!$B$4:$J$4,0)),"")</f>
        <v>959954</v>
      </c>
      <c r="H984" s="22">
        <f>IFERROR(D984/G984*100000,"")</f>
        <v>0.83337326580231974</v>
      </c>
    </row>
    <row r="985" spans="1:8" ht="15" customHeight="1" x14ac:dyDescent="0.3">
      <c r="A985" s="20" t="s">
        <v>6</v>
      </c>
      <c r="B985" s="20">
        <v>2021</v>
      </c>
      <c r="C985" s="20" t="s">
        <v>97</v>
      </c>
      <c r="D985" s="20">
        <v>2</v>
      </c>
      <c r="E985" s="20">
        <v>0</v>
      </c>
      <c r="F985" s="22">
        <f>IFERROR(E985/D985*100,"")</f>
        <v>0</v>
      </c>
      <c r="G985" s="23">
        <f>IFERROR(INDEX(Population_by_Province_Year!$B$5:$J$29,MATCH($A985,Population_by_Province_Year!$A$5:$A$29,0),MATCH($B985,Population_by_Province_Year!$B$4:$J$4,0)),"")</f>
        <v>562266</v>
      </c>
      <c r="H985" s="22">
        <f>IFERROR(D985/G985*100000,"")</f>
        <v>0.35570352822329643</v>
      </c>
    </row>
    <row r="986" spans="1:8" ht="15" customHeight="1" x14ac:dyDescent="0.3">
      <c r="A986" s="20" t="s">
        <v>7</v>
      </c>
      <c r="B986" s="20">
        <v>2021</v>
      </c>
      <c r="C986" s="20" t="s">
        <v>97</v>
      </c>
      <c r="D986" s="20">
        <v>19</v>
      </c>
      <c r="E986" s="20">
        <v>0</v>
      </c>
      <c r="F986" s="22">
        <f>IFERROR(E986/D986*100,"")</f>
        <v>0</v>
      </c>
      <c r="G986" s="23">
        <f>IFERROR(INDEX(Population_by_Province_Year!$B$5:$J$29,MATCH($A986,Population_by_Province_Year!$A$5:$A$29,0),MATCH($B986,Population_by_Province_Year!$B$4:$J$4,0)),"")</f>
        <v>936197</v>
      </c>
      <c r="H986" s="22">
        <f>IFERROR(D986/G986*100000,"")</f>
        <v>2.0294873835314577</v>
      </c>
    </row>
    <row r="987" spans="1:8" ht="15" customHeight="1" x14ac:dyDescent="0.3">
      <c r="A987" s="20" t="s">
        <v>9</v>
      </c>
      <c r="B987" s="20">
        <v>2021</v>
      </c>
      <c r="C987" s="20" t="s">
        <v>97</v>
      </c>
      <c r="D987" s="20">
        <v>2</v>
      </c>
      <c r="E987" s="20">
        <v>0</v>
      </c>
      <c r="F987" s="22">
        <f>IFERROR(E987/D987*100,"")</f>
        <v>0</v>
      </c>
      <c r="G987" s="23">
        <f>IFERROR(INDEX(Population_by_Province_Year!$B$5:$J$29,MATCH($A987,Population_by_Province_Year!$A$5:$A$29,0),MATCH($B987,Population_by_Province_Year!$B$4:$J$4,0)),"")</f>
        <v>633535</v>
      </c>
      <c r="H987" s="22">
        <f>IFERROR(D987/G987*100000,"")</f>
        <v>0.31568895167591371</v>
      </c>
    </row>
    <row r="988" spans="1:8" ht="15" customHeight="1" x14ac:dyDescent="0.3">
      <c r="A988" s="20" t="s">
        <v>10</v>
      </c>
      <c r="B988" s="20">
        <v>2021</v>
      </c>
      <c r="C988" s="20" t="s">
        <v>97</v>
      </c>
      <c r="D988" s="20">
        <v>24</v>
      </c>
      <c r="E988" s="20">
        <v>0</v>
      </c>
      <c r="F988" s="22">
        <f>IFERROR(E988/D988*100,"")</f>
        <v>0</v>
      </c>
      <c r="G988" s="23">
        <f>IFERROR(INDEX(Population_by_Province_Year!$B$5:$J$29,MATCH($A988,Population_by_Province_Year!$A$5:$A$29,0),MATCH($B988,Population_by_Province_Year!$B$4:$J$4,0)),"")</f>
        <v>1281923</v>
      </c>
      <c r="H988" s="22">
        <f>IFERROR(D988/G988*100000,"")</f>
        <v>1.8721873310643462</v>
      </c>
    </row>
    <row r="989" spans="1:8" ht="15" customHeight="1" x14ac:dyDescent="0.3">
      <c r="A989" s="20" t="s">
        <v>13</v>
      </c>
      <c r="B989" s="20">
        <v>2021</v>
      </c>
      <c r="C989" s="20" t="s">
        <v>97</v>
      </c>
      <c r="D989" s="20">
        <v>6</v>
      </c>
      <c r="E989" s="20">
        <v>1</v>
      </c>
      <c r="F989" s="22">
        <f>IFERROR(E989/D989*100,"")</f>
        <v>16.666666666666664</v>
      </c>
      <c r="G989" s="23">
        <f>IFERROR(INDEX(Population_by_Province_Year!$B$5:$J$29,MATCH($A989,Population_by_Province_Year!$A$5:$A$29,0),MATCH($B989,Population_by_Province_Year!$B$4:$J$4,0)),"")</f>
        <v>399812</v>
      </c>
      <c r="H989" s="22">
        <f>IFERROR(D989/G989*100000,"")</f>
        <v>1.5007053315058079</v>
      </c>
    </row>
    <row r="990" spans="1:8" ht="15" customHeight="1" x14ac:dyDescent="0.3">
      <c r="A990" s="20" t="s">
        <v>14</v>
      </c>
      <c r="B990" s="20">
        <v>2021</v>
      </c>
      <c r="C990" s="20" t="s">
        <v>97</v>
      </c>
      <c r="D990" s="20">
        <v>2</v>
      </c>
      <c r="E990" s="20">
        <v>0</v>
      </c>
      <c r="F990" s="22">
        <f>IFERROR(E990/D990*100,"")</f>
        <v>0</v>
      </c>
      <c r="G990" s="23">
        <f>IFERROR(INDEX(Population_by_Province_Year!$B$5:$J$29,MATCH($A990,Population_by_Province_Year!$A$5:$A$29,0),MATCH($B990,Population_by_Province_Year!$B$4:$J$4,0)),"")</f>
        <v>98379</v>
      </c>
      <c r="H990" s="22">
        <f>IFERROR(D990/G990*100000,"")</f>
        <v>2.0329541873773875</v>
      </c>
    </row>
    <row r="991" spans="1:8" ht="15" customHeight="1" x14ac:dyDescent="0.3">
      <c r="A991" s="20" t="s">
        <v>17</v>
      </c>
      <c r="B991" s="20">
        <v>2021</v>
      </c>
      <c r="C991" s="20" t="s">
        <v>97</v>
      </c>
      <c r="D991" s="20">
        <v>40</v>
      </c>
      <c r="E991" s="20">
        <v>0</v>
      </c>
      <c r="F991" s="22">
        <f>IFERROR(E991/D991*100,"")</f>
        <v>0</v>
      </c>
      <c r="G991" s="23">
        <f>IFERROR(INDEX(Population_by_Province_Year!$B$5:$J$29,MATCH($A991,Population_by_Province_Year!$A$5:$A$29,0),MATCH($B991,Population_by_Province_Year!$B$4:$J$4,0)),"")</f>
        <v>2434531</v>
      </c>
      <c r="H991" s="22">
        <f>IFERROR(D991/G991*100000,"")</f>
        <v>1.6430269320867139</v>
      </c>
    </row>
    <row r="992" spans="1:8" ht="15" customHeight="1" x14ac:dyDescent="0.3">
      <c r="A992" s="20" t="s">
        <v>18</v>
      </c>
      <c r="B992" s="20">
        <v>2021</v>
      </c>
      <c r="C992" s="20" t="s">
        <v>97</v>
      </c>
      <c r="D992" s="20">
        <v>1</v>
      </c>
      <c r="E992" s="20">
        <v>0</v>
      </c>
      <c r="F992" s="22">
        <f>IFERROR(E992/D992*100,"")</f>
        <v>0</v>
      </c>
      <c r="G992" s="23">
        <f>IFERROR(INDEX(Population_by_Province_Year!$B$5:$J$29,MATCH($A992,Population_by_Province_Year!$A$5:$A$29,0),MATCH($B992,Population_by_Province_Year!$B$4:$J$4,0)),"")</f>
        <v>330805</v>
      </c>
      <c r="H992" s="22">
        <f>IFERROR(D992/G992*100000,"")</f>
        <v>0.30229289158265443</v>
      </c>
    </row>
    <row r="993" spans="1:8" ht="15" customHeight="1" x14ac:dyDescent="0.3">
      <c r="A993" s="20" t="s">
        <v>19</v>
      </c>
      <c r="B993" s="20">
        <v>2021</v>
      </c>
      <c r="C993" s="20" t="s">
        <v>97</v>
      </c>
      <c r="D993" s="20">
        <v>9</v>
      </c>
      <c r="E993" s="20">
        <v>0</v>
      </c>
      <c r="F993" s="22">
        <f>IFERROR(E993/D993*100,"")</f>
        <v>0</v>
      </c>
      <c r="G993" s="23">
        <f>IFERROR(INDEX(Population_by_Province_Year!$B$5:$J$29,MATCH($A993,Population_by_Province_Year!$A$5:$A$29,0),MATCH($B993,Population_by_Province_Year!$B$4:$J$4,0)),"")</f>
        <v>271866</v>
      </c>
      <c r="H993" s="22">
        <f>IFERROR(D993/G993*100000,"")</f>
        <v>3.3104544150427051</v>
      </c>
    </row>
    <row r="994" spans="1:8" ht="15" customHeight="1" x14ac:dyDescent="0.3">
      <c r="A994" s="20" t="s">
        <v>21</v>
      </c>
      <c r="B994" s="20">
        <v>2021</v>
      </c>
      <c r="C994" s="20" t="s">
        <v>97</v>
      </c>
      <c r="D994" s="20">
        <v>12</v>
      </c>
      <c r="E994" s="20">
        <v>0</v>
      </c>
      <c r="F994" s="22">
        <f>IFERROR(E994/D994*100,"")</f>
        <v>0</v>
      </c>
      <c r="G994" s="23">
        <f>IFERROR(INDEX(Population_by_Province_Year!$B$5:$J$29,MATCH($A994,Population_by_Province_Year!$A$5:$A$29,0),MATCH($B994,Population_by_Province_Year!$B$4:$J$4,0)),"")</f>
        <v>448032</v>
      </c>
      <c r="H994" s="22">
        <f>IFERROR(D994/G994*100000,"")</f>
        <v>2.678380115706021</v>
      </c>
    </row>
    <row r="995" spans="1:8" ht="15" customHeight="1" x14ac:dyDescent="0.3">
      <c r="A995" s="20" t="s">
        <v>22</v>
      </c>
      <c r="B995" s="20">
        <v>2021</v>
      </c>
      <c r="C995" s="20" t="s">
        <v>97</v>
      </c>
      <c r="D995" s="20">
        <v>1</v>
      </c>
      <c r="E995" s="20">
        <v>0</v>
      </c>
      <c r="F995" s="22">
        <f>IFERROR(E995/D995*100,"")</f>
        <v>0</v>
      </c>
      <c r="G995" s="23">
        <f>IFERROR(INDEX(Population_by_Province_Year!$B$5:$J$29,MATCH($A995,Population_by_Province_Year!$A$5:$A$29,0),MATCH($B995,Population_by_Province_Year!$B$4:$J$4,0)),"")</f>
        <v>231993</v>
      </c>
      <c r="H995" s="22">
        <f>IFERROR(D995/G995*100000,"")</f>
        <v>0.43104748850180824</v>
      </c>
    </row>
    <row r="996" spans="1:8" ht="15" customHeight="1" x14ac:dyDescent="0.3">
      <c r="A996" s="20" t="s">
        <v>23</v>
      </c>
      <c r="B996" s="20">
        <v>2021</v>
      </c>
      <c r="C996" s="20" t="s">
        <v>97</v>
      </c>
      <c r="D996" s="20">
        <v>12</v>
      </c>
      <c r="E996" s="20">
        <v>0</v>
      </c>
      <c r="F996" s="22">
        <f>IFERROR(E996/D996*100,"")</f>
        <v>0</v>
      </c>
      <c r="G996" s="23">
        <f>IFERROR(INDEX(Population_by_Province_Year!$B$5:$J$29,MATCH($A996,Population_by_Province_Year!$A$5:$A$29,0),MATCH($B996,Population_by_Province_Year!$B$4:$J$4,0)),"")</f>
        <v>1082049</v>
      </c>
      <c r="H996" s="22">
        <f>IFERROR(D996/G996*100000,"")</f>
        <v>1.1090070782376769</v>
      </c>
    </row>
    <row r="997" spans="1:8" ht="15" customHeight="1" x14ac:dyDescent="0.3">
      <c r="A997" s="20" t="s">
        <v>24</v>
      </c>
      <c r="B997" s="20">
        <v>2021</v>
      </c>
      <c r="C997" s="20" t="s">
        <v>97</v>
      </c>
      <c r="D997" s="20">
        <v>2</v>
      </c>
      <c r="E997" s="20">
        <v>0</v>
      </c>
      <c r="F997" s="22">
        <f>IFERROR(E997/D997*100,"")</f>
        <v>0</v>
      </c>
      <c r="G997" s="23">
        <f>IFERROR(INDEX(Population_by_Province_Year!$B$5:$J$29,MATCH($A997,Population_by_Province_Year!$A$5:$A$29,0),MATCH($B997,Population_by_Province_Year!$B$4:$J$4,0)),"")</f>
        <v>176793</v>
      </c>
      <c r="H997" s="22">
        <f>IFERROR(D997/G997*100000,"")</f>
        <v>1.1312665094206218</v>
      </c>
    </row>
    <row r="998" spans="1:8" ht="15" customHeight="1" x14ac:dyDescent="0.3">
      <c r="A998" s="20" t="s">
        <v>25</v>
      </c>
      <c r="B998" s="20">
        <v>2021</v>
      </c>
      <c r="C998" s="20" t="s">
        <v>97</v>
      </c>
      <c r="D998" s="20">
        <v>4</v>
      </c>
      <c r="E998" s="20">
        <v>0</v>
      </c>
      <c r="F998" s="22">
        <f>IFERROR(E998/D998*100,"")</f>
        <v>0</v>
      </c>
      <c r="G998" s="23">
        <f>IFERROR(INDEX(Population_by_Province_Year!$B$5:$J$29,MATCH($A998,Population_by_Province_Year!$A$5:$A$29,0),MATCH($B998,Population_by_Province_Year!$B$4:$J$4,0)),"")</f>
        <v>560634</v>
      </c>
      <c r="H998" s="22">
        <f>IFERROR(D998/G998*100000,"")</f>
        <v>0.71347795531487568</v>
      </c>
    </row>
    <row r="999" spans="1:8" ht="15" customHeight="1" x14ac:dyDescent="0.3">
      <c r="A999" s="20" t="s">
        <v>26</v>
      </c>
      <c r="B999" s="20">
        <v>2021</v>
      </c>
      <c r="C999" s="20" t="s">
        <v>97</v>
      </c>
      <c r="D999" s="20">
        <v>10</v>
      </c>
      <c r="E999" s="20">
        <v>0</v>
      </c>
      <c r="F999" s="22">
        <f>IFERROR(E999/D999*100,"")</f>
        <v>0</v>
      </c>
      <c r="G999" s="23">
        <f>IFERROR(INDEX(Population_by_Province_Year!$B$5:$J$29,MATCH($A999,Population_by_Province_Year!$A$5:$A$29,0),MATCH($B999,Population_by_Province_Year!$B$4:$J$4,0)),"")</f>
        <v>961152</v>
      </c>
      <c r="H999" s="22">
        <f>IFERROR(D999/G999*100000,"")</f>
        <v>1.040418164868824</v>
      </c>
    </row>
    <row r="1000" spans="1:8" ht="15" customHeight="1" x14ac:dyDescent="0.3">
      <c r="A1000" s="20" t="s">
        <v>27</v>
      </c>
      <c r="B1000" s="20">
        <v>2021</v>
      </c>
      <c r="C1000" s="20" t="s">
        <v>97</v>
      </c>
      <c r="D1000" s="20">
        <v>3</v>
      </c>
      <c r="E1000" s="20">
        <v>0</v>
      </c>
      <c r="F1000" s="22">
        <f>IFERROR(E1000/D1000*100,"")</f>
        <v>0</v>
      </c>
      <c r="G1000" s="23">
        <f>IFERROR(INDEX(Population_by_Province_Year!$B$5:$J$29,MATCH($A1000,Population_by_Province_Year!$A$5:$A$29,0),MATCH($B1000,Population_by_Province_Year!$B$4:$J$4,0)),"")</f>
        <v>828783</v>
      </c>
      <c r="H1000" s="22">
        <f>IFERROR(D1000/G1000*100000,"")</f>
        <v>0.36197653668089236</v>
      </c>
    </row>
    <row r="1001" spans="1:8" ht="15" customHeight="1" x14ac:dyDescent="0.3">
      <c r="A1001" s="20" t="s">
        <v>3</v>
      </c>
      <c r="B1001" s="20">
        <v>2021</v>
      </c>
      <c r="C1001" s="20" t="s">
        <v>107</v>
      </c>
      <c r="D1001" s="20">
        <v>1</v>
      </c>
      <c r="E1001" s="20">
        <v>0</v>
      </c>
      <c r="F1001" s="22">
        <f>IFERROR(E1001/D1001*100,"")</f>
        <v>0</v>
      </c>
      <c r="G1001" s="23">
        <f>IFERROR(INDEX(Population_by_Province_Year!$B$5:$J$29,MATCH($A1001,Population_by_Province_Year!$A$5:$A$29,0),MATCH($B1001,Population_by_Province_Year!$B$4:$J$4,0)),"")</f>
        <v>919512</v>
      </c>
      <c r="H1001" s="22">
        <f>IFERROR(D1001/G1001*100000,"")</f>
        <v>0.10875333872749893</v>
      </c>
    </row>
    <row r="1002" spans="1:8" ht="15" customHeight="1" x14ac:dyDescent="0.3">
      <c r="A1002" s="20" t="s">
        <v>4</v>
      </c>
      <c r="B1002" s="20">
        <v>2021</v>
      </c>
      <c r="C1002" s="20" t="s">
        <v>107</v>
      </c>
      <c r="D1002" s="20">
        <v>3</v>
      </c>
      <c r="E1002" s="20">
        <v>0</v>
      </c>
      <c r="F1002" s="22">
        <f>IFERROR(E1002/D1002*100,"")</f>
        <v>0</v>
      </c>
      <c r="G1002" s="23">
        <f>IFERROR(INDEX(Population_by_Province_Year!$B$5:$J$29,MATCH($A1002,Population_by_Province_Year!$A$5:$A$29,0),MATCH($B1002,Population_by_Province_Year!$B$4:$J$4,0)),"")</f>
        <v>1063843</v>
      </c>
      <c r="H1002" s="22">
        <f>IFERROR(D1002/G1002*100000,"")</f>
        <v>0.28199649760349976</v>
      </c>
    </row>
    <row r="1003" spans="1:8" ht="15" customHeight="1" x14ac:dyDescent="0.3">
      <c r="A1003" s="20" t="s">
        <v>5</v>
      </c>
      <c r="B1003" s="20">
        <v>2021</v>
      </c>
      <c r="C1003" s="20" t="s">
        <v>107</v>
      </c>
      <c r="D1003" s="20">
        <v>2</v>
      </c>
      <c r="E1003" s="20">
        <v>0</v>
      </c>
      <c r="F1003" s="22">
        <f>IFERROR(E1003/D1003*100,"")</f>
        <v>0</v>
      </c>
      <c r="G1003" s="23">
        <f>IFERROR(INDEX(Population_by_Province_Year!$B$5:$J$29,MATCH($A1003,Population_by_Province_Year!$A$5:$A$29,0),MATCH($B1003,Population_by_Province_Year!$B$4:$J$4,0)),"")</f>
        <v>959954</v>
      </c>
      <c r="H1003" s="22">
        <f>IFERROR(D1003/G1003*100000,"")</f>
        <v>0.20834331645057994</v>
      </c>
    </row>
    <row r="1004" spans="1:8" ht="15" customHeight="1" x14ac:dyDescent="0.3">
      <c r="A1004" s="20" t="s">
        <v>7</v>
      </c>
      <c r="B1004" s="20">
        <v>2021</v>
      </c>
      <c r="C1004" s="20" t="s">
        <v>107</v>
      </c>
      <c r="D1004" s="20">
        <v>24</v>
      </c>
      <c r="E1004" s="20">
        <v>0</v>
      </c>
      <c r="F1004" s="22">
        <f>IFERROR(E1004/D1004*100,"")</f>
        <v>0</v>
      </c>
      <c r="G1004" s="23">
        <f>IFERROR(INDEX(Population_by_Province_Year!$B$5:$J$29,MATCH($A1004,Population_by_Province_Year!$A$5:$A$29,0),MATCH($B1004,Population_by_Province_Year!$B$4:$J$4,0)),"")</f>
        <v>936197</v>
      </c>
      <c r="H1004" s="22">
        <f>IFERROR(D1004/G1004*100000,"")</f>
        <v>2.5635630107765781</v>
      </c>
    </row>
    <row r="1005" spans="1:8" ht="15" customHeight="1" x14ac:dyDescent="0.3">
      <c r="A1005" s="20" t="s">
        <v>8</v>
      </c>
      <c r="B1005" s="20">
        <v>2021</v>
      </c>
      <c r="C1005" s="20" t="s">
        <v>107</v>
      </c>
      <c r="D1005" s="20">
        <v>4</v>
      </c>
      <c r="E1005" s="20">
        <v>0</v>
      </c>
      <c r="F1005" s="22">
        <f>IFERROR(E1005/D1005*100,"")</f>
        <v>0</v>
      </c>
      <c r="G1005" s="23">
        <f>IFERROR(INDEX(Population_by_Province_Year!$B$5:$J$29,MATCH($A1005,Population_by_Province_Year!$A$5:$A$29,0),MATCH($B1005,Population_by_Province_Year!$B$4:$J$4,0)),"")</f>
        <v>727120</v>
      </c>
      <c r="H1005" s="22">
        <f>IFERROR(D1005/G1005*100000,"")</f>
        <v>0.55011552426009458</v>
      </c>
    </row>
    <row r="1006" spans="1:8" ht="15" customHeight="1" x14ac:dyDescent="0.3">
      <c r="A1006" s="20" t="s">
        <v>9</v>
      </c>
      <c r="B1006" s="20">
        <v>2021</v>
      </c>
      <c r="C1006" s="20" t="s">
        <v>107</v>
      </c>
      <c r="D1006" s="20">
        <v>2</v>
      </c>
      <c r="E1006" s="20">
        <v>0</v>
      </c>
      <c r="F1006" s="22">
        <f>IFERROR(E1006/D1006*100,"")</f>
        <v>0</v>
      </c>
      <c r="G1006" s="23">
        <f>IFERROR(INDEX(Population_by_Province_Year!$B$5:$J$29,MATCH($A1006,Population_by_Province_Year!$A$5:$A$29,0),MATCH($B1006,Population_by_Province_Year!$B$4:$J$4,0)),"")</f>
        <v>633535</v>
      </c>
      <c r="H1006" s="22">
        <f>IFERROR(D1006/G1006*100000,"")</f>
        <v>0.31568895167591371</v>
      </c>
    </row>
    <row r="1007" spans="1:8" ht="15" customHeight="1" x14ac:dyDescent="0.3">
      <c r="A1007" s="20" t="s">
        <v>10</v>
      </c>
      <c r="B1007" s="20">
        <v>2021</v>
      </c>
      <c r="C1007" s="20" t="s">
        <v>107</v>
      </c>
      <c r="D1007" s="20">
        <v>30</v>
      </c>
      <c r="E1007" s="20">
        <v>0</v>
      </c>
      <c r="F1007" s="22">
        <f>IFERROR(E1007/D1007*100,"")</f>
        <v>0</v>
      </c>
      <c r="G1007" s="23">
        <f>IFERROR(INDEX(Population_by_Province_Year!$B$5:$J$29,MATCH($A1007,Population_by_Province_Year!$A$5:$A$29,0),MATCH($B1007,Population_by_Province_Year!$B$4:$J$4,0)),"")</f>
        <v>1281923</v>
      </c>
      <c r="H1007" s="22">
        <f>IFERROR(D1007/G1007*100000,"")</f>
        <v>2.3402341638304329</v>
      </c>
    </row>
    <row r="1008" spans="1:8" ht="15" customHeight="1" x14ac:dyDescent="0.3">
      <c r="A1008" s="20" t="s">
        <v>13</v>
      </c>
      <c r="B1008" s="20">
        <v>2021</v>
      </c>
      <c r="C1008" s="20" t="s">
        <v>107</v>
      </c>
      <c r="D1008" s="20">
        <v>1</v>
      </c>
      <c r="E1008" s="20">
        <v>0</v>
      </c>
      <c r="F1008" s="22">
        <f>IFERROR(E1008/D1008*100,"")</f>
        <v>0</v>
      </c>
      <c r="G1008" s="23">
        <f>IFERROR(INDEX(Population_by_Province_Year!$B$5:$J$29,MATCH($A1008,Population_by_Province_Year!$A$5:$A$29,0),MATCH($B1008,Population_by_Province_Year!$B$4:$J$4,0)),"")</f>
        <v>399812</v>
      </c>
      <c r="H1008" s="22">
        <f>IFERROR(D1008/G1008*100000,"")</f>
        <v>0.25011755525096796</v>
      </c>
    </row>
    <row r="1009" spans="1:8" ht="15" customHeight="1" x14ac:dyDescent="0.3">
      <c r="A1009" s="20" t="s">
        <v>16</v>
      </c>
      <c r="B1009" s="20">
        <v>2021</v>
      </c>
      <c r="C1009" s="20" t="s">
        <v>107</v>
      </c>
      <c r="D1009" s="20">
        <v>1</v>
      </c>
      <c r="E1009" s="20">
        <v>0</v>
      </c>
      <c r="F1009" s="22">
        <f>IFERROR(E1009/D1009*100,"")</f>
        <v>0</v>
      </c>
      <c r="G1009" s="23">
        <f>IFERROR(INDEX(Population_by_Province_Year!$B$5:$J$29,MATCH($A1009,Population_by_Province_Year!$A$5:$A$29,0),MATCH($B1009,Population_by_Province_Year!$B$4:$J$4,0)),"")</f>
        <v>80134</v>
      </c>
      <c r="H1009" s="22">
        <f>IFERROR(D1009/G1009*100000,"")</f>
        <v>1.2479097511667956</v>
      </c>
    </row>
    <row r="1010" spans="1:8" ht="15" customHeight="1" x14ac:dyDescent="0.3">
      <c r="A1010" s="20" t="s">
        <v>17</v>
      </c>
      <c r="B1010" s="20">
        <v>2021</v>
      </c>
      <c r="C1010" s="20" t="s">
        <v>107</v>
      </c>
      <c r="D1010" s="20">
        <v>70</v>
      </c>
      <c r="E1010" s="20">
        <v>0</v>
      </c>
      <c r="F1010" s="22">
        <f>IFERROR(E1010/D1010*100,"")</f>
        <v>0</v>
      </c>
      <c r="G1010" s="23">
        <f>IFERROR(INDEX(Population_by_Province_Year!$B$5:$J$29,MATCH($A1010,Population_by_Province_Year!$A$5:$A$29,0),MATCH($B1010,Population_by_Province_Year!$B$4:$J$4,0)),"")</f>
        <v>2434531</v>
      </c>
      <c r="H1010" s="22">
        <f>IFERROR(D1010/G1010*100000,"")</f>
        <v>2.8752971311517497</v>
      </c>
    </row>
    <row r="1011" spans="1:8" ht="15" customHeight="1" x14ac:dyDescent="0.3">
      <c r="A1011" s="20" t="s">
        <v>18</v>
      </c>
      <c r="B1011" s="20">
        <v>2021</v>
      </c>
      <c r="C1011" s="20" t="s">
        <v>107</v>
      </c>
      <c r="D1011" s="20">
        <v>2</v>
      </c>
      <c r="E1011" s="20">
        <v>0</v>
      </c>
      <c r="F1011" s="22">
        <f>IFERROR(E1011/D1011*100,"")</f>
        <v>0</v>
      </c>
      <c r="G1011" s="23">
        <f>IFERROR(INDEX(Population_by_Province_Year!$B$5:$J$29,MATCH($A1011,Population_by_Province_Year!$A$5:$A$29,0),MATCH($B1011,Population_by_Province_Year!$B$4:$J$4,0)),"")</f>
        <v>330805</v>
      </c>
      <c r="H1011" s="22">
        <f>IFERROR(D1011/G1011*100000,"")</f>
        <v>0.60458578316530887</v>
      </c>
    </row>
    <row r="1012" spans="1:8" ht="15" customHeight="1" x14ac:dyDescent="0.3">
      <c r="A1012" s="20" t="s">
        <v>19</v>
      </c>
      <c r="B1012" s="20">
        <v>2021</v>
      </c>
      <c r="C1012" s="20" t="s">
        <v>107</v>
      </c>
      <c r="D1012" s="20">
        <v>3</v>
      </c>
      <c r="E1012" s="20">
        <v>0</v>
      </c>
      <c r="F1012" s="22">
        <f>IFERROR(E1012/D1012*100,"")</f>
        <v>0</v>
      </c>
      <c r="G1012" s="23">
        <f>IFERROR(INDEX(Population_by_Province_Year!$B$5:$J$29,MATCH($A1012,Population_by_Province_Year!$A$5:$A$29,0),MATCH($B1012,Population_by_Province_Year!$B$4:$J$4,0)),"")</f>
        <v>271866</v>
      </c>
      <c r="H1012" s="22">
        <f>IFERROR(D1012/G1012*100000,"")</f>
        <v>1.103484805014235</v>
      </c>
    </row>
    <row r="1013" spans="1:8" ht="15" customHeight="1" x14ac:dyDescent="0.3">
      <c r="A1013" s="20" t="s">
        <v>20</v>
      </c>
      <c r="B1013" s="20">
        <v>2021</v>
      </c>
      <c r="C1013" s="20" t="s">
        <v>107</v>
      </c>
      <c r="D1013" s="20">
        <v>4</v>
      </c>
      <c r="E1013" s="20">
        <v>0</v>
      </c>
      <c r="F1013" s="22">
        <f>IFERROR(E1013/D1013*100,"")</f>
        <v>0</v>
      </c>
      <c r="G1013" s="23">
        <f>IFERROR(INDEX(Population_by_Province_Year!$B$5:$J$29,MATCH($A1013,Population_by_Province_Year!$A$5:$A$29,0),MATCH($B1013,Population_by_Province_Year!$B$4:$J$4,0)),"")</f>
        <v>1128443</v>
      </c>
      <c r="H1013" s="22">
        <f>IFERROR(D1013/G1013*100000,"")</f>
        <v>0.35447071761710602</v>
      </c>
    </row>
    <row r="1014" spans="1:8" ht="15" customHeight="1" x14ac:dyDescent="0.3">
      <c r="A1014" s="20" t="s">
        <v>21</v>
      </c>
      <c r="B1014" s="20">
        <v>2021</v>
      </c>
      <c r="C1014" s="20" t="s">
        <v>107</v>
      </c>
      <c r="D1014" s="20">
        <v>6</v>
      </c>
      <c r="E1014" s="20">
        <v>0</v>
      </c>
      <c r="F1014" s="22">
        <f>IFERROR(E1014/D1014*100,"")</f>
        <v>0</v>
      </c>
      <c r="G1014" s="23">
        <f>IFERROR(INDEX(Population_by_Province_Year!$B$5:$J$29,MATCH($A1014,Population_by_Province_Year!$A$5:$A$29,0),MATCH($B1014,Population_by_Province_Year!$B$4:$J$4,0)),"")</f>
        <v>448032</v>
      </c>
      <c r="H1014" s="22">
        <f>IFERROR(D1014/G1014*100000,"")</f>
        <v>1.3391900578530105</v>
      </c>
    </row>
    <row r="1015" spans="1:8" ht="15" customHeight="1" x14ac:dyDescent="0.3">
      <c r="A1015" s="20" t="s">
        <v>23</v>
      </c>
      <c r="B1015" s="20">
        <v>2021</v>
      </c>
      <c r="C1015" s="20" t="s">
        <v>107</v>
      </c>
      <c r="D1015" s="20">
        <v>8</v>
      </c>
      <c r="E1015" s="20">
        <v>0</v>
      </c>
      <c r="F1015" s="22">
        <f>IFERROR(E1015/D1015*100,"")</f>
        <v>0</v>
      </c>
      <c r="G1015" s="23">
        <f>IFERROR(INDEX(Population_by_Province_Year!$B$5:$J$29,MATCH($A1015,Population_by_Province_Year!$A$5:$A$29,0),MATCH($B1015,Population_by_Province_Year!$B$4:$J$4,0)),"")</f>
        <v>1082049</v>
      </c>
      <c r="H1015" s="22">
        <f>IFERROR(D1015/G1015*100000,"")</f>
        <v>0.73933805215845128</v>
      </c>
    </row>
    <row r="1016" spans="1:8" ht="15" customHeight="1" x14ac:dyDescent="0.3">
      <c r="A1016" s="20" t="s">
        <v>24</v>
      </c>
      <c r="B1016" s="20">
        <v>2021</v>
      </c>
      <c r="C1016" s="20" t="s">
        <v>107</v>
      </c>
      <c r="D1016" s="20">
        <v>2</v>
      </c>
      <c r="E1016" s="20">
        <v>0</v>
      </c>
      <c r="F1016" s="22">
        <f>IFERROR(E1016/D1016*100,"")</f>
        <v>0</v>
      </c>
      <c r="G1016" s="23">
        <f>IFERROR(INDEX(Population_by_Province_Year!$B$5:$J$29,MATCH($A1016,Population_by_Province_Year!$A$5:$A$29,0),MATCH($B1016,Population_by_Province_Year!$B$4:$J$4,0)),"")</f>
        <v>176793</v>
      </c>
      <c r="H1016" s="22">
        <f>IFERROR(D1016/G1016*100000,"")</f>
        <v>1.1312665094206218</v>
      </c>
    </row>
    <row r="1017" spans="1:8" ht="15" customHeight="1" x14ac:dyDescent="0.3">
      <c r="A1017" s="20" t="s">
        <v>25</v>
      </c>
      <c r="B1017" s="20">
        <v>2021</v>
      </c>
      <c r="C1017" s="20" t="s">
        <v>107</v>
      </c>
      <c r="D1017" s="20">
        <v>4</v>
      </c>
      <c r="E1017" s="20">
        <v>0</v>
      </c>
      <c r="F1017" s="22">
        <f>IFERROR(E1017/D1017*100,"")</f>
        <v>0</v>
      </c>
      <c r="G1017" s="23">
        <f>IFERROR(INDEX(Population_by_Province_Year!$B$5:$J$29,MATCH($A1017,Population_by_Province_Year!$A$5:$A$29,0),MATCH($B1017,Population_by_Province_Year!$B$4:$J$4,0)),"")</f>
        <v>560634</v>
      </c>
      <c r="H1017" s="22">
        <f>IFERROR(D1017/G1017*100000,"")</f>
        <v>0.71347795531487568</v>
      </c>
    </row>
    <row r="1018" spans="1:8" ht="15" customHeight="1" x14ac:dyDescent="0.3">
      <c r="A1018" s="20" t="s">
        <v>26</v>
      </c>
      <c r="B1018" s="20">
        <v>2021</v>
      </c>
      <c r="C1018" s="20" t="s">
        <v>107</v>
      </c>
      <c r="D1018" s="20">
        <v>17</v>
      </c>
      <c r="E1018" s="20">
        <v>0</v>
      </c>
      <c r="F1018" s="22">
        <f>IFERROR(E1018/D1018*100,"")</f>
        <v>0</v>
      </c>
      <c r="G1018" s="23">
        <f>IFERROR(INDEX(Population_by_Province_Year!$B$5:$J$29,MATCH($A1018,Population_by_Province_Year!$A$5:$A$29,0),MATCH($B1018,Population_by_Province_Year!$B$4:$J$4,0)),"")</f>
        <v>961152</v>
      </c>
      <c r="H1018" s="22">
        <f>IFERROR(D1018/G1018*100000,"")</f>
        <v>1.7687108802770009</v>
      </c>
    </row>
    <row r="1019" spans="1:8" ht="15" customHeight="1" x14ac:dyDescent="0.3">
      <c r="A1019" s="20" t="s">
        <v>27</v>
      </c>
      <c r="B1019" s="20">
        <v>2021</v>
      </c>
      <c r="C1019" s="20" t="s">
        <v>107</v>
      </c>
      <c r="D1019" s="20">
        <v>2</v>
      </c>
      <c r="E1019" s="20">
        <v>0</v>
      </c>
      <c r="F1019" s="22">
        <f>IFERROR(E1019/D1019*100,"")</f>
        <v>0</v>
      </c>
      <c r="G1019" s="23">
        <f>IFERROR(INDEX(Population_by_Province_Year!$B$5:$J$29,MATCH($A1019,Population_by_Province_Year!$A$5:$A$29,0),MATCH($B1019,Population_by_Province_Year!$B$4:$J$4,0)),"")</f>
        <v>828783</v>
      </c>
      <c r="H1019" s="22">
        <f>IFERROR(D1019/G1019*100000,"")</f>
        <v>0.24131769112059492</v>
      </c>
    </row>
    <row r="1020" spans="1:8" ht="15" customHeight="1" x14ac:dyDescent="0.3">
      <c r="A1020" s="20" t="s">
        <v>3</v>
      </c>
      <c r="B1020" s="20">
        <v>2021</v>
      </c>
      <c r="C1020" s="20" t="s">
        <v>106</v>
      </c>
      <c r="D1020" s="20">
        <v>4</v>
      </c>
      <c r="E1020" s="20">
        <v>0</v>
      </c>
      <c r="F1020" s="22">
        <f>IFERROR(E1020/D1020*100,"")</f>
        <v>0</v>
      </c>
      <c r="G1020" s="23">
        <f>IFERROR(INDEX(Population_by_Province_Year!$B$5:$J$29,MATCH($A1020,Population_by_Province_Year!$A$5:$A$29,0),MATCH($B1020,Population_by_Province_Year!$B$4:$J$4,0)),"")</f>
        <v>919512</v>
      </c>
      <c r="H1020" s="22">
        <f>IFERROR(D1020/G1020*100000,"")</f>
        <v>0.43501335490999571</v>
      </c>
    </row>
    <row r="1021" spans="1:8" ht="15" customHeight="1" x14ac:dyDescent="0.3">
      <c r="A1021" s="20" t="s">
        <v>4</v>
      </c>
      <c r="B1021" s="20">
        <v>2021</v>
      </c>
      <c r="C1021" s="20" t="s">
        <v>106</v>
      </c>
      <c r="D1021" s="20">
        <v>4</v>
      </c>
      <c r="E1021" s="20">
        <v>0</v>
      </c>
      <c r="F1021" s="22">
        <f>IFERROR(E1021/D1021*100,"")</f>
        <v>0</v>
      </c>
      <c r="G1021" s="23">
        <f>IFERROR(INDEX(Population_by_Province_Year!$B$5:$J$29,MATCH($A1021,Population_by_Province_Year!$A$5:$A$29,0),MATCH($B1021,Population_by_Province_Year!$B$4:$J$4,0)),"")</f>
        <v>1063843</v>
      </c>
      <c r="H1021" s="22">
        <f>IFERROR(D1021/G1021*100000,"")</f>
        <v>0.37599533013799968</v>
      </c>
    </row>
    <row r="1022" spans="1:8" ht="15" customHeight="1" x14ac:dyDescent="0.3">
      <c r="A1022" s="20" t="s">
        <v>5</v>
      </c>
      <c r="B1022" s="20">
        <v>2021</v>
      </c>
      <c r="C1022" s="20" t="s">
        <v>106</v>
      </c>
      <c r="D1022" s="20">
        <v>7</v>
      </c>
      <c r="E1022" s="20">
        <v>0</v>
      </c>
      <c r="F1022" s="22">
        <f>IFERROR(E1022/D1022*100,"")</f>
        <v>0</v>
      </c>
      <c r="G1022" s="23">
        <f>IFERROR(INDEX(Population_by_Province_Year!$B$5:$J$29,MATCH($A1022,Population_by_Province_Year!$A$5:$A$29,0),MATCH($B1022,Population_by_Province_Year!$B$4:$J$4,0)),"")</f>
        <v>959954</v>
      </c>
      <c r="H1022" s="22">
        <f>IFERROR(D1022/G1022*100000,"")</f>
        <v>0.72920160757702979</v>
      </c>
    </row>
    <row r="1023" spans="1:8" ht="15" customHeight="1" x14ac:dyDescent="0.3">
      <c r="A1023" s="20" t="s">
        <v>6</v>
      </c>
      <c r="B1023" s="20">
        <v>2021</v>
      </c>
      <c r="C1023" s="20" t="s">
        <v>106</v>
      </c>
      <c r="D1023" s="20">
        <v>2</v>
      </c>
      <c r="E1023" s="20">
        <v>0</v>
      </c>
      <c r="F1023" s="22">
        <f>IFERROR(E1023/D1023*100,"")</f>
        <v>0</v>
      </c>
      <c r="G1023" s="23">
        <f>IFERROR(INDEX(Population_by_Province_Year!$B$5:$J$29,MATCH($A1023,Population_by_Province_Year!$A$5:$A$29,0),MATCH($B1023,Population_by_Province_Year!$B$4:$J$4,0)),"")</f>
        <v>562266</v>
      </c>
      <c r="H1023" s="22">
        <f>IFERROR(D1023/G1023*100000,"")</f>
        <v>0.35570352822329643</v>
      </c>
    </row>
    <row r="1024" spans="1:8" ht="15" customHeight="1" x14ac:dyDescent="0.3">
      <c r="A1024" s="20" t="s">
        <v>7</v>
      </c>
      <c r="B1024" s="20">
        <v>2021</v>
      </c>
      <c r="C1024" s="20" t="s">
        <v>106</v>
      </c>
      <c r="D1024" s="20">
        <v>33</v>
      </c>
      <c r="E1024" s="20">
        <v>0</v>
      </c>
      <c r="F1024" s="22">
        <f>IFERROR(E1024/D1024*100,"")</f>
        <v>0</v>
      </c>
      <c r="G1024" s="23">
        <f>IFERROR(INDEX(Population_by_Province_Year!$B$5:$J$29,MATCH($A1024,Population_by_Province_Year!$A$5:$A$29,0),MATCH($B1024,Population_by_Province_Year!$B$4:$J$4,0)),"")</f>
        <v>936197</v>
      </c>
      <c r="H1024" s="22">
        <f>IFERROR(D1024/G1024*100000,"")</f>
        <v>3.5248991398177947</v>
      </c>
    </row>
    <row r="1025" spans="1:8" ht="15" customHeight="1" x14ac:dyDescent="0.3">
      <c r="A1025" s="20" t="s">
        <v>8</v>
      </c>
      <c r="B1025" s="20">
        <v>2021</v>
      </c>
      <c r="C1025" s="20" t="s">
        <v>106</v>
      </c>
      <c r="D1025" s="20">
        <v>2</v>
      </c>
      <c r="E1025" s="20">
        <v>0</v>
      </c>
      <c r="F1025" s="22">
        <f>IFERROR(E1025/D1025*100,"")</f>
        <v>0</v>
      </c>
      <c r="G1025" s="23">
        <f>IFERROR(INDEX(Population_by_Province_Year!$B$5:$J$29,MATCH($A1025,Population_by_Province_Year!$A$5:$A$29,0),MATCH($B1025,Population_by_Province_Year!$B$4:$J$4,0)),"")</f>
        <v>727120</v>
      </c>
      <c r="H1025" s="22">
        <f>IFERROR(D1025/G1025*100000,"")</f>
        <v>0.27505776213004729</v>
      </c>
    </row>
    <row r="1026" spans="1:8" ht="15" customHeight="1" x14ac:dyDescent="0.3">
      <c r="A1026" s="20" t="s">
        <v>9</v>
      </c>
      <c r="B1026" s="20">
        <v>2021</v>
      </c>
      <c r="C1026" s="20" t="s">
        <v>106</v>
      </c>
      <c r="D1026" s="20">
        <v>2</v>
      </c>
      <c r="E1026" s="20">
        <v>0</v>
      </c>
      <c r="F1026" s="22">
        <f>IFERROR(E1026/D1026*100,"")</f>
        <v>0</v>
      </c>
      <c r="G1026" s="23">
        <f>IFERROR(INDEX(Population_by_Province_Year!$B$5:$J$29,MATCH($A1026,Population_by_Province_Year!$A$5:$A$29,0),MATCH($B1026,Population_by_Province_Year!$B$4:$J$4,0)),"")</f>
        <v>633535</v>
      </c>
      <c r="H1026" s="22">
        <f>IFERROR(D1026/G1026*100000,"")</f>
        <v>0.31568895167591371</v>
      </c>
    </row>
    <row r="1027" spans="1:8" ht="15" customHeight="1" x14ac:dyDescent="0.3">
      <c r="A1027" s="20" t="s">
        <v>10</v>
      </c>
      <c r="B1027" s="20">
        <v>2021</v>
      </c>
      <c r="C1027" s="20" t="s">
        <v>106</v>
      </c>
      <c r="D1027" s="20">
        <v>22</v>
      </c>
      <c r="E1027" s="20">
        <v>0</v>
      </c>
      <c r="F1027" s="22">
        <f>IFERROR(E1027/D1027*100,"")</f>
        <v>0</v>
      </c>
      <c r="G1027" s="23">
        <f>IFERROR(INDEX(Population_by_Province_Year!$B$5:$J$29,MATCH($A1027,Population_by_Province_Year!$A$5:$A$29,0),MATCH($B1027,Population_by_Province_Year!$B$4:$J$4,0)),"")</f>
        <v>1281923</v>
      </c>
      <c r="H1027" s="22">
        <f>IFERROR(D1027/G1027*100000,"")</f>
        <v>1.7161717201423172</v>
      </c>
    </row>
    <row r="1028" spans="1:8" ht="15" customHeight="1" x14ac:dyDescent="0.3">
      <c r="A1028" s="20" t="s">
        <v>12</v>
      </c>
      <c r="B1028" s="20">
        <v>2021</v>
      </c>
      <c r="C1028" s="20" t="s">
        <v>106</v>
      </c>
      <c r="D1028" s="20">
        <v>1</v>
      </c>
      <c r="E1028" s="20">
        <v>0</v>
      </c>
      <c r="F1028" s="22">
        <f>IFERROR(E1028/D1028*100,"")</f>
        <v>0</v>
      </c>
      <c r="G1028" s="23">
        <f>IFERROR(INDEX(Population_by_Province_Year!$B$5:$J$29,MATCH($A1028,Population_by_Province_Year!$A$5:$A$29,0),MATCH($B1028,Population_by_Province_Year!$B$4:$J$4,0)),"")</f>
        <v>134320</v>
      </c>
      <c r="H1028" s="22">
        <f>IFERROR(D1028/G1028*100000,"")</f>
        <v>0.74449076831447292</v>
      </c>
    </row>
    <row r="1029" spans="1:8" ht="15" customHeight="1" x14ac:dyDescent="0.3">
      <c r="A1029" s="20" t="s">
        <v>13</v>
      </c>
      <c r="B1029" s="20">
        <v>2021</v>
      </c>
      <c r="C1029" s="20" t="s">
        <v>106</v>
      </c>
      <c r="D1029" s="20">
        <v>5</v>
      </c>
      <c r="E1029" s="20">
        <v>0</v>
      </c>
      <c r="F1029" s="22">
        <f>IFERROR(E1029/D1029*100,"")</f>
        <v>0</v>
      </c>
      <c r="G1029" s="23">
        <f>IFERROR(INDEX(Population_by_Province_Year!$B$5:$J$29,MATCH($A1029,Population_by_Province_Year!$A$5:$A$29,0),MATCH($B1029,Population_by_Province_Year!$B$4:$J$4,0)),"")</f>
        <v>399812</v>
      </c>
      <c r="H1029" s="22">
        <f>IFERROR(D1029/G1029*100000,"")</f>
        <v>1.2505877762548399</v>
      </c>
    </row>
    <row r="1030" spans="1:8" ht="15" customHeight="1" x14ac:dyDescent="0.3">
      <c r="A1030" s="20" t="s">
        <v>17</v>
      </c>
      <c r="B1030" s="20">
        <v>2021</v>
      </c>
      <c r="C1030" s="20" t="s">
        <v>106</v>
      </c>
      <c r="D1030" s="20">
        <v>70</v>
      </c>
      <c r="E1030" s="20">
        <v>0</v>
      </c>
      <c r="F1030" s="22">
        <f>IFERROR(E1030/D1030*100,"")</f>
        <v>0</v>
      </c>
      <c r="G1030" s="23">
        <f>IFERROR(INDEX(Population_by_Province_Year!$B$5:$J$29,MATCH($A1030,Population_by_Province_Year!$A$5:$A$29,0),MATCH($B1030,Population_by_Province_Year!$B$4:$J$4,0)),"")</f>
        <v>2434531</v>
      </c>
      <c r="H1030" s="22">
        <f>IFERROR(D1030/G1030*100000,"")</f>
        <v>2.8752971311517497</v>
      </c>
    </row>
    <row r="1031" spans="1:8" ht="15" customHeight="1" x14ac:dyDescent="0.3">
      <c r="A1031" s="20" t="s">
        <v>18</v>
      </c>
      <c r="B1031" s="20">
        <v>2021</v>
      </c>
      <c r="C1031" s="20" t="s">
        <v>106</v>
      </c>
      <c r="D1031" s="20">
        <v>1</v>
      </c>
      <c r="E1031" s="20">
        <v>0</v>
      </c>
      <c r="F1031" s="22">
        <f>IFERROR(E1031/D1031*100,"")</f>
        <v>0</v>
      </c>
      <c r="G1031" s="23">
        <f>IFERROR(INDEX(Population_by_Province_Year!$B$5:$J$29,MATCH($A1031,Population_by_Province_Year!$A$5:$A$29,0),MATCH($B1031,Population_by_Province_Year!$B$4:$J$4,0)),"")</f>
        <v>330805</v>
      </c>
      <c r="H1031" s="22">
        <f>IFERROR(D1031/G1031*100000,"")</f>
        <v>0.30229289158265443</v>
      </c>
    </row>
    <row r="1032" spans="1:8" ht="15" customHeight="1" x14ac:dyDescent="0.3">
      <c r="A1032" s="20" t="s">
        <v>19</v>
      </c>
      <c r="B1032" s="20">
        <v>2021</v>
      </c>
      <c r="C1032" s="20" t="s">
        <v>106</v>
      </c>
      <c r="D1032" s="20">
        <v>3</v>
      </c>
      <c r="E1032" s="20">
        <v>0</v>
      </c>
      <c r="F1032" s="22">
        <f>IFERROR(E1032/D1032*100,"")</f>
        <v>0</v>
      </c>
      <c r="G1032" s="23">
        <f>IFERROR(INDEX(Population_by_Province_Year!$B$5:$J$29,MATCH($A1032,Population_by_Province_Year!$A$5:$A$29,0),MATCH($B1032,Population_by_Province_Year!$B$4:$J$4,0)),"")</f>
        <v>271866</v>
      </c>
      <c r="H1032" s="22">
        <f>IFERROR(D1032/G1032*100000,"")</f>
        <v>1.103484805014235</v>
      </c>
    </row>
    <row r="1033" spans="1:8" ht="15" customHeight="1" x14ac:dyDescent="0.3">
      <c r="A1033" s="20" t="s">
        <v>20</v>
      </c>
      <c r="B1033" s="20">
        <v>2021</v>
      </c>
      <c r="C1033" s="20" t="s">
        <v>106</v>
      </c>
      <c r="D1033" s="20">
        <v>3</v>
      </c>
      <c r="E1033" s="20">
        <v>0</v>
      </c>
      <c r="F1033" s="22">
        <f>IFERROR(E1033/D1033*100,"")</f>
        <v>0</v>
      </c>
      <c r="G1033" s="23">
        <f>IFERROR(INDEX(Population_by_Province_Year!$B$5:$J$29,MATCH($A1033,Population_by_Province_Year!$A$5:$A$29,0),MATCH($B1033,Population_by_Province_Year!$B$4:$J$4,0)),"")</f>
        <v>1128443</v>
      </c>
      <c r="H1033" s="22">
        <f>IFERROR(D1033/G1033*100000,"")</f>
        <v>0.26585303821282952</v>
      </c>
    </row>
    <row r="1034" spans="1:8" ht="15" customHeight="1" x14ac:dyDescent="0.3">
      <c r="A1034" s="20" t="s">
        <v>21</v>
      </c>
      <c r="B1034" s="20">
        <v>2021</v>
      </c>
      <c r="C1034" s="20" t="s">
        <v>106</v>
      </c>
      <c r="D1034" s="20">
        <v>1</v>
      </c>
      <c r="E1034" s="20">
        <v>0</v>
      </c>
      <c r="F1034" s="22">
        <f>IFERROR(E1034/D1034*100,"")</f>
        <v>0</v>
      </c>
      <c r="G1034" s="23">
        <f>IFERROR(INDEX(Population_by_Province_Year!$B$5:$J$29,MATCH($A1034,Population_by_Province_Year!$A$5:$A$29,0),MATCH($B1034,Population_by_Province_Year!$B$4:$J$4,0)),"")</f>
        <v>448032</v>
      </c>
      <c r="H1034" s="22">
        <f>IFERROR(D1034/G1034*100000,"")</f>
        <v>0.22319834297550176</v>
      </c>
    </row>
    <row r="1035" spans="1:8" ht="15" customHeight="1" x14ac:dyDescent="0.3">
      <c r="A1035" s="20" t="s">
        <v>23</v>
      </c>
      <c r="B1035" s="20">
        <v>2021</v>
      </c>
      <c r="C1035" s="20" t="s">
        <v>106</v>
      </c>
      <c r="D1035" s="20">
        <v>4</v>
      </c>
      <c r="E1035" s="20">
        <v>0</v>
      </c>
      <c r="F1035" s="22">
        <f>IFERROR(E1035/D1035*100,"")</f>
        <v>0</v>
      </c>
      <c r="G1035" s="23">
        <f>IFERROR(INDEX(Population_by_Province_Year!$B$5:$J$29,MATCH($A1035,Population_by_Province_Year!$A$5:$A$29,0),MATCH($B1035,Population_by_Province_Year!$B$4:$J$4,0)),"")</f>
        <v>1082049</v>
      </c>
      <c r="H1035" s="22">
        <f>IFERROR(D1035/G1035*100000,"")</f>
        <v>0.36966902607922564</v>
      </c>
    </row>
    <row r="1036" spans="1:8" ht="15" customHeight="1" x14ac:dyDescent="0.3">
      <c r="A1036" s="20" t="s">
        <v>24</v>
      </c>
      <c r="B1036" s="20">
        <v>2021</v>
      </c>
      <c r="C1036" s="20" t="s">
        <v>106</v>
      </c>
      <c r="D1036" s="20">
        <v>4</v>
      </c>
      <c r="E1036" s="20">
        <v>0</v>
      </c>
      <c r="F1036" s="22">
        <f>IFERROR(E1036/D1036*100,"")</f>
        <v>0</v>
      </c>
      <c r="G1036" s="23">
        <f>IFERROR(INDEX(Population_by_Province_Year!$B$5:$J$29,MATCH($A1036,Population_by_Province_Year!$A$5:$A$29,0),MATCH($B1036,Population_by_Province_Year!$B$4:$J$4,0)),"")</f>
        <v>176793</v>
      </c>
      <c r="H1036" s="22">
        <f>IFERROR(D1036/G1036*100000,"")</f>
        <v>2.2625330188412436</v>
      </c>
    </row>
    <row r="1037" spans="1:8" ht="15" customHeight="1" x14ac:dyDescent="0.3">
      <c r="A1037" s="20" t="s">
        <v>25</v>
      </c>
      <c r="B1037" s="20">
        <v>2021</v>
      </c>
      <c r="C1037" s="20" t="s">
        <v>106</v>
      </c>
      <c r="D1037" s="20">
        <v>2</v>
      </c>
      <c r="E1037" s="20">
        <v>0</v>
      </c>
      <c r="F1037" s="22">
        <f>IFERROR(E1037/D1037*100,"")</f>
        <v>0</v>
      </c>
      <c r="G1037" s="23">
        <f>IFERROR(INDEX(Population_by_Province_Year!$B$5:$J$29,MATCH($A1037,Population_by_Province_Year!$A$5:$A$29,0),MATCH($B1037,Population_by_Province_Year!$B$4:$J$4,0)),"")</f>
        <v>560634</v>
      </c>
      <c r="H1037" s="22">
        <f>IFERROR(D1037/G1037*100000,"")</f>
        <v>0.35673897765743784</v>
      </c>
    </row>
    <row r="1038" spans="1:8" ht="15" customHeight="1" x14ac:dyDescent="0.3">
      <c r="A1038" s="20" t="s">
        <v>26</v>
      </c>
      <c r="B1038" s="20">
        <v>2021</v>
      </c>
      <c r="C1038" s="20" t="s">
        <v>106</v>
      </c>
      <c r="D1038" s="20">
        <v>14</v>
      </c>
      <c r="E1038" s="20">
        <v>0</v>
      </c>
      <c r="F1038" s="22">
        <f>IFERROR(E1038/D1038*100,"")</f>
        <v>0</v>
      </c>
      <c r="G1038" s="23">
        <f>IFERROR(INDEX(Population_by_Province_Year!$B$5:$J$29,MATCH($A1038,Population_by_Province_Year!$A$5:$A$29,0),MATCH($B1038,Population_by_Province_Year!$B$4:$J$4,0)),"")</f>
        <v>961152</v>
      </c>
      <c r="H1038" s="22">
        <f>IFERROR(D1038/G1038*100000,"")</f>
        <v>1.4565854308163537</v>
      </c>
    </row>
    <row r="1039" spans="1:8" ht="15" customHeight="1" x14ac:dyDescent="0.3">
      <c r="A1039" s="20" t="s">
        <v>27</v>
      </c>
      <c r="B1039" s="20">
        <v>2021</v>
      </c>
      <c r="C1039" s="20" t="s">
        <v>106</v>
      </c>
      <c r="D1039" s="20">
        <v>2</v>
      </c>
      <c r="E1039" s="20">
        <v>0</v>
      </c>
      <c r="F1039" s="22">
        <f>IFERROR(E1039/D1039*100,"")</f>
        <v>0</v>
      </c>
      <c r="G1039" s="23">
        <f>IFERROR(INDEX(Population_by_Province_Year!$B$5:$J$29,MATCH($A1039,Population_by_Province_Year!$A$5:$A$29,0),MATCH($B1039,Population_by_Province_Year!$B$4:$J$4,0)),"")</f>
        <v>828783</v>
      </c>
      <c r="H1039" s="22">
        <f>IFERROR(D1039/G1039*100000,"")</f>
        <v>0.24131769112059492</v>
      </c>
    </row>
    <row r="1040" spans="1:8" ht="15" customHeight="1" x14ac:dyDescent="0.3">
      <c r="A1040" s="20" t="s">
        <v>3</v>
      </c>
      <c r="B1040" s="20">
        <v>2021</v>
      </c>
      <c r="C1040" s="20" t="s">
        <v>105</v>
      </c>
      <c r="D1040" s="20">
        <v>5</v>
      </c>
      <c r="E1040" s="20">
        <v>0</v>
      </c>
      <c r="F1040" s="22">
        <f>IFERROR(E1040/D1040*100,"")</f>
        <v>0</v>
      </c>
      <c r="G1040" s="23">
        <f>IFERROR(INDEX(Population_by_Province_Year!$B$5:$J$29,MATCH($A1040,Population_by_Province_Year!$A$5:$A$29,0),MATCH($B1040,Population_by_Province_Year!$B$4:$J$4,0)),"")</f>
        <v>919512</v>
      </c>
      <c r="H1040" s="22">
        <f>IFERROR(D1040/G1040*100000,"")</f>
        <v>0.54376669363749464</v>
      </c>
    </row>
    <row r="1041" spans="1:8" ht="15" customHeight="1" x14ac:dyDescent="0.3">
      <c r="A1041" s="20" t="s">
        <v>4</v>
      </c>
      <c r="B1041" s="20">
        <v>2021</v>
      </c>
      <c r="C1041" s="20" t="s">
        <v>105</v>
      </c>
      <c r="D1041" s="20">
        <v>2</v>
      </c>
      <c r="E1041" s="20">
        <v>0</v>
      </c>
      <c r="F1041" s="22">
        <f>IFERROR(E1041/D1041*100,"")</f>
        <v>0</v>
      </c>
      <c r="G1041" s="23">
        <f>IFERROR(INDEX(Population_by_Province_Year!$B$5:$J$29,MATCH($A1041,Population_by_Province_Year!$A$5:$A$29,0),MATCH($B1041,Population_by_Province_Year!$B$4:$J$4,0)),"")</f>
        <v>1063843</v>
      </c>
      <c r="H1041" s="22">
        <f>IFERROR(D1041/G1041*100000,"")</f>
        <v>0.18799766506899984</v>
      </c>
    </row>
    <row r="1042" spans="1:8" ht="15" customHeight="1" x14ac:dyDescent="0.3">
      <c r="A1042" s="20" t="s">
        <v>5</v>
      </c>
      <c r="B1042" s="20">
        <v>2021</v>
      </c>
      <c r="C1042" s="20" t="s">
        <v>105</v>
      </c>
      <c r="D1042" s="20">
        <v>9</v>
      </c>
      <c r="E1042" s="20">
        <v>0</v>
      </c>
      <c r="F1042" s="22">
        <f>IFERROR(E1042/D1042*100,"")</f>
        <v>0</v>
      </c>
      <c r="G1042" s="23">
        <f>IFERROR(INDEX(Population_by_Province_Year!$B$5:$J$29,MATCH($A1042,Population_by_Province_Year!$A$5:$A$29,0),MATCH($B1042,Population_by_Province_Year!$B$4:$J$4,0)),"")</f>
        <v>959954</v>
      </c>
      <c r="H1042" s="22">
        <f>IFERROR(D1042/G1042*100000,"")</f>
        <v>0.93754492402760969</v>
      </c>
    </row>
    <row r="1043" spans="1:8" ht="15" customHeight="1" x14ac:dyDescent="0.3">
      <c r="A1043" s="20" t="s">
        <v>7</v>
      </c>
      <c r="B1043" s="20">
        <v>2021</v>
      </c>
      <c r="C1043" s="20" t="s">
        <v>105</v>
      </c>
      <c r="D1043" s="20">
        <v>47</v>
      </c>
      <c r="E1043" s="20">
        <v>2</v>
      </c>
      <c r="F1043" s="22">
        <f>IFERROR(E1043/D1043*100,"")</f>
        <v>4.2553191489361701</v>
      </c>
      <c r="G1043" s="23">
        <f>IFERROR(INDEX(Population_by_Province_Year!$B$5:$J$29,MATCH($A1043,Population_by_Province_Year!$A$5:$A$29,0),MATCH($B1043,Population_by_Province_Year!$B$4:$J$4,0)),"")</f>
        <v>936197</v>
      </c>
      <c r="H1043" s="22">
        <f>IFERROR(D1043/G1043*100000,"")</f>
        <v>5.0203108961041325</v>
      </c>
    </row>
    <row r="1044" spans="1:8" ht="15" customHeight="1" x14ac:dyDescent="0.3">
      <c r="A1044" s="20" t="s">
        <v>8</v>
      </c>
      <c r="B1044" s="20">
        <v>2021</v>
      </c>
      <c r="C1044" s="20" t="s">
        <v>105</v>
      </c>
      <c r="D1044" s="20">
        <v>4</v>
      </c>
      <c r="E1044" s="20">
        <v>0</v>
      </c>
      <c r="F1044" s="22">
        <f>IFERROR(E1044/D1044*100,"")</f>
        <v>0</v>
      </c>
      <c r="G1044" s="23">
        <f>IFERROR(INDEX(Population_by_Province_Year!$B$5:$J$29,MATCH($A1044,Population_by_Province_Year!$A$5:$A$29,0),MATCH($B1044,Population_by_Province_Year!$B$4:$J$4,0)),"")</f>
        <v>727120</v>
      </c>
      <c r="H1044" s="22">
        <f>IFERROR(D1044/G1044*100000,"")</f>
        <v>0.55011552426009458</v>
      </c>
    </row>
    <row r="1045" spans="1:8" ht="15" customHeight="1" x14ac:dyDescent="0.3">
      <c r="A1045" s="20" t="s">
        <v>9</v>
      </c>
      <c r="B1045" s="20">
        <v>2021</v>
      </c>
      <c r="C1045" s="20" t="s">
        <v>105</v>
      </c>
      <c r="D1045" s="20">
        <v>1</v>
      </c>
      <c r="E1045" s="20">
        <v>0</v>
      </c>
      <c r="F1045" s="22">
        <f>IFERROR(E1045/D1045*100,"")</f>
        <v>0</v>
      </c>
      <c r="G1045" s="23">
        <f>IFERROR(INDEX(Population_by_Province_Year!$B$5:$J$29,MATCH($A1045,Population_by_Province_Year!$A$5:$A$29,0),MATCH($B1045,Population_by_Province_Year!$B$4:$J$4,0)),"")</f>
        <v>633535</v>
      </c>
      <c r="H1045" s="22">
        <f>IFERROR(D1045/G1045*100000,"")</f>
        <v>0.15784447583795685</v>
      </c>
    </row>
    <row r="1046" spans="1:8" ht="15" customHeight="1" x14ac:dyDescent="0.3">
      <c r="A1046" s="20" t="s">
        <v>10</v>
      </c>
      <c r="B1046" s="20">
        <v>2021</v>
      </c>
      <c r="C1046" s="20" t="s">
        <v>105</v>
      </c>
      <c r="D1046" s="20">
        <v>39</v>
      </c>
      <c r="E1046" s="20">
        <v>0</v>
      </c>
      <c r="F1046" s="22">
        <f>IFERROR(E1046/D1046*100,"")</f>
        <v>0</v>
      </c>
      <c r="G1046" s="23">
        <f>IFERROR(INDEX(Population_by_Province_Year!$B$5:$J$29,MATCH($A1046,Population_by_Province_Year!$A$5:$A$29,0),MATCH($B1046,Population_by_Province_Year!$B$4:$J$4,0)),"")</f>
        <v>1281923</v>
      </c>
      <c r="H1046" s="22">
        <f>IFERROR(D1046/G1046*100000,"")</f>
        <v>3.0423044129795627</v>
      </c>
    </row>
    <row r="1047" spans="1:8" ht="15" customHeight="1" x14ac:dyDescent="0.3">
      <c r="A1047" s="20" t="s">
        <v>13</v>
      </c>
      <c r="B1047" s="20">
        <v>2021</v>
      </c>
      <c r="C1047" s="20" t="s">
        <v>105</v>
      </c>
      <c r="D1047" s="20">
        <v>1</v>
      </c>
      <c r="E1047" s="20">
        <v>0</v>
      </c>
      <c r="F1047" s="22">
        <f>IFERROR(E1047/D1047*100,"")</f>
        <v>0</v>
      </c>
      <c r="G1047" s="23">
        <f>IFERROR(INDEX(Population_by_Province_Year!$B$5:$J$29,MATCH($A1047,Population_by_Province_Year!$A$5:$A$29,0),MATCH($B1047,Population_by_Province_Year!$B$4:$J$4,0)),"")</f>
        <v>399812</v>
      </c>
      <c r="H1047" s="22">
        <f>IFERROR(D1047/G1047*100000,"")</f>
        <v>0.25011755525096796</v>
      </c>
    </row>
    <row r="1048" spans="1:8" ht="15" customHeight="1" x14ac:dyDescent="0.3">
      <c r="A1048" s="20" t="s">
        <v>17</v>
      </c>
      <c r="B1048" s="20">
        <v>2021</v>
      </c>
      <c r="C1048" s="20" t="s">
        <v>105</v>
      </c>
      <c r="D1048" s="20">
        <v>86</v>
      </c>
      <c r="E1048" s="20">
        <v>0</v>
      </c>
      <c r="F1048" s="22">
        <f>IFERROR(E1048/D1048*100,"")</f>
        <v>0</v>
      </c>
      <c r="G1048" s="23">
        <f>IFERROR(INDEX(Population_by_Province_Year!$B$5:$J$29,MATCH($A1048,Population_by_Province_Year!$A$5:$A$29,0),MATCH($B1048,Population_by_Province_Year!$B$4:$J$4,0)),"")</f>
        <v>2434531</v>
      </c>
      <c r="H1048" s="22">
        <f>IFERROR(D1048/G1048*100000,"")</f>
        <v>3.5325079039864353</v>
      </c>
    </row>
    <row r="1049" spans="1:8" ht="15" customHeight="1" x14ac:dyDescent="0.3">
      <c r="A1049" s="20" t="s">
        <v>18</v>
      </c>
      <c r="B1049" s="20">
        <v>2021</v>
      </c>
      <c r="C1049" s="20" t="s">
        <v>105</v>
      </c>
      <c r="D1049" s="20">
        <v>3</v>
      </c>
      <c r="E1049" s="20">
        <v>0</v>
      </c>
      <c r="F1049" s="22">
        <f>IFERROR(E1049/D1049*100,"")</f>
        <v>0</v>
      </c>
      <c r="G1049" s="23">
        <f>IFERROR(INDEX(Population_by_Province_Year!$B$5:$J$29,MATCH($A1049,Population_by_Province_Year!$A$5:$A$29,0),MATCH($B1049,Population_by_Province_Year!$B$4:$J$4,0)),"")</f>
        <v>330805</v>
      </c>
      <c r="H1049" s="22">
        <f>IFERROR(D1049/G1049*100000,"")</f>
        <v>0.90687867474796324</v>
      </c>
    </row>
    <row r="1050" spans="1:8" ht="15" customHeight="1" x14ac:dyDescent="0.3">
      <c r="A1050" s="20" t="s">
        <v>19</v>
      </c>
      <c r="B1050" s="20">
        <v>2021</v>
      </c>
      <c r="C1050" s="20" t="s">
        <v>105</v>
      </c>
      <c r="D1050" s="20">
        <v>2</v>
      </c>
      <c r="E1050" s="20">
        <v>0</v>
      </c>
      <c r="F1050" s="22">
        <f>IFERROR(E1050/D1050*100,"")</f>
        <v>0</v>
      </c>
      <c r="G1050" s="23">
        <f>IFERROR(INDEX(Population_by_Province_Year!$B$5:$J$29,MATCH($A1050,Population_by_Province_Year!$A$5:$A$29,0),MATCH($B1050,Population_by_Province_Year!$B$4:$J$4,0)),"")</f>
        <v>271866</v>
      </c>
      <c r="H1050" s="22">
        <f>IFERROR(D1050/G1050*100000,"")</f>
        <v>0.7356565366761566</v>
      </c>
    </row>
    <row r="1051" spans="1:8" ht="15" customHeight="1" x14ac:dyDescent="0.3">
      <c r="A1051" s="20" t="s">
        <v>20</v>
      </c>
      <c r="B1051" s="20">
        <v>2021</v>
      </c>
      <c r="C1051" s="20" t="s">
        <v>105</v>
      </c>
      <c r="D1051" s="20">
        <v>7</v>
      </c>
      <c r="E1051" s="20">
        <v>1</v>
      </c>
      <c r="F1051" s="22">
        <f>IFERROR(E1051/D1051*100,"")</f>
        <v>14.285714285714285</v>
      </c>
      <c r="G1051" s="23">
        <f>IFERROR(INDEX(Population_by_Province_Year!$B$5:$J$29,MATCH($A1051,Population_by_Province_Year!$A$5:$A$29,0),MATCH($B1051,Population_by_Province_Year!$B$4:$J$4,0)),"")</f>
        <v>1128443</v>
      </c>
      <c r="H1051" s="22">
        <f>IFERROR(D1051/G1051*100000,"")</f>
        <v>0.6203237558299356</v>
      </c>
    </row>
    <row r="1052" spans="1:8" ht="15" customHeight="1" x14ac:dyDescent="0.3">
      <c r="A1052" s="20" t="s">
        <v>21</v>
      </c>
      <c r="B1052" s="20">
        <v>2021</v>
      </c>
      <c r="C1052" s="20" t="s">
        <v>105</v>
      </c>
      <c r="D1052" s="20">
        <v>12</v>
      </c>
      <c r="E1052" s="20">
        <v>0</v>
      </c>
      <c r="F1052" s="22">
        <f>IFERROR(E1052/D1052*100,"")</f>
        <v>0</v>
      </c>
      <c r="G1052" s="23">
        <f>IFERROR(INDEX(Population_by_Province_Year!$B$5:$J$29,MATCH($A1052,Population_by_Province_Year!$A$5:$A$29,0),MATCH($B1052,Population_by_Province_Year!$B$4:$J$4,0)),"")</f>
        <v>448032</v>
      </c>
      <c r="H1052" s="22">
        <f>IFERROR(D1052/G1052*100000,"")</f>
        <v>2.678380115706021</v>
      </c>
    </row>
    <row r="1053" spans="1:8" ht="15" customHeight="1" x14ac:dyDescent="0.3">
      <c r="A1053" s="20" t="s">
        <v>23</v>
      </c>
      <c r="B1053" s="20">
        <v>2021</v>
      </c>
      <c r="C1053" s="20" t="s">
        <v>105</v>
      </c>
      <c r="D1053" s="20">
        <v>5</v>
      </c>
      <c r="E1053" s="20">
        <v>0</v>
      </c>
      <c r="F1053" s="22">
        <f>IFERROR(E1053/D1053*100,"")</f>
        <v>0</v>
      </c>
      <c r="G1053" s="23">
        <f>IFERROR(INDEX(Population_by_Province_Year!$B$5:$J$29,MATCH($A1053,Population_by_Province_Year!$A$5:$A$29,0),MATCH($B1053,Population_by_Province_Year!$B$4:$J$4,0)),"")</f>
        <v>1082049</v>
      </c>
      <c r="H1053" s="22">
        <f>IFERROR(D1053/G1053*100000,"")</f>
        <v>0.46208628259903201</v>
      </c>
    </row>
    <row r="1054" spans="1:8" ht="15" customHeight="1" x14ac:dyDescent="0.3">
      <c r="A1054" s="20" t="s">
        <v>24</v>
      </c>
      <c r="B1054" s="20">
        <v>2021</v>
      </c>
      <c r="C1054" s="20" t="s">
        <v>105</v>
      </c>
      <c r="D1054" s="20">
        <v>1</v>
      </c>
      <c r="E1054" s="20">
        <v>0</v>
      </c>
      <c r="F1054" s="22">
        <f>IFERROR(E1054/D1054*100,"")</f>
        <v>0</v>
      </c>
      <c r="G1054" s="23">
        <f>IFERROR(INDEX(Population_by_Province_Year!$B$5:$J$29,MATCH($A1054,Population_by_Province_Year!$A$5:$A$29,0),MATCH($B1054,Population_by_Province_Year!$B$4:$J$4,0)),"")</f>
        <v>176793</v>
      </c>
      <c r="H1054" s="22">
        <f>IFERROR(D1054/G1054*100000,"")</f>
        <v>0.5656332547103109</v>
      </c>
    </row>
    <row r="1055" spans="1:8" ht="15" customHeight="1" x14ac:dyDescent="0.3">
      <c r="A1055" s="20" t="s">
        <v>25</v>
      </c>
      <c r="B1055" s="20">
        <v>2021</v>
      </c>
      <c r="C1055" s="20" t="s">
        <v>105</v>
      </c>
      <c r="D1055" s="20">
        <v>2</v>
      </c>
      <c r="E1055" s="20">
        <v>0</v>
      </c>
      <c r="F1055" s="22">
        <f>IFERROR(E1055/D1055*100,"")</f>
        <v>0</v>
      </c>
      <c r="G1055" s="23">
        <f>IFERROR(INDEX(Population_by_Province_Year!$B$5:$J$29,MATCH($A1055,Population_by_Province_Year!$A$5:$A$29,0),MATCH($B1055,Population_by_Province_Year!$B$4:$J$4,0)),"")</f>
        <v>560634</v>
      </c>
      <c r="H1055" s="22">
        <f>IFERROR(D1055/G1055*100000,"")</f>
        <v>0.35673897765743784</v>
      </c>
    </row>
    <row r="1056" spans="1:8" ht="15" customHeight="1" x14ac:dyDescent="0.3">
      <c r="A1056" s="20" t="s">
        <v>26</v>
      </c>
      <c r="B1056" s="20">
        <v>2021</v>
      </c>
      <c r="C1056" s="20" t="s">
        <v>105</v>
      </c>
      <c r="D1056" s="20">
        <v>14</v>
      </c>
      <c r="E1056" s="20">
        <v>1</v>
      </c>
      <c r="F1056" s="22">
        <f>IFERROR(E1056/D1056*100,"")</f>
        <v>7.1428571428571423</v>
      </c>
      <c r="G1056" s="23">
        <f>IFERROR(INDEX(Population_by_Province_Year!$B$5:$J$29,MATCH($A1056,Population_by_Province_Year!$A$5:$A$29,0),MATCH($B1056,Population_by_Province_Year!$B$4:$J$4,0)),"")</f>
        <v>961152</v>
      </c>
      <c r="H1056" s="22">
        <f>IFERROR(D1056/G1056*100000,"")</f>
        <v>1.4565854308163537</v>
      </c>
    </row>
    <row r="1057" spans="1:8" ht="15" customHeight="1" x14ac:dyDescent="0.3">
      <c r="A1057" s="20" t="s">
        <v>27</v>
      </c>
      <c r="B1057" s="20">
        <v>2021</v>
      </c>
      <c r="C1057" s="20" t="s">
        <v>105</v>
      </c>
      <c r="D1057" s="20">
        <v>2</v>
      </c>
      <c r="E1057" s="20">
        <v>0</v>
      </c>
      <c r="F1057" s="22">
        <f>IFERROR(E1057/D1057*100,"")</f>
        <v>0</v>
      </c>
      <c r="G1057" s="23">
        <f>IFERROR(INDEX(Population_by_Province_Year!$B$5:$J$29,MATCH($A1057,Population_by_Province_Year!$A$5:$A$29,0),MATCH($B1057,Population_by_Province_Year!$B$4:$J$4,0)),"")</f>
        <v>828783</v>
      </c>
      <c r="H1057" s="22">
        <f>IFERROR(D1057/G1057*100000,"")</f>
        <v>0.24131769112059492</v>
      </c>
    </row>
    <row r="1058" spans="1:8" ht="15" customHeight="1" x14ac:dyDescent="0.3">
      <c r="A1058" s="20" t="s">
        <v>4</v>
      </c>
      <c r="B1058" s="20">
        <v>2021</v>
      </c>
      <c r="C1058" s="20" t="s">
        <v>98</v>
      </c>
      <c r="D1058" s="20">
        <v>3</v>
      </c>
      <c r="E1058" s="20">
        <v>0</v>
      </c>
      <c r="F1058" s="22">
        <f>IFERROR(E1058/D1058*100,"")</f>
        <v>0</v>
      </c>
      <c r="G1058" s="23">
        <f>IFERROR(INDEX(Population_by_Province_Year!$B$5:$J$29,MATCH($A1058,Population_by_Province_Year!$A$5:$A$29,0),MATCH($B1058,Population_by_Province_Year!$B$4:$J$4,0)),"")</f>
        <v>1063843</v>
      </c>
      <c r="H1058" s="22">
        <f>IFERROR(D1058/G1058*100000,"")</f>
        <v>0.28199649760349976</v>
      </c>
    </row>
    <row r="1059" spans="1:8" ht="15" customHeight="1" x14ac:dyDescent="0.3">
      <c r="A1059" s="20" t="s">
        <v>5</v>
      </c>
      <c r="B1059" s="20">
        <v>2021</v>
      </c>
      <c r="C1059" s="20" t="s">
        <v>98</v>
      </c>
      <c r="D1059" s="20">
        <v>5</v>
      </c>
      <c r="E1059" s="20">
        <v>0</v>
      </c>
      <c r="F1059" s="22">
        <f>IFERROR(E1059/D1059*100,"")</f>
        <v>0</v>
      </c>
      <c r="G1059" s="23">
        <f>IFERROR(INDEX(Population_by_Province_Year!$B$5:$J$29,MATCH($A1059,Population_by_Province_Year!$A$5:$A$29,0),MATCH($B1059,Population_by_Province_Year!$B$4:$J$4,0)),"")</f>
        <v>959954</v>
      </c>
      <c r="H1059" s="22">
        <f>IFERROR(D1059/G1059*100000,"")</f>
        <v>0.52085829112644977</v>
      </c>
    </row>
    <row r="1060" spans="1:8" ht="15" customHeight="1" x14ac:dyDescent="0.3">
      <c r="A1060" s="20" t="s">
        <v>6</v>
      </c>
      <c r="B1060" s="20">
        <v>2021</v>
      </c>
      <c r="C1060" s="20" t="s">
        <v>98</v>
      </c>
      <c r="D1060" s="20">
        <v>3</v>
      </c>
      <c r="E1060" s="20">
        <v>1</v>
      </c>
      <c r="F1060" s="22">
        <f>IFERROR(E1060/D1060*100,"")</f>
        <v>33.333333333333329</v>
      </c>
      <c r="G1060" s="23">
        <f>IFERROR(INDEX(Population_by_Province_Year!$B$5:$J$29,MATCH($A1060,Population_by_Province_Year!$A$5:$A$29,0),MATCH($B1060,Population_by_Province_Year!$B$4:$J$4,0)),"")</f>
        <v>562266</v>
      </c>
      <c r="H1060" s="22">
        <f>IFERROR(D1060/G1060*100000,"")</f>
        <v>0.5335552923349447</v>
      </c>
    </row>
    <row r="1061" spans="1:8" ht="15" customHeight="1" x14ac:dyDescent="0.3">
      <c r="A1061" s="20" t="s">
        <v>7</v>
      </c>
      <c r="B1061" s="20">
        <v>2021</v>
      </c>
      <c r="C1061" s="20" t="s">
        <v>98</v>
      </c>
      <c r="D1061" s="20">
        <v>14</v>
      </c>
      <c r="E1061" s="20">
        <v>0</v>
      </c>
      <c r="F1061" s="22">
        <f>IFERROR(E1061/D1061*100,"")</f>
        <v>0</v>
      </c>
      <c r="G1061" s="23">
        <f>IFERROR(INDEX(Population_by_Province_Year!$B$5:$J$29,MATCH($A1061,Population_by_Province_Year!$A$5:$A$29,0),MATCH($B1061,Population_by_Province_Year!$B$4:$J$4,0)),"")</f>
        <v>936197</v>
      </c>
      <c r="H1061" s="22">
        <f>IFERROR(D1061/G1061*100000,"")</f>
        <v>1.4954117562863372</v>
      </c>
    </row>
    <row r="1062" spans="1:8" ht="15" customHeight="1" x14ac:dyDescent="0.3">
      <c r="A1062" s="20" t="s">
        <v>8</v>
      </c>
      <c r="B1062" s="20">
        <v>2021</v>
      </c>
      <c r="C1062" s="20" t="s">
        <v>98</v>
      </c>
      <c r="D1062" s="20">
        <v>1</v>
      </c>
      <c r="E1062" s="20">
        <v>0</v>
      </c>
      <c r="F1062" s="22">
        <f>IFERROR(E1062/D1062*100,"")</f>
        <v>0</v>
      </c>
      <c r="G1062" s="23">
        <f>IFERROR(INDEX(Population_by_Province_Year!$B$5:$J$29,MATCH($A1062,Population_by_Province_Year!$A$5:$A$29,0),MATCH($B1062,Population_by_Province_Year!$B$4:$J$4,0)),"")</f>
        <v>727120</v>
      </c>
      <c r="H1062" s="22">
        <f>IFERROR(D1062/G1062*100000,"")</f>
        <v>0.13752888106502364</v>
      </c>
    </row>
    <row r="1063" spans="1:8" ht="15" customHeight="1" x14ac:dyDescent="0.3">
      <c r="A1063" s="20" t="s">
        <v>9</v>
      </c>
      <c r="B1063" s="20">
        <v>2021</v>
      </c>
      <c r="C1063" s="20" t="s">
        <v>98</v>
      </c>
      <c r="D1063" s="20">
        <v>2</v>
      </c>
      <c r="E1063" s="20">
        <v>0</v>
      </c>
      <c r="F1063" s="22">
        <f>IFERROR(E1063/D1063*100,"")</f>
        <v>0</v>
      </c>
      <c r="G1063" s="23">
        <f>IFERROR(INDEX(Population_by_Province_Year!$B$5:$J$29,MATCH($A1063,Population_by_Province_Year!$A$5:$A$29,0),MATCH($B1063,Population_by_Province_Year!$B$4:$J$4,0)),"")</f>
        <v>633535</v>
      </c>
      <c r="H1063" s="22">
        <f>IFERROR(D1063/G1063*100000,"")</f>
        <v>0.31568895167591371</v>
      </c>
    </row>
    <row r="1064" spans="1:8" ht="15" customHeight="1" x14ac:dyDescent="0.3">
      <c r="A1064" s="20" t="s">
        <v>10</v>
      </c>
      <c r="B1064" s="20">
        <v>2021</v>
      </c>
      <c r="C1064" s="20" t="s">
        <v>98</v>
      </c>
      <c r="D1064" s="20">
        <v>30</v>
      </c>
      <c r="E1064" s="20">
        <v>0</v>
      </c>
      <c r="F1064" s="22">
        <f>IFERROR(E1064/D1064*100,"")</f>
        <v>0</v>
      </c>
      <c r="G1064" s="23">
        <f>IFERROR(INDEX(Population_by_Province_Year!$B$5:$J$29,MATCH($A1064,Population_by_Province_Year!$A$5:$A$29,0),MATCH($B1064,Population_by_Province_Year!$B$4:$J$4,0)),"")</f>
        <v>1281923</v>
      </c>
      <c r="H1064" s="22">
        <f>IFERROR(D1064/G1064*100000,"")</f>
        <v>2.3402341638304329</v>
      </c>
    </row>
    <row r="1065" spans="1:8" ht="15" customHeight="1" x14ac:dyDescent="0.3">
      <c r="A1065" s="20" t="s">
        <v>12</v>
      </c>
      <c r="B1065" s="20">
        <v>2021</v>
      </c>
      <c r="C1065" s="20" t="s">
        <v>98</v>
      </c>
      <c r="D1065" s="20">
        <v>1</v>
      </c>
      <c r="E1065" s="20">
        <v>0</v>
      </c>
      <c r="F1065" s="22">
        <f>IFERROR(E1065/D1065*100,"")</f>
        <v>0</v>
      </c>
      <c r="G1065" s="23">
        <f>IFERROR(INDEX(Population_by_Province_Year!$B$5:$J$29,MATCH($A1065,Population_by_Province_Year!$A$5:$A$29,0),MATCH($B1065,Population_by_Province_Year!$B$4:$J$4,0)),"")</f>
        <v>134320</v>
      </c>
      <c r="H1065" s="22">
        <f>IFERROR(D1065/G1065*100000,"")</f>
        <v>0.74449076831447292</v>
      </c>
    </row>
    <row r="1066" spans="1:8" ht="15" customHeight="1" x14ac:dyDescent="0.3">
      <c r="A1066" s="20" t="s">
        <v>13</v>
      </c>
      <c r="B1066" s="20">
        <v>2021</v>
      </c>
      <c r="C1066" s="20" t="s">
        <v>98</v>
      </c>
      <c r="D1066" s="20">
        <v>2</v>
      </c>
      <c r="E1066" s="20">
        <v>0</v>
      </c>
      <c r="F1066" s="22">
        <f>IFERROR(E1066/D1066*100,"")</f>
        <v>0</v>
      </c>
      <c r="G1066" s="23">
        <f>IFERROR(INDEX(Population_by_Province_Year!$B$5:$J$29,MATCH($A1066,Population_by_Province_Year!$A$5:$A$29,0),MATCH($B1066,Population_by_Province_Year!$B$4:$J$4,0)),"")</f>
        <v>399812</v>
      </c>
      <c r="H1066" s="22">
        <f>IFERROR(D1066/G1066*100000,"")</f>
        <v>0.50023511050193592</v>
      </c>
    </row>
    <row r="1067" spans="1:8" ht="15" customHeight="1" x14ac:dyDescent="0.3">
      <c r="A1067" s="20" t="s">
        <v>14</v>
      </c>
      <c r="B1067" s="20">
        <v>2021</v>
      </c>
      <c r="C1067" s="20" t="s">
        <v>98</v>
      </c>
      <c r="D1067" s="20">
        <v>1</v>
      </c>
      <c r="E1067" s="20">
        <v>0</v>
      </c>
      <c r="F1067" s="22">
        <f>IFERROR(E1067/D1067*100,"")</f>
        <v>0</v>
      </c>
      <c r="G1067" s="23">
        <f>IFERROR(INDEX(Population_by_Province_Year!$B$5:$J$29,MATCH($A1067,Population_by_Province_Year!$A$5:$A$29,0),MATCH($B1067,Population_by_Province_Year!$B$4:$J$4,0)),"")</f>
        <v>98379</v>
      </c>
      <c r="H1067" s="22">
        <f>IFERROR(D1067/G1067*100000,"")</f>
        <v>1.0164770936886938</v>
      </c>
    </row>
    <row r="1068" spans="1:8" ht="15" customHeight="1" x14ac:dyDescent="0.3">
      <c r="A1068" s="20" t="s">
        <v>16</v>
      </c>
      <c r="B1068" s="20">
        <v>2021</v>
      </c>
      <c r="C1068" s="20" t="s">
        <v>98</v>
      </c>
      <c r="D1068" s="20">
        <v>1</v>
      </c>
      <c r="E1068" s="20">
        <v>0</v>
      </c>
      <c r="F1068" s="22">
        <f>IFERROR(E1068/D1068*100,"")</f>
        <v>0</v>
      </c>
      <c r="G1068" s="23">
        <f>IFERROR(INDEX(Population_by_Province_Year!$B$5:$J$29,MATCH($A1068,Population_by_Province_Year!$A$5:$A$29,0),MATCH($B1068,Population_by_Province_Year!$B$4:$J$4,0)),"")</f>
        <v>80134</v>
      </c>
      <c r="H1068" s="22">
        <f>IFERROR(D1068/G1068*100000,"")</f>
        <v>1.2479097511667956</v>
      </c>
    </row>
    <row r="1069" spans="1:8" ht="15" customHeight="1" x14ac:dyDescent="0.3">
      <c r="A1069" s="20" t="s">
        <v>17</v>
      </c>
      <c r="B1069" s="20">
        <v>2021</v>
      </c>
      <c r="C1069" s="20" t="s">
        <v>98</v>
      </c>
      <c r="D1069" s="20">
        <v>94</v>
      </c>
      <c r="E1069" s="20">
        <v>0</v>
      </c>
      <c r="F1069" s="22">
        <f>IFERROR(E1069/D1069*100,"")</f>
        <v>0</v>
      </c>
      <c r="G1069" s="23">
        <f>IFERROR(INDEX(Population_by_Province_Year!$B$5:$J$29,MATCH($A1069,Population_by_Province_Year!$A$5:$A$29,0),MATCH($B1069,Population_by_Province_Year!$B$4:$J$4,0)),"")</f>
        <v>2434531</v>
      </c>
      <c r="H1069" s="22">
        <f>IFERROR(D1069/G1069*100000,"")</f>
        <v>3.8611132904037779</v>
      </c>
    </row>
    <row r="1070" spans="1:8" ht="15" customHeight="1" x14ac:dyDescent="0.3">
      <c r="A1070" s="20" t="s">
        <v>18</v>
      </c>
      <c r="B1070" s="20">
        <v>2021</v>
      </c>
      <c r="C1070" s="20" t="s">
        <v>98</v>
      </c>
      <c r="D1070" s="20">
        <v>2</v>
      </c>
      <c r="E1070" s="20">
        <v>0</v>
      </c>
      <c r="F1070" s="22">
        <f>IFERROR(E1070/D1070*100,"")</f>
        <v>0</v>
      </c>
      <c r="G1070" s="23">
        <f>IFERROR(INDEX(Population_by_Province_Year!$B$5:$J$29,MATCH($A1070,Population_by_Province_Year!$A$5:$A$29,0),MATCH($B1070,Population_by_Province_Year!$B$4:$J$4,0)),"")</f>
        <v>330805</v>
      </c>
      <c r="H1070" s="22">
        <f>IFERROR(D1070/G1070*100000,"")</f>
        <v>0.60458578316530887</v>
      </c>
    </row>
    <row r="1071" spans="1:8" ht="15" customHeight="1" x14ac:dyDescent="0.3">
      <c r="A1071" s="20" t="s">
        <v>20</v>
      </c>
      <c r="B1071" s="20">
        <v>2021</v>
      </c>
      <c r="C1071" s="20" t="s">
        <v>98</v>
      </c>
      <c r="D1071" s="20">
        <v>1</v>
      </c>
      <c r="E1071" s="20">
        <v>0</v>
      </c>
      <c r="F1071" s="22">
        <f>IFERROR(E1071/D1071*100,"")</f>
        <v>0</v>
      </c>
      <c r="G1071" s="23">
        <f>IFERROR(INDEX(Population_by_Province_Year!$B$5:$J$29,MATCH($A1071,Population_by_Province_Year!$A$5:$A$29,0),MATCH($B1071,Population_by_Province_Year!$B$4:$J$4,0)),"")</f>
        <v>1128443</v>
      </c>
      <c r="H1071" s="22">
        <f>IFERROR(D1071/G1071*100000,"")</f>
        <v>8.8617679404276506E-2</v>
      </c>
    </row>
    <row r="1072" spans="1:8" ht="15" customHeight="1" x14ac:dyDescent="0.3">
      <c r="A1072" s="20" t="s">
        <v>21</v>
      </c>
      <c r="B1072" s="20">
        <v>2021</v>
      </c>
      <c r="C1072" s="20" t="s">
        <v>98</v>
      </c>
      <c r="D1072" s="20">
        <v>4</v>
      </c>
      <c r="E1072" s="20">
        <v>0</v>
      </c>
      <c r="F1072" s="22">
        <f>IFERROR(E1072/D1072*100,"")</f>
        <v>0</v>
      </c>
      <c r="G1072" s="23">
        <f>IFERROR(INDEX(Population_by_Province_Year!$B$5:$J$29,MATCH($A1072,Population_by_Province_Year!$A$5:$A$29,0),MATCH($B1072,Population_by_Province_Year!$B$4:$J$4,0)),"")</f>
        <v>448032</v>
      </c>
      <c r="H1072" s="22">
        <f>IFERROR(D1072/G1072*100000,"")</f>
        <v>0.89279337190200703</v>
      </c>
    </row>
    <row r="1073" spans="1:8" ht="15" customHeight="1" x14ac:dyDescent="0.3">
      <c r="A1073" s="20" t="s">
        <v>23</v>
      </c>
      <c r="B1073" s="20">
        <v>2021</v>
      </c>
      <c r="C1073" s="20" t="s">
        <v>98</v>
      </c>
      <c r="D1073" s="20">
        <v>5</v>
      </c>
      <c r="E1073" s="20">
        <v>0</v>
      </c>
      <c r="F1073" s="22">
        <f>IFERROR(E1073/D1073*100,"")</f>
        <v>0</v>
      </c>
      <c r="G1073" s="23">
        <f>IFERROR(INDEX(Population_by_Province_Year!$B$5:$J$29,MATCH($A1073,Population_by_Province_Year!$A$5:$A$29,0),MATCH($B1073,Population_by_Province_Year!$B$4:$J$4,0)),"")</f>
        <v>1082049</v>
      </c>
      <c r="H1073" s="22">
        <f>IFERROR(D1073/G1073*100000,"")</f>
        <v>0.46208628259903201</v>
      </c>
    </row>
    <row r="1074" spans="1:8" ht="15" customHeight="1" x14ac:dyDescent="0.3">
      <c r="A1074" s="20" t="s">
        <v>24</v>
      </c>
      <c r="B1074" s="20">
        <v>2021</v>
      </c>
      <c r="C1074" s="20" t="s">
        <v>98</v>
      </c>
      <c r="D1074" s="20">
        <v>2</v>
      </c>
      <c r="E1074" s="20">
        <v>0</v>
      </c>
      <c r="F1074" s="22">
        <f>IFERROR(E1074/D1074*100,"")</f>
        <v>0</v>
      </c>
      <c r="G1074" s="23">
        <f>IFERROR(INDEX(Population_by_Province_Year!$B$5:$J$29,MATCH($A1074,Population_by_Province_Year!$A$5:$A$29,0),MATCH($B1074,Population_by_Province_Year!$B$4:$J$4,0)),"")</f>
        <v>176793</v>
      </c>
      <c r="H1074" s="22">
        <f>IFERROR(D1074/G1074*100000,"")</f>
        <v>1.1312665094206218</v>
      </c>
    </row>
    <row r="1075" spans="1:8" ht="15" customHeight="1" x14ac:dyDescent="0.3">
      <c r="A1075" s="20" t="s">
        <v>25</v>
      </c>
      <c r="B1075" s="20">
        <v>2021</v>
      </c>
      <c r="C1075" s="20" t="s">
        <v>98</v>
      </c>
      <c r="D1075" s="20">
        <v>2</v>
      </c>
      <c r="E1075" s="20">
        <v>0</v>
      </c>
      <c r="F1075" s="22">
        <f>IFERROR(E1075/D1075*100,"")</f>
        <v>0</v>
      </c>
      <c r="G1075" s="23">
        <f>IFERROR(INDEX(Population_by_Province_Year!$B$5:$J$29,MATCH($A1075,Population_by_Province_Year!$A$5:$A$29,0),MATCH($B1075,Population_by_Province_Year!$B$4:$J$4,0)),"")</f>
        <v>560634</v>
      </c>
      <c r="H1075" s="22">
        <f>IFERROR(D1075/G1075*100000,"")</f>
        <v>0.35673897765743784</v>
      </c>
    </row>
    <row r="1076" spans="1:8" ht="15" customHeight="1" x14ac:dyDescent="0.3">
      <c r="A1076" s="20" t="s">
        <v>26</v>
      </c>
      <c r="B1076" s="20">
        <v>2021</v>
      </c>
      <c r="C1076" s="20" t="s">
        <v>98</v>
      </c>
      <c r="D1076" s="20">
        <v>10</v>
      </c>
      <c r="E1076" s="20">
        <v>0</v>
      </c>
      <c r="F1076" s="22">
        <f>IFERROR(E1076/D1076*100,"")</f>
        <v>0</v>
      </c>
      <c r="G1076" s="23">
        <f>IFERROR(INDEX(Population_by_Province_Year!$B$5:$J$29,MATCH($A1076,Population_by_Province_Year!$A$5:$A$29,0),MATCH($B1076,Population_by_Province_Year!$B$4:$J$4,0)),"")</f>
        <v>961152</v>
      </c>
      <c r="H1076" s="22">
        <f>IFERROR(D1076/G1076*100000,"")</f>
        <v>1.040418164868824</v>
      </c>
    </row>
    <row r="1077" spans="1:8" ht="15" customHeight="1" x14ac:dyDescent="0.3">
      <c r="A1077" s="20" t="s">
        <v>27</v>
      </c>
      <c r="B1077" s="20">
        <v>2021</v>
      </c>
      <c r="C1077" s="20" t="s">
        <v>98</v>
      </c>
      <c r="D1077" s="20">
        <v>4</v>
      </c>
      <c r="E1077" s="20">
        <v>0</v>
      </c>
      <c r="F1077" s="22">
        <f>IFERROR(E1077/D1077*100,"")</f>
        <v>0</v>
      </c>
      <c r="G1077" s="23">
        <f>IFERROR(INDEX(Population_by_Province_Year!$B$5:$J$29,MATCH($A1077,Population_by_Province_Year!$A$5:$A$29,0),MATCH($B1077,Population_by_Province_Year!$B$4:$J$4,0)),"")</f>
        <v>828783</v>
      </c>
      <c r="H1077" s="22">
        <f>IFERROR(D1077/G1077*100000,"")</f>
        <v>0.48263538224118985</v>
      </c>
    </row>
    <row r="1078" spans="1:8" ht="15" customHeight="1" x14ac:dyDescent="0.3">
      <c r="A1078" s="20" t="s">
        <v>3</v>
      </c>
      <c r="B1078" s="20">
        <v>2022</v>
      </c>
      <c r="C1078" s="20" t="s">
        <v>100</v>
      </c>
      <c r="D1078" s="20">
        <v>1</v>
      </c>
      <c r="E1078" s="20">
        <v>0</v>
      </c>
      <c r="F1078" s="22">
        <f>IFERROR(E1078/D1078*100,"")</f>
        <v>0</v>
      </c>
      <c r="G1078" s="23">
        <f>IFERROR(INDEX(Population_by_Province_Year!$B$5:$J$29,MATCH($A1078,Population_by_Province_Year!$A$5:$A$29,0),MATCH($B1078,Population_by_Province_Year!$B$4:$J$4,0)),"")</f>
        <v>933435</v>
      </c>
      <c r="H1078" s="22">
        <f>IFERROR(D1078/G1078*100000,"")</f>
        <v>0.1071311874956478</v>
      </c>
    </row>
    <row r="1079" spans="1:8" ht="15" customHeight="1" x14ac:dyDescent="0.3">
      <c r="A1079" s="20" t="s">
        <v>5</v>
      </c>
      <c r="B1079" s="20">
        <v>2022</v>
      </c>
      <c r="C1079" s="20" t="s">
        <v>100</v>
      </c>
      <c r="D1079" s="20">
        <v>11</v>
      </c>
      <c r="E1079" s="20">
        <v>0</v>
      </c>
      <c r="F1079" s="22">
        <f>IFERROR(E1079/D1079*100,"")</f>
        <v>0</v>
      </c>
      <c r="G1079" s="23">
        <f>IFERROR(INDEX(Population_by_Province_Year!$B$5:$J$29,MATCH($A1079,Population_by_Province_Year!$A$5:$A$29,0),MATCH($B1079,Population_by_Province_Year!$B$4:$J$4,0)),"")</f>
        <v>974490</v>
      </c>
      <c r="H1079" s="22">
        <f>IFERROR(D1079/G1079*100000,"")</f>
        <v>1.1287955751213457</v>
      </c>
    </row>
    <row r="1080" spans="1:8" ht="15" customHeight="1" x14ac:dyDescent="0.3">
      <c r="A1080" s="20" t="s">
        <v>6</v>
      </c>
      <c r="B1080" s="20">
        <v>2022</v>
      </c>
      <c r="C1080" s="20" t="s">
        <v>100</v>
      </c>
      <c r="D1080" s="20">
        <v>1</v>
      </c>
      <c r="E1080" s="20">
        <v>0</v>
      </c>
      <c r="F1080" s="22">
        <f>IFERROR(E1080/D1080*100,"")</f>
        <v>0</v>
      </c>
      <c r="G1080" s="23">
        <f>IFERROR(INDEX(Population_by_Province_Year!$B$5:$J$29,MATCH($A1080,Population_by_Province_Year!$A$5:$A$29,0),MATCH($B1080,Population_by_Province_Year!$B$4:$J$4,0)),"")</f>
        <v>570780</v>
      </c>
      <c r="H1080" s="22">
        <f>IFERROR(D1080/G1080*100000,"")</f>
        <v>0.17519885069553945</v>
      </c>
    </row>
    <row r="1081" spans="1:8" ht="15" customHeight="1" x14ac:dyDescent="0.3">
      <c r="A1081" s="20" t="s">
        <v>7</v>
      </c>
      <c r="B1081" s="20">
        <v>2022</v>
      </c>
      <c r="C1081" s="20" t="s">
        <v>100</v>
      </c>
      <c r="D1081" s="20">
        <v>34</v>
      </c>
      <c r="E1081" s="20">
        <v>0</v>
      </c>
      <c r="F1081" s="22">
        <f>IFERROR(E1081/D1081*100,"")</f>
        <v>0</v>
      </c>
      <c r="G1081" s="23">
        <f>IFERROR(INDEX(Population_by_Province_Year!$B$5:$J$29,MATCH($A1081,Population_by_Province_Year!$A$5:$A$29,0),MATCH($B1081,Population_by_Province_Year!$B$4:$J$4,0)),"")</f>
        <v>950374</v>
      </c>
      <c r="H1081" s="22">
        <f>IFERROR(D1081/G1081*100000,"")</f>
        <v>3.5775389478247512</v>
      </c>
    </row>
    <row r="1082" spans="1:8" ht="15" customHeight="1" x14ac:dyDescent="0.3">
      <c r="A1082" s="20" t="s">
        <v>9</v>
      </c>
      <c r="B1082" s="20">
        <v>2022</v>
      </c>
      <c r="C1082" s="20" t="s">
        <v>100</v>
      </c>
      <c r="D1082" s="20">
        <v>2</v>
      </c>
      <c r="E1082" s="20">
        <v>0</v>
      </c>
      <c r="F1082" s="22">
        <f>IFERROR(E1082/D1082*100,"")</f>
        <v>0</v>
      </c>
      <c r="G1082" s="23">
        <f>IFERROR(INDEX(Population_by_Province_Year!$B$5:$J$29,MATCH($A1082,Population_by_Province_Year!$A$5:$A$29,0),MATCH($B1082,Population_by_Province_Year!$B$4:$J$4,0)),"")</f>
        <v>643128</v>
      </c>
      <c r="H1082" s="22">
        <f>IFERROR(D1082/G1082*100000,"")</f>
        <v>0.31098008483536715</v>
      </c>
    </row>
    <row r="1083" spans="1:8" ht="15" customHeight="1" x14ac:dyDescent="0.3">
      <c r="A1083" s="20" t="s">
        <v>10</v>
      </c>
      <c r="B1083" s="20">
        <v>2022</v>
      </c>
      <c r="C1083" s="20" t="s">
        <v>100</v>
      </c>
      <c r="D1083" s="20">
        <v>32</v>
      </c>
      <c r="E1083" s="20">
        <v>0</v>
      </c>
      <c r="F1083" s="22">
        <f>IFERROR(E1083/D1083*100,"")</f>
        <v>0</v>
      </c>
      <c r="G1083" s="23">
        <f>IFERROR(INDEX(Population_by_Province_Year!$B$5:$J$29,MATCH($A1083,Population_by_Province_Year!$A$5:$A$29,0),MATCH($B1083,Population_by_Province_Year!$B$4:$J$4,0)),"")</f>
        <v>1301335</v>
      </c>
      <c r="H1083" s="22">
        <f>IFERROR(D1083/G1083*100000,"")</f>
        <v>2.4590132440916443</v>
      </c>
    </row>
    <row r="1084" spans="1:8" ht="15" customHeight="1" x14ac:dyDescent="0.3">
      <c r="A1084" s="20" t="s">
        <v>12</v>
      </c>
      <c r="B1084" s="20">
        <v>2022</v>
      </c>
      <c r="C1084" s="20" t="s">
        <v>100</v>
      </c>
      <c r="D1084" s="20">
        <v>1</v>
      </c>
      <c r="E1084" s="20">
        <v>0</v>
      </c>
      <c r="F1084" s="22">
        <f>IFERROR(E1084/D1084*100,"")</f>
        <v>0</v>
      </c>
      <c r="G1084" s="23">
        <f>IFERROR(INDEX(Population_by_Province_Year!$B$5:$J$29,MATCH($A1084,Population_by_Province_Year!$A$5:$A$29,0),MATCH($B1084,Population_by_Province_Year!$B$4:$J$4,0)),"")</f>
        <v>136354</v>
      </c>
      <c r="H1084" s="22">
        <f>IFERROR(D1084/G1084*100000,"")</f>
        <v>0.73338515921791803</v>
      </c>
    </row>
    <row r="1085" spans="1:8" ht="15" customHeight="1" x14ac:dyDescent="0.3">
      <c r="A1085" s="20" t="s">
        <v>13</v>
      </c>
      <c r="B1085" s="20">
        <v>2022</v>
      </c>
      <c r="C1085" s="20" t="s">
        <v>100</v>
      </c>
      <c r="D1085" s="20">
        <v>5</v>
      </c>
      <c r="E1085" s="20">
        <v>0</v>
      </c>
      <c r="F1085" s="22">
        <f>IFERROR(E1085/D1085*100,"")</f>
        <v>0</v>
      </c>
      <c r="G1085" s="23">
        <f>IFERROR(INDEX(Population_by_Province_Year!$B$5:$J$29,MATCH($A1085,Population_by_Province_Year!$A$5:$A$29,0),MATCH($B1085,Population_by_Province_Year!$B$4:$J$4,0)),"")</f>
        <v>405867</v>
      </c>
      <c r="H1085" s="22">
        <f>IFERROR(D1085/G1085*100000,"")</f>
        <v>1.2319306570871738</v>
      </c>
    </row>
    <row r="1086" spans="1:8" ht="15" customHeight="1" x14ac:dyDescent="0.3">
      <c r="A1086" s="20" t="s">
        <v>17</v>
      </c>
      <c r="B1086" s="20">
        <v>2022</v>
      </c>
      <c r="C1086" s="20" t="s">
        <v>100</v>
      </c>
      <c r="D1086" s="20">
        <v>75</v>
      </c>
      <c r="E1086" s="20">
        <v>0</v>
      </c>
      <c r="F1086" s="22">
        <f>IFERROR(E1086/D1086*100,"")</f>
        <v>0</v>
      </c>
      <c r="G1086" s="23">
        <f>IFERROR(INDEX(Population_by_Province_Year!$B$5:$J$29,MATCH($A1086,Population_by_Province_Year!$A$5:$A$29,0),MATCH($B1086,Population_by_Province_Year!$B$4:$J$4,0)),"")</f>
        <v>2471395</v>
      </c>
      <c r="H1086" s="22">
        <f>IFERROR(D1086/G1086*100000,"")</f>
        <v>3.0347233040448813</v>
      </c>
    </row>
    <row r="1087" spans="1:8" ht="15" customHeight="1" x14ac:dyDescent="0.3">
      <c r="A1087" s="20" t="s">
        <v>18</v>
      </c>
      <c r="B1087" s="20">
        <v>2022</v>
      </c>
      <c r="C1087" s="20" t="s">
        <v>100</v>
      </c>
      <c r="D1087" s="20">
        <v>3</v>
      </c>
      <c r="E1087" s="20">
        <v>0</v>
      </c>
      <c r="F1087" s="22">
        <f>IFERROR(E1087/D1087*100,"")</f>
        <v>0</v>
      </c>
      <c r="G1087" s="23">
        <f>IFERROR(INDEX(Population_by_Province_Year!$B$5:$J$29,MATCH($A1087,Population_by_Province_Year!$A$5:$A$29,0),MATCH($B1087,Population_by_Province_Year!$B$4:$J$4,0)),"")</f>
        <v>335814</v>
      </c>
      <c r="H1087" s="22">
        <f>IFERROR(D1087/G1087*100000,"")</f>
        <v>0.8933516768210974</v>
      </c>
    </row>
    <row r="1088" spans="1:8" ht="15" customHeight="1" x14ac:dyDescent="0.3">
      <c r="A1088" s="20" t="s">
        <v>20</v>
      </c>
      <c r="B1088" s="20">
        <v>2022</v>
      </c>
      <c r="C1088" s="20" t="s">
        <v>100</v>
      </c>
      <c r="D1088" s="20">
        <v>12</v>
      </c>
      <c r="E1088" s="20">
        <v>0</v>
      </c>
      <c r="F1088" s="22">
        <f>IFERROR(E1088/D1088*100,"")</f>
        <v>0</v>
      </c>
      <c r="G1088" s="23">
        <f>IFERROR(INDEX(Population_by_Province_Year!$B$5:$J$29,MATCH($A1088,Population_by_Province_Year!$A$5:$A$29,0),MATCH($B1088,Population_by_Province_Year!$B$4:$J$4,0)),"")</f>
        <v>1145530</v>
      </c>
      <c r="H1088" s="22">
        <f>IFERROR(D1088/G1088*100000,"")</f>
        <v>1.0475500423384809</v>
      </c>
    </row>
    <row r="1089" spans="1:8" ht="15" customHeight="1" x14ac:dyDescent="0.3">
      <c r="A1089" s="20" t="s">
        <v>21</v>
      </c>
      <c r="B1089" s="20">
        <v>2022</v>
      </c>
      <c r="C1089" s="20" t="s">
        <v>100</v>
      </c>
      <c r="D1089" s="20">
        <v>4</v>
      </c>
      <c r="E1089" s="20">
        <v>0</v>
      </c>
      <c r="F1089" s="22">
        <f>IFERROR(E1089/D1089*100,"")</f>
        <v>0</v>
      </c>
      <c r="G1089" s="23">
        <f>IFERROR(INDEX(Population_by_Province_Year!$B$5:$J$29,MATCH($A1089,Population_by_Province_Year!$A$5:$A$29,0),MATCH($B1089,Population_by_Province_Year!$B$4:$J$4,0)),"")</f>
        <v>454816</v>
      </c>
      <c r="H1089" s="22">
        <f>IFERROR(D1089/G1089*100000,"")</f>
        <v>0.879476535566031</v>
      </c>
    </row>
    <row r="1090" spans="1:8" ht="15" customHeight="1" x14ac:dyDescent="0.3">
      <c r="A1090" s="20" t="s">
        <v>23</v>
      </c>
      <c r="B1090" s="20">
        <v>2022</v>
      </c>
      <c r="C1090" s="20" t="s">
        <v>100</v>
      </c>
      <c r="D1090" s="20">
        <v>6</v>
      </c>
      <c r="E1090" s="20">
        <v>0</v>
      </c>
      <c r="F1090" s="22">
        <f>IFERROR(E1090/D1090*100,"")</f>
        <v>0</v>
      </c>
      <c r="G1090" s="23">
        <f>IFERROR(INDEX(Population_by_Province_Year!$B$5:$J$29,MATCH($A1090,Population_by_Province_Year!$A$5:$A$29,0),MATCH($B1090,Population_by_Province_Year!$B$4:$J$4,0)),"")</f>
        <v>1098434</v>
      </c>
      <c r="H1090" s="22">
        <f>IFERROR(D1090/G1090*100000,"")</f>
        <v>0.54623218145104757</v>
      </c>
    </row>
    <row r="1091" spans="1:8" ht="15" customHeight="1" x14ac:dyDescent="0.3">
      <c r="A1091" s="20" t="s">
        <v>24</v>
      </c>
      <c r="B1091" s="20">
        <v>2022</v>
      </c>
      <c r="C1091" s="20" t="s">
        <v>100</v>
      </c>
      <c r="D1091" s="20">
        <v>3</v>
      </c>
      <c r="E1091" s="20">
        <v>0</v>
      </c>
      <c r="F1091" s="22">
        <f>IFERROR(E1091/D1091*100,"")</f>
        <v>0</v>
      </c>
      <c r="G1091" s="23">
        <f>IFERROR(INDEX(Population_by_Province_Year!$B$5:$J$29,MATCH($A1091,Population_by_Province_Year!$A$5:$A$29,0),MATCH($B1091,Population_by_Province_Year!$B$4:$J$4,0)),"")</f>
        <v>179470</v>
      </c>
      <c r="H1091" s="22">
        <f>IFERROR(D1091/G1091*100000,"")</f>
        <v>1.671588566334206</v>
      </c>
    </row>
    <row r="1092" spans="1:8" ht="15" customHeight="1" x14ac:dyDescent="0.3">
      <c r="A1092" s="20" t="s">
        <v>25</v>
      </c>
      <c r="B1092" s="20">
        <v>2022</v>
      </c>
      <c r="C1092" s="20" t="s">
        <v>100</v>
      </c>
      <c r="D1092" s="20">
        <v>3</v>
      </c>
      <c r="E1092" s="20">
        <v>0</v>
      </c>
      <c r="F1092" s="22">
        <f>IFERROR(E1092/D1092*100,"")</f>
        <v>0</v>
      </c>
      <c r="G1092" s="23">
        <f>IFERROR(INDEX(Population_by_Province_Year!$B$5:$J$29,MATCH($A1092,Population_by_Province_Year!$A$5:$A$29,0),MATCH($B1092,Population_by_Province_Year!$B$4:$J$4,0)),"")</f>
        <v>569123</v>
      </c>
      <c r="H1092" s="22">
        <f>IFERROR(D1092/G1092*100000,"")</f>
        <v>0.52712682495699525</v>
      </c>
    </row>
    <row r="1093" spans="1:8" ht="15" customHeight="1" x14ac:dyDescent="0.3">
      <c r="A1093" s="20" t="s">
        <v>26</v>
      </c>
      <c r="B1093" s="20">
        <v>2022</v>
      </c>
      <c r="C1093" s="20" t="s">
        <v>100</v>
      </c>
      <c r="D1093" s="20">
        <v>9</v>
      </c>
      <c r="E1093" s="20">
        <v>0</v>
      </c>
      <c r="F1093" s="22">
        <f>IFERROR(E1093/D1093*100,"")</f>
        <v>0</v>
      </c>
      <c r="G1093" s="23">
        <f>IFERROR(INDEX(Population_by_Province_Year!$B$5:$J$29,MATCH($A1093,Population_by_Province_Year!$A$5:$A$29,0),MATCH($B1093,Population_by_Province_Year!$B$4:$J$4,0)),"")</f>
        <v>975707</v>
      </c>
      <c r="H1093" s="22">
        <f>IFERROR(D1093/G1093*100000,"")</f>
        <v>0.92240805897672151</v>
      </c>
    </row>
    <row r="1094" spans="1:8" ht="15" customHeight="1" x14ac:dyDescent="0.3">
      <c r="A1094" s="20" t="s">
        <v>27</v>
      </c>
      <c r="B1094" s="20">
        <v>2022</v>
      </c>
      <c r="C1094" s="20" t="s">
        <v>100</v>
      </c>
      <c r="D1094" s="20">
        <v>8</v>
      </c>
      <c r="E1094" s="20">
        <v>0</v>
      </c>
      <c r="F1094" s="22">
        <f>IFERROR(E1094/D1094*100,"")</f>
        <v>0</v>
      </c>
      <c r="G1094" s="23">
        <f>IFERROR(INDEX(Population_by_Province_Year!$B$5:$J$29,MATCH($A1094,Population_by_Province_Year!$A$5:$A$29,0),MATCH($B1094,Population_by_Province_Year!$B$4:$J$4,0)),"")</f>
        <v>841333</v>
      </c>
      <c r="H1094" s="22">
        <f>IFERROR(D1094/G1094*100000,"")</f>
        <v>0.95087200906181024</v>
      </c>
    </row>
    <row r="1095" spans="1:8" ht="15" customHeight="1" x14ac:dyDescent="0.3">
      <c r="A1095" s="20" t="s">
        <v>3</v>
      </c>
      <c r="B1095" s="20">
        <v>2022</v>
      </c>
      <c r="C1095" s="20" t="s">
        <v>99</v>
      </c>
      <c r="D1095" s="20">
        <v>6</v>
      </c>
      <c r="E1095" s="20">
        <v>0</v>
      </c>
      <c r="F1095" s="22">
        <f>IFERROR(E1095/D1095*100,"")</f>
        <v>0</v>
      </c>
      <c r="G1095" s="23">
        <f>IFERROR(INDEX(Population_by_Province_Year!$B$5:$J$29,MATCH($A1095,Population_by_Province_Year!$A$5:$A$29,0),MATCH($B1095,Population_by_Province_Year!$B$4:$J$4,0)),"")</f>
        <v>933435</v>
      </c>
      <c r="H1095" s="22">
        <f>IFERROR(D1095/G1095*100000,"")</f>
        <v>0.64278712497388679</v>
      </c>
    </row>
    <row r="1096" spans="1:8" ht="15" customHeight="1" x14ac:dyDescent="0.3">
      <c r="A1096" s="20" t="s">
        <v>5</v>
      </c>
      <c r="B1096" s="20">
        <v>2022</v>
      </c>
      <c r="C1096" s="20" t="s">
        <v>99</v>
      </c>
      <c r="D1096" s="20">
        <v>2</v>
      </c>
      <c r="E1096" s="20">
        <v>0</v>
      </c>
      <c r="F1096" s="22">
        <f>IFERROR(E1096/D1096*100,"")</f>
        <v>0</v>
      </c>
      <c r="G1096" s="23">
        <f>IFERROR(INDEX(Population_by_Province_Year!$B$5:$J$29,MATCH($A1096,Population_by_Province_Year!$A$5:$A$29,0),MATCH($B1096,Population_by_Province_Year!$B$4:$J$4,0)),"")</f>
        <v>974490</v>
      </c>
      <c r="H1096" s="22">
        <f>IFERROR(D1096/G1096*100000,"")</f>
        <v>0.20523555911297192</v>
      </c>
    </row>
    <row r="1097" spans="1:8" ht="15" customHeight="1" x14ac:dyDescent="0.3">
      <c r="A1097" s="20" t="s">
        <v>6</v>
      </c>
      <c r="B1097" s="20">
        <v>2022</v>
      </c>
      <c r="C1097" s="20" t="s">
        <v>99</v>
      </c>
      <c r="D1097" s="20">
        <v>1</v>
      </c>
      <c r="E1097" s="20">
        <v>0</v>
      </c>
      <c r="F1097" s="22">
        <f>IFERROR(E1097/D1097*100,"")</f>
        <v>0</v>
      </c>
      <c r="G1097" s="23">
        <f>IFERROR(INDEX(Population_by_Province_Year!$B$5:$J$29,MATCH($A1097,Population_by_Province_Year!$A$5:$A$29,0),MATCH($B1097,Population_by_Province_Year!$B$4:$J$4,0)),"")</f>
        <v>570780</v>
      </c>
      <c r="H1097" s="22">
        <f>IFERROR(D1097/G1097*100000,"")</f>
        <v>0.17519885069553945</v>
      </c>
    </row>
    <row r="1098" spans="1:8" ht="15" customHeight="1" x14ac:dyDescent="0.3">
      <c r="A1098" s="20" t="s">
        <v>7</v>
      </c>
      <c r="B1098" s="20">
        <v>2022</v>
      </c>
      <c r="C1098" s="20" t="s">
        <v>99</v>
      </c>
      <c r="D1098" s="20">
        <v>14</v>
      </c>
      <c r="E1098" s="20">
        <v>0</v>
      </c>
      <c r="F1098" s="22">
        <f>IFERROR(E1098/D1098*100,"")</f>
        <v>0</v>
      </c>
      <c r="G1098" s="23">
        <f>IFERROR(INDEX(Population_by_Province_Year!$B$5:$J$29,MATCH($A1098,Population_by_Province_Year!$A$5:$A$29,0),MATCH($B1098,Population_by_Province_Year!$B$4:$J$4,0)),"")</f>
        <v>950374</v>
      </c>
      <c r="H1098" s="22">
        <f>IFERROR(D1098/G1098*100000,"")</f>
        <v>1.4731042726337209</v>
      </c>
    </row>
    <row r="1099" spans="1:8" ht="15" customHeight="1" x14ac:dyDescent="0.3">
      <c r="A1099" s="20" t="s">
        <v>8</v>
      </c>
      <c r="B1099" s="20">
        <v>2022</v>
      </c>
      <c r="C1099" s="20" t="s">
        <v>99</v>
      </c>
      <c r="D1099" s="20">
        <v>1</v>
      </c>
      <c r="E1099" s="20">
        <v>0</v>
      </c>
      <c r="F1099" s="22">
        <f>IFERROR(E1099/D1099*100,"")</f>
        <v>0</v>
      </c>
      <c r="G1099" s="23">
        <f>IFERROR(INDEX(Population_by_Province_Year!$B$5:$J$29,MATCH($A1099,Population_by_Province_Year!$A$5:$A$29,0),MATCH($B1099,Population_by_Province_Year!$B$4:$J$4,0)),"")</f>
        <v>738130</v>
      </c>
      <c r="H1099" s="22">
        <f>IFERROR(D1099/G1099*100000,"")</f>
        <v>0.13547749041496757</v>
      </c>
    </row>
    <row r="1100" spans="1:8" ht="15" customHeight="1" x14ac:dyDescent="0.3">
      <c r="A1100" s="20" t="s">
        <v>9</v>
      </c>
      <c r="B1100" s="20">
        <v>2022</v>
      </c>
      <c r="C1100" s="20" t="s">
        <v>99</v>
      </c>
      <c r="D1100" s="20">
        <v>9</v>
      </c>
      <c r="E1100" s="20">
        <v>0</v>
      </c>
      <c r="F1100" s="22">
        <f>IFERROR(E1100/D1100*100,"")</f>
        <v>0</v>
      </c>
      <c r="G1100" s="23">
        <f>IFERROR(INDEX(Population_by_Province_Year!$B$5:$J$29,MATCH($A1100,Population_by_Province_Year!$A$5:$A$29,0),MATCH($B1100,Population_by_Province_Year!$B$4:$J$4,0)),"")</f>
        <v>643128</v>
      </c>
      <c r="H1100" s="22">
        <f>IFERROR(D1100/G1100*100000,"")</f>
        <v>1.3994103817591523</v>
      </c>
    </row>
    <row r="1101" spans="1:8" ht="15" customHeight="1" x14ac:dyDescent="0.3">
      <c r="A1101" s="20" t="s">
        <v>10</v>
      </c>
      <c r="B1101" s="20">
        <v>2022</v>
      </c>
      <c r="C1101" s="20" t="s">
        <v>99</v>
      </c>
      <c r="D1101" s="20">
        <v>14</v>
      </c>
      <c r="E1101" s="20">
        <v>0</v>
      </c>
      <c r="F1101" s="22">
        <f>IFERROR(E1101/D1101*100,"")</f>
        <v>0</v>
      </c>
      <c r="G1101" s="23">
        <f>IFERROR(INDEX(Population_by_Province_Year!$B$5:$J$29,MATCH($A1101,Population_by_Province_Year!$A$5:$A$29,0),MATCH($B1101,Population_by_Province_Year!$B$4:$J$4,0)),"")</f>
        <v>1301335</v>
      </c>
      <c r="H1101" s="22">
        <f>IFERROR(D1101/G1101*100000,"")</f>
        <v>1.0758182942900945</v>
      </c>
    </row>
    <row r="1102" spans="1:8" ht="15" customHeight="1" x14ac:dyDescent="0.3">
      <c r="A1102" s="20" t="s">
        <v>13</v>
      </c>
      <c r="B1102" s="20">
        <v>2022</v>
      </c>
      <c r="C1102" s="20" t="s">
        <v>99</v>
      </c>
      <c r="D1102" s="20">
        <v>2</v>
      </c>
      <c r="E1102" s="20">
        <v>0</v>
      </c>
      <c r="F1102" s="22">
        <f>IFERROR(E1102/D1102*100,"")</f>
        <v>0</v>
      </c>
      <c r="G1102" s="23">
        <f>IFERROR(INDEX(Population_by_Province_Year!$B$5:$J$29,MATCH($A1102,Population_by_Province_Year!$A$5:$A$29,0),MATCH($B1102,Population_by_Province_Year!$B$4:$J$4,0)),"")</f>
        <v>405867</v>
      </c>
      <c r="H1102" s="22">
        <f>IFERROR(D1102/G1102*100000,"")</f>
        <v>0.49277226283486952</v>
      </c>
    </row>
    <row r="1103" spans="1:8" ht="15" customHeight="1" x14ac:dyDescent="0.3">
      <c r="A1103" s="20" t="s">
        <v>15</v>
      </c>
      <c r="B1103" s="20">
        <v>2022</v>
      </c>
      <c r="C1103" s="20" t="s">
        <v>99</v>
      </c>
      <c r="D1103" s="20">
        <v>1</v>
      </c>
      <c r="E1103" s="20">
        <v>0</v>
      </c>
      <c r="F1103" s="22">
        <f>IFERROR(E1103/D1103*100,"")</f>
        <v>0</v>
      </c>
      <c r="G1103" s="23">
        <f>IFERROR(INDEX(Population_by_Province_Year!$B$5:$J$29,MATCH($A1103,Population_by_Province_Year!$A$5:$A$29,0),MATCH($B1103,Population_by_Province_Year!$B$4:$J$4,0)),"")</f>
        <v>298954</v>
      </c>
      <c r="H1103" s="22">
        <f>IFERROR(D1103/G1103*100000,"")</f>
        <v>0.33449962201542716</v>
      </c>
    </row>
    <row r="1104" spans="1:8" ht="15" customHeight="1" x14ac:dyDescent="0.3">
      <c r="A1104" s="20" t="s">
        <v>17</v>
      </c>
      <c r="B1104" s="20">
        <v>2022</v>
      </c>
      <c r="C1104" s="20" t="s">
        <v>99</v>
      </c>
      <c r="D1104" s="20">
        <v>39</v>
      </c>
      <c r="E1104" s="20">
        <v>0</v>
      </c>
      <c r="F1104" s="22">
        <f>IFERROR(E1104/D1104*100,"")</f>
        <v>0</v>
      </c>
      <c r="G1104" s="23">
        <f>IFERROR(INDEX(Population_by_Province_Year!$B$5:$J$29,MATCH($A1104,Population_by_Province_Year!$A$5:$A$29,0),MATCH($B1104,Population_by_Province_Year!$B$4:$J$4,0)),"")</f>
        <v>2471395</v>
      </c>
      <c r="H1104" s="22">
        <f>IFERROR(D1104/G1104*100000,"")</f>
        <v>1.5780561181033383</v>
      </c>
    </row>
    <row r="1105" spans="1:8" ht="15" customHeight="1" x14ac:dyDescent="0.3">
      <c r="A1105" s="20" t="s">
        <v>18</v>
      </c>
      <c r="B1105" s="20">
        <v>2022</v>
      </c>
      <c r="C1105" s="20" t="s">
        <v>99</v>
      </c>
      <c r="D1105" s="20">
        <v>6</v>
      </c>
      <c r="E1105" s="20">
        <v>0</v>
      </c>
      <c r="F1105" s="22">
        <f>IFERROR(E1105/D1105*100,"")</f>
        <v>0</v>
      </c>
      <c r="G1105" s="23">
        <f>IFERROR(INDEX(Population_by_Province_Year!$B$5:$J$29,MATCH($A1105,Population_by_Province_Year!$A$5:$A$29,0),MATCH($B1105,Population_by_Province_Year!$B$4:$J$4,0)),"")</f>
        <v>335814</v>
      </c>
      <c r="H1105" s="22">
        <f>IFERROR(D1105/G1105*100000,"")</f>
        <v>1.7867033536421948</v>
      </c>
    </row>
    <row r="1106" spans="1:8" ht="15" customHeight="1" x14ac:dyDescent="0.3">
      <c r="A1106" s="20" t="s">
        <v>19</v>
      </c>
      <c r="B1106" s="20">
        <v>2022</v>
      </c>
      <c r="C1106" s="20" t="s">
        <v>99</v>
      </c>
      <c r="D1106" s="20">
        <v>1</v>
      </c>
      <c r="E1106" s="20">
        <v>0</v>
      </c>
      <c r="F1106" s="22">
        <f>IFERROR(E1106/D1106*100,"")</f>
        <v>0</v>
      </c>
      <c r="G1106" s="23">
        <f>IFERROR(INDEX(Population_by_Province_Year!$B$5:$J$29,MATCH($A1106,Population_by_Province_Year!$A$5:$A$29,0),MATCH($B1106,Population_by_Province_Year!$B$4:$J$4,0)),"")</f>
        <v>275982</v>
      </c>
      <c r="H1106" s="22">
        <f>IFERROR(D1106/G1106*100000,"")</f>
        <v>0.36234247161046734</v>
      </c>
    </row>
    <row r="1107" spans="1:8" ht="15" customHeight="1" x14ac:dyDescent="0.3">
      <c r="A1107" s="20" t="s">
        <v>20</v>
      </c>
      <c r="B1107" s="20">
        <v>2022</v>
      </c>
      <c r="C1107" s="20" t="s">
        <v>99</v>
      </c>
      <c r="D1107" s="20">
        <v>4</v>
      </c>
      <c r="E1107" s="20">
        <v>0</v>
      </c>
      <c r="F1107" s="22">
        <f>IFERROR(E1107/D1107*100,"")</f>
        <v>0</v>
      </c>
      <c r="G1107" s="23">
        <f>IFERROR(INDEX(Population_by_Province_Year!$B$5:$J$29,MATCH($A1107,Population_by_Province_Year!$A$5:$A$29,0),MATCH($B1107,Population_by_Province_Year!$B$4:$J$4,0)),"")</f>
        <v>1145530</v>
      </c>
      <c r="H1107" s="22">
        <f>IFERROR(D1107/G1107*100000,"")</f>
        <v>0.34918334744616025</v>
      </c>
    </row>
    <row r="1108" spans="1:8" ht="15" customHeight="1" x14ac:dyDescent="0.3">
      <c r="A1108" s="20" t="s">
        <v>21</v>
      </c>
      <c r="B1108" s="20">
        <v>2022</v>
      </c>
      <c r="C1108" s="20" t="s">
        <v>99</v>
      </c>
      <c r="D1108" s="20">
        <v>2</v>
      </c>
      <c r="E1108" s="20">
        <v>0</v>
      </c>
      <c r="F1108" s="22">
        <f>IFERROR(E1108/D1108*100,"")</f>
        <v>0</v>
      </c>
      <c r="G1108" s="23">
        <f>IFERROR(INDEX(Population_by_Province_Year!$B$5:$J$29,MATCH($A1108,Population_by_Province_Year!$A$5:$A$29,0),MATCH($B1108,Population_by_Province_Year!$B$4:$J$4,0)),"")</f>
        <v>454816</v>
      </c>
      <c r="H1108" s="22">
        <f>IFERROR(D1108/G1108*100000,"")</f>
        <v>0.4397382677830155</v>
      </c>
    </row>
    <row r="1109" spans="1:8" ht="15" customHeight="1" x14ac:dyDescent="0.3">
      <c r="A1109" s="20" t="s">
        <v>23</v>
      </c>
      <c r="B1109" s="20">
        <v>2022</v>
      </c>
      <c r="C1109" s="20" t="s">
        <v>99</v>
      </c>
      <c r="D1109" s="20">
        <v>3</v>
      </c>
      <c r="E1109" s="20">
        <v>0</v>
      </c>
      <c r="F1109" s="22">
        <f>IFERROR(E1109/D1109*100,"")</f>
        <v>0</v>
      </c>
      <c r="G1109" s="23">
        <f>IFERROR(INDEX(Population_by_Province_Year!$B$5:$J$29,MATCH($A1109,Population_by_Province_Year!$A$5:$A$29,0),MATCH($B1109,Population_by_Province_Year!$B$4:$J$4,0)),"")</f>
        <v>1098434</v>
      </c>
      <c r="H1109" s="22">
        <f>IFERROR(D1109/G1109*100000,"")</f>
        <v>0.27311609072552379</v>
      </c>
    </row>
    <row r="1110" spans="1:8" ht="15" customHeight="1" x14ac:dyDescent="0.3">
      <c r="A1110" s="20" t="s">
        <v>25</v>
      </c>
      <c r="B1110" s="20">
        <v>2022</v>
      </c>
      <c r="C1110" s="20" t="s">
        <v>99</v>
      </c>
      <c r="D1110" s="20">
        <v>6</v>
      </c>
      <c r="E1110" s="20">
        <v>0</v>
      </c>
      <c r="F1110" s="22">
        <f>IFERROR(E1110/D1110*100,"")</f>
        <v>0</v>
      </c>
      <c r="G1110" s="23">
        <f>IFERROR(INDEX(Population_by_Province_Year!$B$5:$J$29,MATCH($A1110,Population_by_Province_Year!$A$5:$A$29,0),MATCH($B1110,Population_by_Province_Year!$B$4:$J$4,0)),"")</f>
        <v>569123</v>
      </c>
      <c r="H1110" s="22">
        <f>IFERROR(D1110/G1110*100000,"")</f>
        <v>1.0542536499139905</v>
      </c>
    </row>
    <row r="1111" spans="1:8" ht="15" customHeight="1" x14ac:dyDescent="0.3">
      <c r="A1111" s="20" t="s">
        <v>26</v>
      </c>
      <c r="B1111" s="20">
        <v>2022</v>
      </c>
      <c r="C1111" s="20" t="s">
        <v>99</v>
      </c>
      <c r="D1111" s="20">
        <v>1</v>
      </c>
      <c r="E1111" s="20">
        <v>0</v>
      </c>
      <c r="F1111" s="22">
        <f>IFERROR(E1111/D1111*100,"")</f>
        <v>0</v>
      </c>
      <c r="G1111" s="23">
        <f>IFERROR(INDEX(Population_by_Province_Year!$B$5:$J$29,MATCH($A1111,Population_by_Province_Year!$A$5:$A$29,0),MATCH($B1111,Population_by_Province_Year!$B$4:$J$4,0)),"")</f>
        <v>975707</v>
      </c>
      <c r="H1111" s="22">
        <f>IFERROR(D1111/G1111*100000,"")</f>
        <v>0.10248978433074683</v>
      </c>
    </row>
    <row r="1112" spans="1:8" ht="15" customHeight="1" x14ac:dyDescent="0.3">
      <c r="A1112" s="20" t="s">
        <v>27</v>
      </c>
      <c r="B1112" s="20">
        <v>2022</v>
      </c>
      <c r="C1112" s="20" t="s">
        <v>99</v>
      </c>
      <c r="D1112" s="20">
        <v>2</v>
      </c>
      <c r="E1112" s="20">
        <v>0</v>
      </c>
      <c r="F1112" s="22">
        <f>IFERROR(E1112/D1112*100,"")</f>
        <v>0</v>
      </c>
      <c r="G1112" s="23">
        <f>IFERROR(INDEX(Population_by_Province_Year!$B$5:$J$29,MATCH($A1112,Population_by_Province_Year!$A$5:$A$29,0),MATCH($B1112,Population_by_Province_Year!$B$4:$J$4,0)),"")</f>
        <v>841333</v>
      </c>
      <c r="H1112" s="22">
        <f>IFERROR(D1112/G1112*100000,"")</f>
        <v>0.23771800226545256</v>
      </c>
    </row>
    <row r="1113" spans="1:8" ht="15" customHeight="1" x14ac:dyDescent="0.3">
      <c r="A1113" s="20" t="s">
        <v>3</v>
      </c>
      <c r="B1113" s="20">
        <v>2022</v>
      </c>
      <c r="C1113" s="20" t="s">
        <v>103</v>
      </c>
      <c r="D1113" s="20">
        <v>6</v>
      </c>
      <c r="E1113" s="20">
        <v>0</v>
      </c>
      <c r="F1113" s="22">
        <f>IFERROR(E1113/D1113*100,"")</f>
        <v>0</v>
      </c>
      <c r="G1113" s="23">
        <f>IFERROR(INDEX(Population_by_Province_Year!$B$5:$J$29,MATCH($A1113,Population_by_Province_Year!$A$5:$A$29,0),MATCH($B1113,Population_by_Province_Year!$B$4:$J$4,0)),"")</f>
        <v>933435</v>
      </c>
      <c r="H1113" s="22">
        <f>IFERROR(D1113/G1113*100000,"")</f>
        <v>0.64278712497388679</v>
      </c>
    </row>
    <row r="1114" spans="1:8" ht="15" customHeight="1" x14ac:dyDescent="0.3">
      <c r="A1114" s="20" t="s">
        <v>4</v>
      </c>
      <c r="B1114" s="20">
        <v>2022</v>
      </c>
      <c r="C1114" s="20" t="s">
        <v>103</v>
      </c>
      <c r="D1114" s="20">
        <v>1</v>
      </c>
      <c r="E1114" s="20">
        <v>0</v>
      </c>
      <c r="F1114" s="22">
        <f>IFERROR(E1114/D1114*100,"")</f>
        <v>0</v>
      </c>
      <c r="G1114" s="23">
        <f>IFERROR(INDEX(Population_by_Province_Year!$B$5:$J$29,MATCH($A1114,Population_by_Province_Year!$A$5:$A$29,0),MATCH($B1114,Population_by_Province_Year!$B$4:$J$4,0)),"")</f>
        <v>1079953</v>
      </c>
      <c r="H1114" s="22">
        <f>IFERROR(D1114/G1114*100000,"")</f>
        <v>9.2596622260413181E-2</v>
      </c>
    </row>
    <row r="1115" spans="1:8" ht="15" customHeight="1" x14ac:dyDescent="0.3">
      <c r="A1115" s="20" t="s">
        <v>5</v>
      </c>
      <c r="B1115" s="20">
        <v>2022</v>
      </c>
      <c r="C1115" s="20" t="s">
        <v>103</v>
      </c>
      <c r="D1115" s="20">
        <v>8</v>
      </c>
      <c r="E1115" s="20">
        <v>0</v>
      </c>
      <c r="F1115" s="22">
        <f>IFERROR(E1115/D1115*100,"")</f>
        <v>0</v>
      </c>
      <c r="G1115" s="23">
        <f>IFERROR(INDEX(Population_by_Province_Year!$B$5:$J$29,MATCH($A1115,Population_by_Province_Year!$A$5:$A$29,0),MATCH($B1115,Population_by_Province_Year!$B$4:$J$4,0)),"")</f>
        <v>974490</v>
      </c>
      <c r="H1115" s="22">
        <f>IFERROR(D1115/G1115*100000,"")</f>
        <v>0.82094223645188769</v>
      </c>
    </row>
    <row r="1116" spans="1:8" ht="15" customHeight="1" x14ac:dyDescent="0.3">
      <c r="A1116" s="20" t="s">
        <v>6</v>
      </c>
      <c r="B1116" s="20">
        <v>2022</v>
      </c>
      <c r="C1116" s="20" t="s">
        <v>103</v>
      </c>
      <c r="D1116" s="20">
        <v>5</v>
      </c>
      <c r="E1116" s="20">
        <v>0</v>
      </c>
      <c r="F1116" s="22">
        <f>IFERROR(E1116/D1116*100,"")</f>
        <v>0</v>
      </c>
      <c r="G1116" s="23">
        <f>IFERROR(INDEX(Population_by_Province_Year!$B$5:$J$29,MATCH($A1116,Population_by_Province_Year!$A$5:$A$29,0),MATCH($B1116,Population_by_Province_Year!$B$4:$J$4,0)),"")</f>
        <v>570780</v>
      </c>
      <c r="H1116" s="22">
        <f>IFERROR(D1116/G1116*100000,"")</f>
        <v>0.87599425347769722</v>
      </c>
    </row>
    <row r="1117" spans="1:8" ht="15" customHeight="1" x14ac:dyDescent="0.3">
      <c r="A1117" s="20" t="s">
        <v>7</v>
      </c>
      <c r="B1117" s="20">
        <v>2022</v>
      </c>
      <c r="C1117" s="20" t="s">
        <v>103</v>
      </c>
      <c r="D1117" s="20">
        <v>34</v>
      </c>
      <c r="E1117" s="20">
        <v>0</v>
      </c>
      <c r="F1117" s="22">
        <f>IFERROR(E1117/D1117*100,"")</f>
        <v>0</v>
      </c>
      <c r="G1117" s="23">
        <f>IFERROR(INDEX(Population_by_Province_Year!$B$5:$J$29,MATCH($A1117,Population_by_Province_Year!$A$5:$A$29,0),MATCH($B1117,Population_by_Province_Year!$B$4:$J$4,0)),"")</f>
        <v>950374</v>
      </c>
      <c r="H1117" s="22">
        <f>IFERROR(D1117/G1117*100000,"")</f>
        <v>3.5775389478247512</v>
      </c>
    </row>
    <row r="1118" spans="1:8" ht="15" customHeight="1" x14ac:dyDescent="0.3">
      <c r="A1118" s="20" t="s">
        <v>8</v>
      </c>
      <c r="B1118" s="20">
        <v>2022</v>
      </c>
      <c r="C1118" s="20" t="s">
        <v>103</v>
      </c>
      <c r="D1118" s="20">
        <v>8</v>
      </c>
      <c r="E1118" s="20">
        <v>0</v>
      </c>
      <c r="F1118" s="22">
        <f>IFERROR(E1118/D1118*100,"")</f>
        <v>0</v>
      </c>
      <c r="G1118" s="23">
        <f>IFERROR(INDEX(Population_by_Province_Year!$B$5:$J$29,MATCH($A1118,Population_by_Province_Year!$A$5:$A$29,0),MATCH($B1118,Population_by_Province_Year!$B$4:$J$4,0)),"")</f>
        <v>738130</v>
      </c>
      <c r="H1118" s="22">
        <f>IFERROR(D1118/G1118*100000,"")</f>
        <v>1.0838199233197405</v>
      </c>
    </row>
    <row r="1119" spans="1:8" ht="15" customHeight="1" x14ac:dyDescent="0.3">
      <c r="A1119" s="20" t="s">
        <v>9</v>
      </c>
      <c r="B1119" s="20">
        <v>2022</v>
      </c>
      <c r="C1119" s="20" t="s">
        <v>103</v>
      </c>
      <c r="D1119" s="20">
        <v>5</v>
      </c>
      <c r="E1119" s="20">
        <v>0</v>
      </c>
      <c r="F1119" s="22">
        <f>IFERROR(E1119/D1119*100,"")</f>
        <v>0</v>
      </c>
      <c r="G1119" s="23">
        <f>IFERROR(INDEX(Population_by_Province_Year!$B$5:$J$29,MATCH($A1119,Population_by_Province_Year!$A$5:$A$29,0),MATCH($B1119,Population_by_Province_Year!$B$4:$J$4,0)),"")</f>
        <v>643128</v>
      </c>
      <c r="H1119" s="22">
        <f>IFERROR(D1119/G1119*100000,"")</f>
        <v>0.77745021208841791</v>
      </c>
    </row>
    <row r="1120" spans="1:8" ht="15" customHeight="1" x14ac:dyDescent="0.3">
      <c r="A1120" s="20" t="s">
        <v>10</v>
      </c>
      <c r="B1120" s="20">
        <v>2022</v>
      </c>
      <c r="C1120" s="20" t="s">
        <v>103</v>
      </c>
      <c r="D1120" s="20">
        <v>26</v>
      </c>
      <c r="E1120" s="20">
        <v>0</v>
      </c>
      <c r="F1120" s="22">
        <f>IFERROR(E1120/D1120*100,"")</f>
        <v>0</v>
      </c>
      <c r="G1120" s="23">
        <f>IFERROR(INDEX(Population_by_Province_Year!$B$5:$J$29,MATCH($A1120,Population_by_Province_Year!$A$5:$A$29,0),MATCH($B1120,Population_by_Province_Year!$B$4:$J$4,0)),"")</f>
        <v>1301335</v>
      </c>
      <c r="H1120" s="22">
        <f>IFERROR(D1120/G1120*100000,"")</f>
        <v>1.997948260824461</v>
      </c>
    </row>
    <row r="1121" spans="1:8" ht="15" customHeight="1" x14ac:dyDescent="0.3">
      <c r="A1121" s="20" t="s">
        <v>13</v>
      </c>
      <c r="B1121" s="20">
        <v>2022</v>
      </c>
      <c r="C1121" s="20" t="s">
        <v>103</v>
      </c>
      <c r="D1121" s="20">
        <v>3</v>
      </c>
      <c r="E1121" s="20">
        <v>0</v>
      </c>
      <c r="F1121" s="22">
        <f>IFERROR(E1121/D1121*100,"")</f>
        <v>0</v>
      </c>
      <c r="G1121" s="23">
        <f>IFERROR(INDEX(Population_by_Province_Year!$B$5:$J$29,MATCH($A1121,Population_by_Province_Year!$A$5:$A$29,0),MATCH($B1121,Population_by_Province_Year!$B$4:$J$4,0)),"")</f>
        <v>405867</v>
      </c>
      <c r="H1121" s="22">
        <f>IFERROR(D1121/G1121*100000,"")</f>
        <v>0.73915839425230434</v>
      </c>
    </row>
    <row r="1122" spans="1:8" ht="15" customHeight="1" x14ac:dyDescent="0.3">
      <c r="A1122" s="20" t="s">
        <v>17</v>
      </c>
      <c r="B1122" s="20">
        <v>2022</v>
      </c>
      <c r="C1122" s="20" t="s">
        <v>103</v>
      </c>
      <c r="D1122" s="20">
        <v>57</v>
      </c>
      <c r="E1122" s="20">
        <v>0</v>
      </c>
      <c r="F1122" s="22">
        <f>IFERROR(E1122/D1122*100,"")</f>
        <v>0</v>
      </c>
      <c r="G1122" s="23">
        <f>IFERROR(INDEX(Population_by_Province_Year!$B$5:$J$29,MATCH($A1122,Population_by_Province_Year!$A$5:$A$29,0),MATCH($B1122,Population_by_Province_Year!$B$4:$J$4,0)),"")</f>
        <v>2471395</v>
      </c>
      <c r="H1122" s="22">
        <f>IFERROR(D1122/G1122*100000,"")</f>
        <v>2.3063897110741101</v>
      </c>
    </row>
    <row r="1123" spans="1:8" ht="15" customHeight="1" x14ac:dyDescent="0.3">
      <c r="A1123" s="20" t="s">
        <v>18</v>
      </c>
      <c r="B1123" s="20">
        <v>2022</v>
      </c>
      <c r="C1123" s="20" t="s">
        <v>103</v>
      </c>
      <c r="D1123" s="20">
        <v>4</v>
      </c>
      <c r="E1123" s="20">
        <v>1</v>
      </c>
      <c r="F1123" s="22">
        <f>IFERROR(E1123/D1123*100,"")</f>
        <v>25</v>
      </c>
      <c r="G1123" s="23">
        <f>IFERROR(INDEX(Population_by_Province_Year!$B$5:$J$29,MATCH($A1123,Population_by_Province_Year!$A$5:$A$29,0),MATCH($B1123,Population_by_Province_Year!$B$4:$J$4,0)),"")</f>
        <v>335814</v>
      </c>
      <c r="H1123" s="22">
        <f>IFERROR(D1123/G1123*100000,"")</f>
        <v>1.1911355690947965</v>
      </c>
    </row>
    <row r="1124" spans="1:8" ht="15" customHeight="1" x14ac:dyDescent="0.3">
      <c r="A1124" s="20" t="s">
        <v>19</v>
      </c>
      <c r="B1124" s="20">
        <v>2022</v>
      </c>
      <c r="C1124" s="20" t="s">
        <v>103</v>
      </c>
      <c r="D1124" s="20">
        <v>4</v>
      </c>
      <c r="E1124" s="20">
        <v>0</v>
      </c>
      <c r="F1124" s="22">
        <f>IFERROR(E1124/D1124*100,"")</f>
        <v>0</v>
      </c>
      <c r="G1124" s="23">
        <f>IFERROR(INDEX(Population_by_Province_Year!$B$5:$J$29,MATCH($A1124,Population_by_Province_Year!$A$5:$A$29,0),MATCH($B1124,Population_by_Province_Year!$B$4:$J$4,0)),"")</f>
        <v>275982</v>
      </c>
      <c r="H1124" s="22">
        <f>IFERROR(D1124/G1124*100000,"")</f>
        <v>1.4493698864418694</v>
      </c>
    </row>
    <row r="1125" spans="1:8" ht="15" customHeight="1" x14ac:dyDescent="0.3">
      <c r="A1125" s="20" t="s">
        <v>20</v>
      </c>
      <c r="B1125" s="20">
        <v>2022</v>
      </c>
      <c r="C1125" s="20" t="s">
        <v>103</v>
      </c>
      <c r="D1125" s="20">
        <v>4</v>
      </c>
      <c r="E1125" s="20">
        <v>0</v>
      </c>
      <c r="F1125" s="22">
        <f>IFERROR(E1125/D1125*100,"")</f>
        <v>0</v>
      </c>
      <c r="G1125" s="23">
        <f>IFERROR(INDEX(Population_by_Province_Year!$B$5:$J$29,MATCH($A1125,Population_by_Province_Year!$A$5:$A$29,0),MATCH($B1125,Population_by_Province_Year!$B$4:$J$4,0)),"")</f>
        <v>1145530</v>
      </c>
      <c r="H1125" s="22">
        <f>IFERROR(D1125/G1125*100000,"")</f>
        <v>0.34918334744616025</v>
      </c>
    </row>
    <row r="1126" spans="1:8" ht="15" customHeight="1" x14ac:dyDescent="0.3">
      <c r="A1126" s="20" t="s">
        <v>21</v>
      </c>
      <c r="B1126" s="20">
        <v>2022</v>
      </c>
      <c r="C1126" s="20" t="s">
        <v>103</v>
      </c>
      <c r="D1126" s="20">
        <v>1</v>
      </c>
      <c r="E1126" s="20">
        <v>0</v>
      </c>
      <c r="F1126" s="22">
        <f>IFERROR(E1126/D1126*100,"")</f>
        <v>0</v>
      </c>
      <c r="G1126" s="23">
        <f>IFERROR(INDEX(Population_by_Province_Year!$B$5:$J$29,MATCH($A1126,Population_by_Province_Year!$A$5:$A$29,0),MATCH($B1126,Population_by_Province_Year!$B$4:$J$4,0)),"")</f>
        <v>454816</v>
      </c>
      <c r="H1126" s="22">
        <f>IFERROR(D1126/G1126*100000,"")</f>
        <v>0.21986913389150775</v>
      </c>
    </row>
    <row r="1127" spans="1:8" ht="15" customHeight="1" x14ac:dyDescent="0.3">
      <c r="A1127" s="20" t="s">
        <v>23</v>
      </c>
      <c r="B1127" s="20">
        <v>2022</v>
      </c>
      <c r="C1127" s="20" t="s">
        <v>103</v>
      </c>
      <c r="D1127" s="20">
        <v>9</v>
      </c>
      <c r="E1127" s="20">
        <v>0</v>
      </c>
      <c r="F1127" s="22">
        <f>IFERROR(E1127/D1127*100,"")</f>
        <v>0</v>
      </c>
      <c r="G1127" s="23">
        <f>IFERROR(INDEX(Population_by_Province_Year!$B$5:$J$29,MATCH($A1127,Population_by_Province_Year!$A$5:$A$29,0),MATCH($B1127,Population_by_Province_Year!$B$4:$J$4,0)),"")</f>
        <v>1098434</v>
      </c>
      <c r="H1127" s="22">
        <f>IFERROR(D1127/G1127*100000,"")</f>
        <v>0.81934827217657136</v>
      </c>
    </row>
    <row r="1128" spans="1:8" ht="15" customHeight="1" x14ac:dyDescent="0.3">
      <c r="A1128" s="20" t="s">
        <v>24</v>
      </c>
      <c r="B1128" s="20">
        <v>2022</v>
      </c>
      <c r="C1128" s="20" t="s">
        <v>103</v>
      </c>
      <c r="D1128" s="20">
        <v>2</v>
      </c>
      <c r="E1128" s="20">
        <v>0</v>
      </c>
      <c r="F1128" s="22">
        <f>IFERROR(E1128/D1128*100,"")</f>
        <v>0</v>
      </c>
      <c r="G1128" s="23">
        <f>IFERROR(INDEX(Population_by_Province_Year!$B$5:$J$29,MATCH($A1128,Population_by_Province_Year!$A$5:$A$29,0),MATCH($B1128,Population_by_Province_Year!$B$4:$J$4,0)),"")</f>
        <v>179470</v>
      </c>
      <c r="H1128" s="22">
        <f>IFERROR(D1128/G1128*100000,"")</f>
        <v>1.1143923775561375</v>
      </c>
    </row>
    <row r="1129" spans="1:8" ht="15" customHeight="1" x14ac:dyDescent="0.3">
      <c r="A1129" s="20" t="s">
        <v>25</v>
      </c>
      <c r="B1129" s="20">
        <v>2022</v>
      </c>
      <c r="C1129" s="20" t="s">
        <v>103</v>
      </c>
      <c r="D1129" s="20">
        <v>3</v>
      </c>
      <c r="E1129" s="20">
        <v>0</v>
      </c>
      <c r="F1129" s="22">
        <f>IFERROR(E1129/D1129*100,"")</f>
        <v>0</v>
      </c>
      <c r="G1129" s="23">
        <f>IFERROR(INDEX(Population_by_Province_Year!$B$5:$J$29,MATCH($A1129,Population_by_Province_Year!$A$5:$A$29,0),MATCH($B1129,Population_by_Province_Year!$B$4:$J$4,0)),"")</f>
        <v>569123</v>
      </c>
      <c r="H1129" s="22">
        <f>IFERROR(D1129/G1129*100000,"")</f>
        <v>0.52712682495699525</v>
      </c>
    </row>
    <row r="1130" spans="1:8" ht="15" customHeight="1" x14ac:dyDescent="0.3">
      <c r="A1130" s="20" t="s">
        <v>26</v>
      </c>
      <c r="B1130" s="20">
        <v>2022</v>
      </c>
      <c r="C1130" s="20" t="s">
        <v>103</v>
      </c>
      <c r="D1130" s="20">
        <v>4</v>
      </c>
      <c r="E1130" s="20">
        <v>0</v>
      </c>
      <c r="F1130" s="22">
        <f>IFERROR(E1130/D1130*100,"")</f>
        <v>0</v>
      </c>
      <c r="G1130" s="23">
        <f>IFERROR(INDEX(Population_by_Province_Year!$B$5:$J$29,MATCH($A1130,Population_by_Province_Year!$A$5:$A$29,0),MATCH($B1130,Population_by_Province_Year!$B$4:$J$4,0)),"")</f>
        <v>975707</v>
      </c>
      <c r="H1130" s="22">
        <f>IFERROR(D1130/G1130*100000,"")</f>
        <v>0.40995913732298733</v>
      </c>
    </row>
    <row r="1131" spans="1:8" ht="15" customHeight="1" x14ac:dyDescent="0.3">
      <c r="A1131" s="20" t="s">
        <v>27</v>
      </c>
      <c r="B1131" s="20">
        <v>2022</v>
      </c>
      <c r="C1131" s="20" t="s">
        <v>103</v>
      </c>
      <c r="D1131" s="20">
        <v>1</v>
      </c>
      <c r="E1131" s="20">
        <v>0</v>
      </c>
      <c r="F1131" s="22">
        <f>IFERROR(E1131/D1131*100,"")</f>
        <v>0</v>
      </c>
      <c r="G1131" s="23">
        <f>IFERROR(INDEX(Population_by_Province_Year!$B$5:$J$29,MATCH($A1131,Population_by_Province_Year!$A$5:$A$29,0),MATCH($B1131,Population_by_Province_Year!$B$4:$J$4,0)),"")</f>
        <v>841333</v>
      </c>
      <c r="H1131" s="22">
        <f>IFERROR(D1131/G1131*100000,"")</f>
        <v>0.11885900113272628</v>
      </c>
    </row>
    <row r="1132" spans="1:8" ht="15" customHeight="1" x14ac:dyDescent="0.3">
      <c r="A1132" s="20" t="s">
        <v>3</v>
      </c>
      <c r="B1132" s="20">
        <v>2022</v>
      </c>
      <c r="C1132" s="20" t="s">
        <v>96</v>
      </c>
      <c r="D1132" s="20">
        <v>12</v>
      </c>
      <c r="E1132" s="20">
        <v>0</v>
      </c>
      <c r="F1132" s="22">
        <f>IFERROR(E1132/D1132*100,"")</f>
        <v>0</v>
      </c>
      <c r="G1132" s="23">
        <f>IFERROR(INDEX(Population_by_Province_Year!$B$5:$J$29,MATCH($A1132,Population_by_Province_Year!$A$5:$A$29,0),MATCH($B1132,Population_by_Province_Year!$B$4:$J$4,0)),"")</f>
        <v>933435</v>
      </c>
      <c r="H1132" s="22">
        <f>IFERROR(D1132/G1132*100000,"")</f>
        <v>1.2855742499477736</v>
      </c>
    </row>
    <row r="1133" spans="1:8" ht="15" customHeight="1" x14ac:dyDescent="0.3">
      <c r="A1133" s="20" t="s">
        <v>4</v>
      </c>
      <c r="B1133" s="20">
        <v>2022</v>
      </c>
      <c r="C1133" s="20" t="s">
        <v>96</v>
      </c>
      <c r="D1133" s="20">
        <v>7</v>
      </c>
      <c r="E1133" s="20">
        <v>0</v>
      </c>
      <c r="F1133" s="22">
        <f>IFERROR(E1133/D1133*100,"")</f>
        <v>0</v>
      </c>
      <c r="G1133" s="23">
        <f>IFERROR(INDEX(Population_by_Province_Year!$B$5:$J$29,MATCH($A1133,Population_by_Province_Year!$A$5:$A$29,0),MATCH($B1133,Population_by_Province_Year!$B$4:$J$4,0)),"")</f>
        <v>1079953</v>
      </c>
      <c r="H1133" s="22">
        <f>IFERROR(D1133/G1133*100000,"")</f>
        <v>0.64817635582289235</v>
      </c>
    </row>
    <row r="1134" spans="1:8" ht="15" customHeight="1" x14ac:dyDescent="0.3">
      <c r="A1134" s="20" t="s">
        <v>5</v>
      </c>
      <c r="B1134" s="20">
        <v>2022</v>
      </c>
      <c r="C1134" s="20" t="s">
        <v>96</v>
      </c>
      <c r="D1134" s="20">
        <v>16</v>
      </c>
      <c r="E1134" s="20">
        <v>0</v>
      </c>
      <c r="F1134" s="22">
        <f>IFERROR(E1134/D1134*100,"")</f>
        <v>0</v>
      </c>
      <c r="G1134" s="23">
        <f>IFERROR(INDEX(Population_by_Province_Year!$B$5:$J$29,MATCH($A1134,Population_by_Province_Year!$A$5:$A$29,0),MATCH($B1134,Population_by_Province_Year!$B$4:$J$4,0)),"")</f>
        <v>974490</v>
      </c>
      <c r="H1134" s="22">
        <f>IFERROR(D1134/G1134*100000,"")</f>
        <v>1.6418844729037754</v>
      </c>
    </row>
    <row r="1135" spans="1:8" ht="15" customHeight="1" x14ac:dyDescent="0.3">
      <c r="A1135" s="20" t="s">
        <v>6</v>
      </c>
      <c r="B1135" s="20">
        <v>2022</v>
      </c>
      <c r="C1135" s="20" t="s">
        <v>96</v>
      </c>
      <c r="D1135" s="20">
        <v>5</v>
      </c>
      <c r="E1135" s="20">
        <v>0</v>
      </c>
      <c r="F1135" s="22">
        <f>IFERROR(E1135/D1135*100,"")</f>
        <v>0</v>
      </c>
      <c r="G1135" s="23">
        <f>IFERROR(INDEX(Population_by_Province_Year!$B$5:$J$29,MATCH($A1135,Population_by_Province_Year!$A$5:$A$29,0),MATCH($B1135,Population_by_Province_Year!$B$4:$J$4,0)),"")</f>
        <v>570780</v>
      </c>
      <c r="H1135" s="22">
        <f>IFERROR(D1135/G1135*100000,"")</f>
        <v>0.87599425347769722</v>
      </c>
    </row>
    <row r="1136" spans="1:8" ht="15" customHeight="1" x14ac:dyDescent="0.3">
      <c r="A1136" s="21" t="s">
        <v>7</v>
      </c>
      <c r="B1136" s="21">
        <v>2022</v>
      </c>
      <c r="C1136" s="21" t="s">
        <v>96</v>
      </c>
      <c r="D1136" s="21">
        <v>43</v>
      </c>
      <c r="E1136" s="21">
        <v>0</v>
      </c>
      <c r="F1136" s="20">
        <f>IFERROR(E1136/D1136*100,"")</f>
        <v>0</v>
      </c>
      <c r="G1136" s="20">
        <f>IFERROR(INDEX(Population_by_Province_Year!$B$5:$J$29,MATCH($A1136,Population_by_Province_Year!$A$5:$A$29,0),MATCH($B1136,Population_by_Province_Year!$B$4:$J$4,0)),"")</f>
        <v>950374</v>
      </c>
      <c r="H1136" s="20">
        <f>IFERROR(D1136/G1136*100000,"")</f>
        <v>4.5245345516607145</v>
      </c>
    </row>
    <row r="1137" spans="1:8" ht="15" customHeight="1" x14ac:dyDescent="0.3">
      <c r="A1137" s="21" t="s">
        <v>8</v>
      </c>
      <c r="B1137" s="21">
        <v>2022</v>
      </c>
      <c r="C1137" s="21" t="s">
        <v>96</v>
      </c>
      <c r="D1137" s="21">
        <v>13</v>
      </c>
      <c r="E1137" s="21">
        <v>0</v>
      </c>
      <c r="F1137" s="20">
        <f>IFERROR(E1137/D1137*100,"")</f>
        <v>0</v>
      </c>
      <c r="G1137" s="20">
        <f>IFERROR(INDEX(Population_by_Province_Year!$B$5:$J$29,MATCH($A1137,Population_by_Province_Year!$A$5:$A$29,0),MATCH($B1137,Population_by_Province_Year!$B$4:$J$4,0)),"")</f>
        <v>738130</v>
      </c>
      <c r="H1137" s="20">
        <f>IFERROR(D1137/G1137*100000,"")</f>
        <v>1.7612073753945781</v>
      </c>
    </row>
    <row r="1138" spans="1:8" ht="15" customHeight="1" x14ac:dyDescent="0.3">
      <c r="A1138" s="21" t="s">
        <v>9</v>
      </c>
      <c r="B1138" s="21">
        <v>2022</v>
      </c>
      <c r="C1138" s="21" t="s">
        <v>96</v>
      </c>
      <c r="D1138" s="21">
        <v>3</v>
      </c>
      <c r="E1138" s="21">
        <v>0</v>
      </c>
      <c r="F1138" s="20">
        <f>IFERROR(E1138/D1138*100,"")</f>
        <v>0</v>
      </c>
      <c r="G1138" s="20">
        <f>IFERROR(INDEX(Population_by_Province_Year!$B$5:$J$29,MATCH($A1138,Population_by_Province_Year!$A$5:$A$29,0),MATCH($B1138,Population_by_Province_Year!$B$4:$J$4,0)),"")</f>
        <v>643128</v>
      </c>
      <c r="H1138" s="20">
        <f>IFERROR(D1138/G1138*100000,"")</f>
        <v>0.4664701272530507</v>
      </c>
    </row>
    <row r="1139" spans="1:8" ht="15" customHeight="1" x14ac:dyDescent="0.3">
      <c r="A1139" s="21" t="s">
        <v>10</v>
      </c>
      <c r="B1139" s="21">
        <v>2022</v>
      </c>
      <c r="C1139" s="21" t="s">
        <v>96</v>
      </c>
      <c r="D1139" s="21">
        <v>45</v>
      </c>
      <c r="E1139" s="21">
        <v>0</v>
      </c>
      <c r="F1139" s="20">
        <f>IFERROR(E1139/D1139*100,"")</f>
        <v>0</v>
      </c>
      <c r="G1139" s="20">
        <f>IFERROR(INDEX(Population_by_Province_Year!$B$5:$J$29,MATCH($A1139,Population_by_Province_Year!$A$5:$A$29,0),MATCH($B1139,Population_by_Province_Year!$B$4:$J$4,0)),"")</f>
        <v>1301335</v>
      </c>
      <c r="H1139" s="20">
        <f>IFERROR(D1139/G1139*100000,"")</f>
        <v>3.4579873745038747</v>
      </c>
    </row>
    <row r="1140" spans="1:8" ht="15" customHeight="1" x14ac:dyDescent="0.3">
      <c r="A1140" s="21" t="s">
        <v>12</v>
      </c>
      <c r="B1140" s="21">
        <v>2022</v>
      </c>
      <c r="C1140" s="21" t="s">
        <v>96</v>
      </c>
      <c r="D1140" s="21">
        <v>2</v>
      </c>
      <c r="E1140" s="21">
        <v>0</v>
      </c>
      <c r="F1140" s="20">
        <f>IFERROR(E1140/D1140*100,"")</f>
        <v>0</v>
      </c>
      <c r="G1140" s="20">
        <f>IFERROR(INDEX(Population_by_Province_Year!$B$5:$J$29,MATCH($A1140,Population_by_Province_Year!$A$5:$A$29,0),MATCH($B1140,Population_by_Province_Year!$B$4:$J$4,0)),"")</f>
        <v>136354</v>
      </c>
      <c r="H1140" s="20">
        <f>IFERROR(D1140/G1140*100000,"")</f>
        <v>1.4667703184358361</v>
      </c>
    </row>
    <row r="1141" spans="1:8" ht="15" customHeight="1" x14ac:dyDescent="0.3">
      <c r="A1141" s="21" t="s">
        <v>13</v>
      </c>
      <c r="B1141" s="21">
        <v>2022</v>
      </c>
      <c r="C1141" s="21" t="s">
        <v>96</v>
      </c>
      <c r="D1141" s="21">
        <v>3</v>
      </c>
      <c r="E1141" s="21">
        <v>0</v>
      </c>
      <c r="F1141" s="20">
        <f>IFERROR(E1141/D1141*100,"")</f>
        <v>0</v>
      </c>
      <c r="G1141" s="20">
        <f>IFERROR(INDEX(Population_by_Province_Year!$B$5:$J$29,MATCH($A1141,Population_by_Province_Year!$A$5:$A$29,0),MATCH($B1141,Population_by_Province_Year!$B$4:$J$4,0)),"")</f>
        <v>405867</v>
      </c>
      <c r="H1141" s="20">
        <f>IFERROR(D1141/G1141*100000,"")</f>
        <v>0.73915839425230434</v>
      </c>
    </row>
    <row r="1142" spans="1:8" ht="15" customHeight="1" x14ac:dyDescent="0.3">
      <c r="A1142" s="21" t="s">
        <v>17</v>
      </c>
      <c r="B1142" s="21">
        <v>2022</v>
      </c>
      <c r="C1142" s="21" t="s">
        <v>96</v>
      </c>
      <c r="D1142" s="21">
        <v>29</v>
      </c>
      <c r="E1142" s="21">
        <v>0</v>
      </c>
      <c r="F1142" s="20">
        <f>IFERROR(E1142/D1142*100,"")</f>
        <v>0</v>
      </c>
      <c r="G1142" s="20">
        <f>IFERROR(INDEX(Population_by_Province_Year!$B$5:$J$29,MATCH($A1142,Population_by_Province_Year!$A$5:$A$29,0),MATCH($B1142,Population_by_Province_Year!$B$4:$J$4,0)),"")</f>
        <v>2471395</v>
      </c>
      <c r="H1142" s="20">
        <f>IFERROR(D1142/G1142*100000,"")</f>
        <v>1.1734263442306876</v>
      </c>
    </row>
    <row r="1143" spans="1:8" ht="15" customHeight="1" x14ac:dyDescent="0.3">
      <c r="A1143" s="21" t="s">
        <v>18</v>
      </c>
      <c r="B1143" s="21">
        <v>2022</v>
      </c>
      <c r="C1143" s="21" t="s">
        <v>96</v>
      </c>
      <c r="D1143" s="21">
        <v>7</v>
      </c>
      <c r="E1143" s="21">
        <v>0</v>
      </c>
      <c r="F1143" s="20">
        <f>IFERROR(E1143/D1143*100,"")</f>
        <v>0</v>
      </c>
      <c r="G1143" s="20">
        <f>IFERROR(INDEX(Population_by_Province_Year!$B$5:$J$29,MATCH($A1143,Population_by_Province_Year!$A$5:$A$29,0),MATCH($B1143,Population_by_Province_Year!$B$4:$J$4,0)),"")</f>
        <v>335814</v>
      </c>
      <c r="H1143" s="20">
        <f>IFERROR(D1143/G1143*100000,"")</f>
        <v>2.0844872459158941</v>
      </c>
    </row>
    <row r="1144" spans="1:8" ht="15" customHeight="1" x14ac:dyDescent="0.3">
      <c r="A1144" s="21" t="s">
        <v>19</v>
      </c>
      <c r="B1144" s="21">
        <v>2022</v>
      </c>
      <c r="C1144" s="21" t="s">
        <v>96</v>
      </c>
      <c r="D1144" s="21">
        <v>2</v>
      </c>
      <c r="E1144" s="21">
        <v>0</v>
      </c>
      <c r="F1144" s="20">
        <f>IFERROR(E1144/D1144*100,"")</f>
        <v>0</v>
      </c>
      <c r="G1144" s="20">
        <f>IFERROR(INDEX(Population_by_Province_Year!$B$5:$J$29,MATCH($A1144,Population_by_Province_Year!$A$5:$A$29,0),MATCH($B1144,Population_by_Province_Year!$B$4:$J$4,0)),"")</f>
        <v>275982</v>
      </c>
      <c r="H1144" s="20">
        <f>IFERROR(D1144/G1144*100000,"")</f>
        <v>0.72468494322093469</v>
      </c>
    </row>
    <row r="1145" spans="1:8" ht="15" customHeight="1" x14ac:dyDescent="0.3">
      <c r="A1145" s="21" t="s">
        <v>20</v>
      </c>
      <c r="B1145" s="21">
        <v>2022</v>
      </c>
      <c r="C1145" s="21" t="s">
        <v>96</v>
      </c>
      <c r="D1145" s="21">
        <v>2</v>
      </c>
      <c r="E1145" s="21">
        <v>0</v>
      </c>
      <c r="F1145" s="20">
        <f>IFERROR(E1145/D1145*100,"")</f>
        <v>0</v>
      </c>
      <c r="G1145" s="20">
        <f>IFERROR(INDEX(Population_by_Province_Year!$B$5:$J$29,MATCH($A1145,Population_by_Province_Year!$A$5:$A$29,0),MATCH($B1145,Population_by_Province_Year!$B$4:$J$4,0)),"")</f>
        <v>1145530</v>
      </c>
      <c r="H1145" s="20">
        <f>IFERROR(D1145/G1145*100000,"")</f>
        <v>0.17459167372308013</v>
      </c>
    </row>
    <row r="1146" spans="1:8" ht="15" customHeight="1" x14ac:dyDescent="0.3">
      <c r="A1146" s="21" t="s">
        <v>21</v>
      </c>
      <c r="B1146" s="21">
        <v>2022</v>
      </c>
      <c r="C1146" s="21" t="s">
        <v>96</v>
      </c>
      <c r="D1146" s="21">
        <v>10</v>
      </c>
      <c r="E1146" s="21">
        <v>0</v>
      </c>
      <c r="F1146" s="20">
        <f>IFERROR(E1146/D1146*100,"")</f>
        <v>0</v>
      </c>
      <c r="G1146" s="20">
        <f>IFERROR(INDEX(Population_by_Province_Year!$B$5:$J$29,MATCH($A1146,Population_by_Province_Year!$A$5:$A$29,0),MATCH($B1146,Population_by_Province_Year!$B$4:$J$4,0)),"")</f>
        <v>454816</v>
      </c>
      <c r="H1146" s="20">
        <f>IFERROR(D1146/G1146*100000,"")</f>
        <v>2.198691338915078</v>
      </c>
    </row>
    <row r="1147" spans="1:8" ht="15" customHeight="1" x14ac:dyDescent="0.3">
      <c r="A1147" s="21" t="s">
        <v>23</v>
      </c>
      <c r="B1147" s="21">
        <v>2022</v>
      </c>
      <c r="C1147" s="21" t="s">
        <v>96</v>
      </c>
      <c r="D1147" s="21">
        <v>34</v>
      </c>
      <c r="E1147" s="21">
        <v>0</v>
      </c>
      <c r="F1147" s="20">
        <f>IFERROR(E1147/D1147*100,"")</f>
        <v>0</v>
      </c>
      <c r="G1147" s="20">
        <f>IFERROR(INDEX(Population_by_Province_Year!$B$5:$J$29,MATCH($A1147,Population_by_Province_Year!$A$5:$A$29,0),MATCH($B1147,Population_by_Province_Year!$B$4:$J$4,0)),"")</f>
        <v>1098434</v>
      </c>
      <c r="H1147" s="20">
        <f>IFERROR(D1147/G1147*100000,"")</f>
        <v>3.0953156948892699</v>
      </c>
    </row>
    <row r="1148" spans="1:8" ht="15" customHeight="1" x14ac:dyDescent="0.3">
      <c r="A1148" s="21" t="s">
        <v>26</v>
      </c>
      <c r="B1148" s="21">
        <v>2022</v>
      </c>
      <c r="C1148" s="21" t="s">
        <v>96</v>
      </c>
      <c r="D1148" s="21">
        <v>6</v>
      </c>
      <c r="E1148" s="21">
        <v>0</v>
      </c>
      <c r="F1148" s="20">
        <f>IFERROR(E1148/D1148*100,"")</f>
        <v>0</v>
      </c>
      <c r="G1148" s="20">
        <f>IFERROR(INDEX(Population_by_Province_Year!$B$5:$J$29,MATCH($A1148,Population_by_Province_Year!$A$5:$A$29,0),MATCH($B1148,Population_by_Province_Year!$B$4:$J$4,0)),"")</f>
        <v>975707</v>
      </c>
      <c r="H1148" s="20">
        <f>IFERROR(D1148/G1148*100000,"")</f>
        <v>0.61493870598448097</v>
      </c>
    </row>
    <row r="1149" spans="1:8" ht="15" customHeight="1" x14ac:dyDescent="0.3">
      <c r="A1149" s="21" t="s">
        <v>27</v>
      </c>
      <c r="B1149" s="21">
        <v>2022</v>
      </c>
      <c r="C1149" s="21" t="s">
        <v>96</v>
      </c>
      <c r="D1149" s="21">
        <v>3</v>
      </c>
      <c r="E1149" s="21">
        <v>0</v>
      </c>
      <c r="F1149" s="20">
        <f>IFERROR(E1149/D1149*100,"")</f>
        <v>0</v>
      </c>
      <c r="G1149" s="20">
        <f>IFERROR(INDEX(Population_by_Province_Year!$B$5:$J$29,MATCH($A1149,Population_by_Province_Year!$A$5:$A$29,0),MATCH($B1149,Population_by_Province_Year!$B$4:$J$4,0)),"")</f>
        <v>841333</v>
      </c>
      <c r="H1149" s="20">
        <f>IFERROR(D1149/G1149*100000,"")</f>
        <v>0.35657700339817883</v>
      </c>
    </row>
    <row r="1150" spans="1:8" ht="15" customHeight="1" x14ac:dyDescent="0.3">
      <c r="A1150" s="21" t="s">
        <v>3</v>
      </c>
      <c r="B1150" s="21">
        <v>2022</v>
      </c>
      <c r="C1150" s="21" t="s">
        <v>104</v>
      </c>
      <c r="D1150" s="21">
        <v>44</v>
      </c>
      <c r="E1150" s="21">
        <v>0</v>
      </c>
      <c r="F1150" s="20">
        <f>IFERROR(E1150/D1150*100,"")</f>
        <v>0</v>
      </c>
      <c r="G1150" s="20">
        <f>IFERROR(INDEX(Population_by_Province_Year!$B$5:$J$29,MATCH($A1150,Population_by_Province_Year!$A$5:$A$29,0),MATCH($B1150,Population_by_Province_Year!$B$4:$J$4,0)),"")</f>
        <v>933435</v>
      </c>
      <c r="H1150" s="20">
        <f>IFERROR(D1150/G1150*100000,"")</f>
        <v>4.7137722498085024</v>
      </c>
    </row>
    <row r="1151" spans="1:8" ht="15" customHeight="1" x14ac:dyDescent="0.3">
      <c r="A1151" s="21" t="s">
        <v>4</v>
      </c>
      <c r="B1151" s="21">
        <v>2022</v>
      </c>
      <c r="C1151" s="21" t="s">
        <v>104</v>
      </c>
      <c r="D1151" s="21">
        <v>11</v>
      </c>
      <c r="E1151" s="21">
        <v>0</v>
      </c>
      <c r="F1151" s="20">
        <f>IFERROR(E1151/D1151*100,"")</f>
        <v>0</v>
      </c>
      <c r="G1151" s="20">
        <f>IFERROR(INDEX(Population_by_Province_Year!$B$5:$J$29,MATCH($A1151,Population_by_Province_Year!$A$5:$A$29,0),MATCH($B1151,Population_by_Province_Year!$B$4:$J$4,0)),"")</f>
        <v>1079953</v>
      </c>
      <c r="H1151" s="20">
        <f>IFERROR(D1151/G1151*100000,"")</f>
        <v>1.018562844864545</v>
      </c>
    </row>
    <row r="1152" spans="1:8" ht="15" customHeight="1" x14ac:dyDescent="0.3">
      <c r="A1152" s="21" t="s">
        <v>5</v>
      </c>
      <c r="B1152" s="21">
        <v>2022</v>
      </c>
      <c r="C1152" s="21" t="s">
        <v>104</v>
      </c>
      <c r="D1152" s="21">
        <v>54</v>
      </c>
      <c r="E1152" s="21">
        <v>0</v>
      </c>
      <c r="F1152" s="20">
        <f>IFERROR(E1152/D1152*100,"")</f>
        <v>0</v>
      </c>
      <c r="G1152" s="20">
        <f>IFERROR(INDEX(Population_by_Province_Year!$B$5:$J$29,MATCH($A1152,Population_by_Province_Year!$A$5:$A$29,0),MATCH($B1152,Population_by_Province_Year!$B$4:$J$4,0)),"")</f>
        <v>974490</v>
      </c>
      <c r="H1152" s="20">
        <f>IFERROR(D1152/G1152*100000,"")</f>
        <v>5.5413600960502416</v>
      </c>
    </row>
    <row r="1153" spans="1:8" ht="15" customHeight="1" x14ac:dyDescent="0.3">
      <c r="A1153" s="21" t="s">
        <v>6</v>
      </c>
      <c r="B1153" s="21">
        <v>2022</v>
      </c>
      <c r="C1153" s="21" t="s">
        <v>104</v>
      </c>
      <c r="D1153" s="21">
        <v>27</v>
      </c>
      <c r="E1153" s="21">
        <v>0</v>
      </c>
      <c r="F1153" s="20">
        <f>IFERROR(E1153/D1153*100,"")</f>
        <v>0</v>
      </c>
      <c r="G1153" s="20">
        <f>IFERROR(INDEX(Population_by_Province_Year!$B$5:$J$29,MATCH($A1153,Population_by_Province_Year!$A$5:$A$29,0),MATCH($B1153,Population_by_Province_Year!$B$4:$J$4,0)),"")</f>
        <v>570780</v>
      </c>
      <c r="H1153" s="20">
        <f>IFERROR(D1153/G1153*100000,"")</f>
        <v>4.7303689687795645</v>
      </c>
    </row>
    <row r="1154" spans="1:8" ht="15" customHeight="1" x14ac:dyDescent="0.3">
      <c r="A1154" s="21" t="s">
        <v>7</v>
      </c>
      <c r="B1154" s="21">
        <v>2022</v>
      </c>
      <c r="C1154" s="21" t="s">
        <v>104</v>
      </c>
      <c r="D1154" s="21">
        <v>180</v>
      </c>
      <c r="E1154" s="21">
        <v>0</v>
      </c>
      <c r="F1154" s="20">
        <f>IFERROR(E1154/D1154*100,"")</f>
        <v>0</v>
      </c>
      <c r="G1154" s="20">
        <f>IFERROR(INDEX(Population_by_Province_Year!$B$5:$J$29,MATCH($A1154,Population_by_Province_Year!$A$5:$A$29,0),MATCH($B1154,Population_by_Province_Year!$B$4:$J$4,0)),"")</f>
        <v>950374</v>
      </c>
      <c r="H1154" s="20">
        <f>IFERROR(D1154/G1154*100000,"")</f>
        <v>18.939912076719271</v>
      </c>
    </row>
    <row r="1155" spans="1:8" ht="15" customHeight="1" x14ac:dyDescent="0.3">
      <c r="A1155" s="21" t="s">
        <v>8</v>
      </c>
      <c r="B1155" s="21">
        <v>2022</v>
      </c>
      <c r="C1155" s="21" t="s">
        <v>104</v>
      </c>
      <c r="D1155" s="21">
        <v>76</v>
      </c>
      <c r="E1155" s="21">
        <v>0</v>
      </c>
      <c r="F1155" s="20">
        <f>IFERROR(E1155/D1155*100,"")</f>
        <v>0</v>
      </c>
      <c r="G1155" s="20">
        <f>IFERROR(INDEX(Population_by_Province_Year!$B$5:$J$29,MATCH($A1155,Population_by_Province_Year!$A$5:$A$29,0),MATCH($B1155,Population_by_Province_Year!$B$4:$J$4,0)),"")</f>
        <v>738130</v>
      </c>
      <c r="H1155" s="20">
        <f>IFERROR(D1155/G1155*100000,"")</f>
        <v>10.296289271537534</v>
      </c>
    </row>
    <row r="1156" spans="1:8" ht="15" customHeight="1" x14ac:dyDescent="0.3">
      <c r="A1156" s="21" t="s">
        <v>9</v>
      </c>
      <c r="B1156" s="21">
        <v>2022</v>
      </c>
      <c r="C1156" s="21" t="s">
        <v>104</v>
      </c>
      <c r="D1156" s="21">
        <v>7</v>
      </c>
      <c r="E1156" s="21">
        <v>0</v>
      </c>
      <c r="F1156" s="20">
        <f>IFERROR(E1156/D1156*100,"")</f>
        <v>0</v>
      </c>
      <c r="G1156" s="20">
        <f>IFERROR(INDEX(Population_by_Province_Year!$B$5:$J$29,MATCH($A1156,Population_by_Province_Year!$A$5:$A$29,0),MATCH($B1156,Population_by_Province_Year!$B$4:$J$4,0)),"")</f>
        <v>643128</v>
      </c>
      <c r="H1156" s="20">
        <f>IFERROR(D1156/G1156*100000,"")</f>
        <v>1.0884302969237851</v>
      </c>
    </row>
    <row r="1157" spans="1:8" ht="15" customHeight="1" x14ac:dyDescent="0.3">
      <c r="A1157" s="21" t="s">
        <v>10</v>
      </c>
      <c r="B1157" s="21">
        <v>2022</v>
      </c>
      <c r="C1157" s="21" t="s">
        <v>104</v>
      </c>
      <c r="D1157" s="21">
        <v>157</v>
      </c>
      <c r="E1157" s="21">
        <v>1</v>
      </c>
      <c r="F1157" s="20">
        <f>IFERROR(E1157/D1157*100,"")</f>
        <v>0.63694267515923575</v>
      </c>
      <c r="G1157" s="20">
        <f>IFERROR(INDEX(Population_by_Province_Year!$B$5:$J$29,MATCH($A1157,Population_by_Province_Year!$A$5:$A$29,0),MATCH($B1157,Population_by_Province_Year!$B$4:$J$4,0)),"")</f>
        <v>1301335</v>
      </c>
      <c r="H1157" s="20">
        <f>IFERROR(D1157/G1157*100000,"")</f>
        <v>12.06453372882463</v>
      </c>
    </row>
    <row r="1158" spans="1:8" ht="15" customHeight="1" x14ac:dyDescent="0.3">
      <c r="A1158" s="21" t="s">
        <v>12</v>
      </c>
      <c r="B1158" s="21">
        <v>2022</v>
      </c>
      <c r="C1158" s="21" t="s">
        <v>104</v>
      </c>
      <c r="D1158" s="21">
        <v>1</v>
      </c>
      <c r="E1158" s="21">
        <v>0</v>
      </c>
      <c r="F1158" s="20">
        <f>IFERROR(E1158/D1158*100,"")</f>
        <v>0</v>
      </c>
      <c r="G1158" s="20">
        <f>IFERROR(INDEX(Population_by_Province_Year!$B$5:$J$29,MATCH($A1158,Population_by_Province_Year!$A$5:$A$29,0),MATCH($B1158,Population_by_Province_Year!$B$4:$J$4,0)),"")</f>
        <v>136354</v>
      </c>
      <c r="H1158" s="20">
        <f>IFERROR(D1158/G1158*100000,"")</f>
        <v>0.73338515921791803</v>
      </c>
    </row>
    <row r="1159" spans="1:8" ht="15" customHeight="1" x14ac:dyDescent="0.3">
      <c r="A1159" s="21" t="s">
        <v>13</v>
      </c>
      <c r="B1159" s="21">
        <v>2022</v>
      </c>
      <c r="C1159" s="21" t="s">
        <v>104</v>
      </c>
      <c r="D1159" s="21">
        <v>8</v>
      </c>
      <c r="E1159" s="21">
        <v>0</v>
      </c>
      <c r="F1159" s="20">
        <f>IFERROR(E1159/D1159*100,"")</f>
        <v>0</v>
      </c>
      <c r="G1159" s="20">
        <f>IFERROR(INDEX(Population_by_Province_Year!$B$5:$J$29,MATCH($A1159,Population_by_Province_Year!$A$5:$A$29,0),MATCH($B1159,Population_by_Province_Year!$B$4:$J$4,0)),"")</f>
        <v>405867</v>
      </c>
      <c r="H1159" s="20">
        <f>IFERROR(D1159/G1159*100000,"")</f>
        <v>1.9710890513394781</v>
      </c>
    </row>
    <row r="1160" spans="1:8" ht="15" customHeight="1" x14ac:dyDescent="0.3">
      <c r="A1160" s="21" t="s">
        <v>14</v>
      </c>
      <c r="B1160" s="21">
        <v>2022</v>
      </c>
      <c r="C1160" s="21" t="s">
        <v>104</v>
      </c>
      <c r="D1160" s="21">
        <v>2</v>
      </c>
      <c r="E1160" s="21">
        <v>0</v>
      </c>
      <c r="F1160" s="20">
        <f>IFERROR(E1160/D1160*100,"")</f>
        <v>0</v>
      </c>
      <c r="G1160" s="20">
        <f>IFERROR(INDEX(Population_by_Province_Year!$B$5:$J$29,MATCH($A1160,Population_by_Province_Year!$A$5:$A$29,0),MATCH($B1160,Population_by_Province_Year!$B$4:$J$4,0)),"")</f>
        <v>99868</v>
      </c>
      <c r="H1160" s="20">
        <f>IFERROR(D1160/G1160*100000,"")</f>
        <v>2.0026434894060161</v>
      </c>
    </row>
    <row r="1161" spans="1:8" ht="15" customHeight="1" x14ac:dyDescent="0.3">
      <c r="A1161" s="20" t="s">
        <v>15</v>
      </c>
      <c r="B1161" s="20">
        <v>2022</v>
      </c>
      <c r="C1161" s="20" t="s">
        <v>104</v>
      </c>
      <c r="D1161" s="20">
        <v>1</v>
      </c>
      <c r="E1161" s="20">
        <v>0</v>
      </c>
      <c r="F1161" s="22">
        <f>IFERROR(E1161/D1161*100,"")</f>
        <v>0</v>
      </c>
      <c r="G1161" s="23">
        <f>IFERROR(INDEX(Population_by_Province_Year!$B$5:$J$29,MATCH($A1161,Population_by_Province_Year!$A$5:$A$29,0),MATCH($B1161,Population_by_Province_Year!$B$4:$J$4,0)),"")</f>
        <v>298954</v>
      </c>
      <c r="H1161" s="22">
        <f>IFERROR(D1161/G1161*100000,"")</f>
        <v>0.33449962201542716</v>
      </c>
    </row>
    <row r="1162" spans="1:8" ht="15" customHeight="1" x14ac:dyDescent="0.3">
      <c r="A1162" s="20" t="s">
        <v>17</v>
      </c>
      <c r="B1162" s="20">
        <v>2022</v>
      </c>
      <c r="C1162" s="20" t="s">
        <v>104</v>
      </c>
      <c r="D1162" s="20">
        <v>81</v>
      </c>
      <c r="E1162" s="20">
        <v>0</v>
      </c>
      <c r="F1162" s="22">
        <f>IFERROR(E1162/D1162*100,"")</f>
        <v>0</v>
      </c>
      <c r="G1162" s="23">
        <f>IFERROR(INDEX(Population_by_Province_Year!$B$5:$J$29,MATCH($A1162,Population_by_Province_Year!$A$5:$A$29,0),MATCH($B1162,Population_by_Province_Year!$B$4:$J$4,0)),"")</f>
        <v>2471395</v>
      </c>
      <c r="H1162" s="22">
        <f>IFERROR(D1162/G1162*100000,"")</f>
        <v>3.2775011683684716</v>
      </c>
    </row>
    <row r="1163" spans="1:8" ht="15" customHeight="1" x14ac:dyDescent="0.3">
      <c r="A1163" s="20" t="s">
        <v>18</v>
      </c>
      <c r="B1163" s="20">
        <v>2022</v>
      </c>
      <c r="C1163" s="20" t="s">
        <v>104</v>
      </c>
      <c r="D1163" s="20">
        <v>7</v>
      </c>
      <c r="E1163" s="20">
        <v>0</v>
      </c>
      <c r="F1163" s="22">
        <f>IFERROR(E1163/D1163*100,"")</f>
        <v>0</v>
      </c>
      <c r="G1163" s="23">
        <f>IFERROR(INDEX(Population_by_Province_Year!$B$5:$J$29,MATCH($A1163,Population_by_Province_Year!$A$5:$A$29,0),MATCH($B1163,Population_by_Province_Year!$B$4:$J$4,0)),"")</f>
        <v>335814</v>
      </c>
      <c r="H1163" s="22">
        <f>IFERROR(D1163/G1163*100000,"")</f>
        <v>2.0844872459158941</v>
      </c>
    </row>
    <row r="1164" spans="1:8" ht="15" customHeight="1" x14ac:dyDescent="0.3">
      <c r="A1164" s="20" t="s">
        <v>19</v>
      </c>
      <c r="B1164" s="20">
        <v>2022</v>
      </c>
      <c r="C1164" s="20" t="s">
        <v>104</v>
      </c>
      <c r="D1164" s="20">
        <v>6</v>
      </c>
      <c r="E1164" s="20">
        <v>0</v>
      </c>
      <c r="F1164" s="22">
        <f>IFERROR(E1164/D1164*100,"")</f>
        <v>0</v>
      </c>
      <c r="G1164" s="23">
        <f>IFERROR(INDEX(Population_by_Province_Year!$B$5:$J$29,MATCH($A1164,Population_by_Province_Year!$A$5:$A$29,0),MATCH($B1164,Population_by_Province_Year!$B$4:$J$4,0)),"")</f>
        <v>275982</v>
      </c>
      <c r="H1164" s="22">
        <f>IFERROR(D1164/G1164*100000,"")</f>
        <v>2.1740548296628042</v>
      </c>
    </row>
    <row r="1165" spans="1:8" ht="15" customHeight="1" x14ac:dyDescent="0.3">
      <c r="A1165" s="20" t="s">
        <v>20</v>
      </c>
      <c r="B1165" s="20">
        <v>2022</v>
      </c>
      <c r="C1165" s="20" t="s">
        <v>104</v>
      </c>
      <c r="D1165" s="20">
        <v>11</v>
      </c>
      <c r="E1165" s="20">
        <v>0</v>
      </c>
      <c r="F1165" s="22">
        <f>IFERROR(E1165/D1165*100,"")</f>
        <v>0</v>
      </c>
      <c r="G1165" s="23">
        <f>IFERROR(INDEX(Population_by_Province_Year!$B$5:$J$29,MATCH($A1165,Population_by_Province_Year!$A$5:$A$29,0),MATCH($B1165,Population_by_Province_Year!$B$4:$J$4,0)),"")</f>
        <v>1145530</v>
      </c>
      <c r="H1165" s="22">
        <f>IFERROR(D1165/G1165*100000,"")</f>
        <v>0.96025420547694074</v>
      </c>
    </row>
    <row r="1166" spans="1:8" ht="15" customHeight="1" x14ac:dyDescent="0.3">
      <c r="A1166" s="20" t="s">
        <v>21</v>
      </c>
      <c r="B1166" s="20">
        <v>2022</v>
      </c>
      <c r="C1166" s="20" t="s">
        <v>104</v>
      </c>
      <c r="D1166" s="20">
        <v>27</v>
      </c>
      <c r="E1166" s="20">
        <v>0</v>
      </c>
      <c r="F1166" s="22">
        <f>IFERROR(E1166/D1166*100,"")</f>
        <v>0</v>
      </c>
      <c r="G1166" s="23">
        <f>IFERROR(INDEX(Population_by_Province_Year!$B$5:$J$29,MATCH($A1166,Population_by_Province_Year!$A$5:$A$29,0),MATCH($B1166,Population_by_Province_Year!$B$4:$J$4,0)),"")</f>
        <v>454816</v>
      </c>
      <c r="H1166" s="22">
        <f>IFERROR(D1166/G1166*100000,"")</f>
        <v>5.9364666150707102</v>
      </c>
    </row>
    <row r="1167" spans="1:8" ht="15" customHeight="1" x14ac:dyDescent="0.3">
      <c r="A1167" s="20" t="s">
        <v>22</v>
      </c>
      <c r="B1167" s="20">
        <v>2022</v>
      </c>
      <c r="C1167" s="20" t="s">
        <v>104</v>
      </c>
      <c r="D1167" s="20">
        <v>1</v>
      </c>
      <c r="E1167" s="20">
        <v>0</v>
      </c>
      <c r="F1167" s="22">
        <f>IFERROR(E1167/D1167*100,"")</f>
        <v>0</v>
      </c>
      <c r="G1167" s="23">
        <f>IFERROR(INDEX(Population_by_Province_Year!$B$5:$J$29,MATCH($A1167,Population_by_Province_Year!$A$5:$A$29,0),MATCH($B1167,Population_by_Province_Year!$B$4:$J$4,0)),"")</f>
        <v>235506</v>
      </c>
      <c r="H1167" s="22">
        <f>IFERROR(D1167/G1167*100000,"")</f>
        <v>0.42461763182254375</v>
      </c>
    </row>
    <row r="1168" spans="1:8" ht="15" customHeight="1" x14ac:dyDescent="0.3">
      <c r="A1168" s="20" t="s">
        <v>23</v>
      </c>
      <c r="B1168" s="20">
        <v>2022</v>
      </c>
      <c r="C1168" s="20" t="s">
        <v>104</v>
      </c>
      <c r="D1168" s="20">
        <v>55</v>
      </c>
      <c r="E1168" s="20">
        <v>0</v>
      </c>
      <c r="F1168" s="22">
        <f>IFERROR(E1168/D1168*100,"")</f>
        <v>0</v>
      </c>
      <c r="G1168" s="23">
        <f>IFERROR(INDEX(Population_by_Province_Year!$B$5:$J$29,MATCH($A1168,Population_by_Province_Year!$A$5:$A$29,0),MATCH($B1168,Population_by_Province_Year!$B$4:$J$4,0)),"")</f>
        <v>1098434</v>
      </c>
      <c r="H1168" s="22">
        <f>IFERROR(D1168/G1168*100000,"")</f>
        <v>5.0071283299679354</v>
      </c>
    </row>
    <row r="1169" spans="1:8" ht="15" customHeight="1" x14ac:dyDescent="0.3">
      <c r="A1169" s="20" t="s">
        <v>24</v>
      </c>
      <c r="B1169" s="20">
        <v>2022</v>
      </c>
      <c r="C1169" s="20" t="s">
        <v>104</v>
      </c>
      <c r="D1169" s="20">
        <v>2</v>
      </c>
      <c r="E1169" s="20">
        <v>0</v>
      </c>
      <c r="F1169" s="22">
        <f>IFERROR(E1169/D1169*100,"")</f>
        <v>0</v>
      </c>
      <c r="G1169" s="23">
        <f>IFERROR(INDEX(Population_by_Province_Year!$B$5:$J$29,MATCH($A1169,Population_by_Province_Year!$A$5:$A$29,0),MATCH($B1169,Population_by_Province_Year!$B$4:$J$4,0)),"")</f>
        <v>179470</v>
      </c>
      <c r="H1169" s="22">
        <f>IFERROR(D1169/G1169*100000,"")</f>
        <v>1.1143923775561375</v>
      </c>
    </row>
    <row r="1170" spans="1:8" ht="15" customHeight="1" x14ac:dyDescent="0.3">
      <c r="A1170" s="20" t="s">
        <v>25</v>
      </c>
      <c r="B1170" s="20">
        <v>2022</v>
      </c>
      <c r="C1170" s="20" t="s">
        <v>104</v>
      </c>
      <c r="D1170" s="20">
        <v>9</v>
      </c>
      <c r="E1170" s="20">
        <v>0</v>
      </c>
      <c r="F1170" s="22">
        <f>IFERROR(E1170/D1170*100,"")</f>
        <v>0</v>
      </c>
      <c r="G1170" s="23">
        <f>IFERROR(INDEX(Population_by_Province_Year!$B$5:$J$29,MATCH($A1170,Population_by_Province_Year!$A$5:$A$29,0),MATCH($B1170,Population_by_Province_Year!$B$4:$J$4,0)),"")</f>
        <v>569123</v>
      </c>
      <c r="H1170" s="22">
        <f>IFERROR(D1170/G1170*100000,"")</f>
        <v>1.5813804748709857</v>
      </c>
    </row>
    <row r="1171" spans="1:8" ht="15" customHeight="1" x14ac:dyDescent="0.3">
      <c r="A1171" s="20" t="s">
        <v>26</v>
      </c>
      <c r="B1171" s="20">
        <v>2022</v>
      </c>
      <c r="C1171" s="20" t="s">
        <v>104</v>
      </c>
      <c r="D1171" s="20">
        <v>28</v>
      </c>
      <c r="E1171" s="20">
        <v>0</v>
      </c>
      <c r="F1171" s="22">
        <f>IFERROR(E1171/D1171*100,"")</f>
        <v>0</v>
      </c>
      <c r="G1171" s="23">
        <f>IFERROR(INDEX(Population_by_Province_Year!$B$5:$J$29,MATCH($A1171,Population_by_Province_Year!$A$5:$A$29,0),MATCH($B1171,Population_by_Province_Year!$B$4:$J$4,0)),"")</f>
        <v>975707</v>
      </c>
      <c r="H1171" s="22">
        <f>IFERROR(D1171/G1171*100000,"")</f>
        <v>2.8697139612609113</v>
      </c>
    </row>
    <row r="1172" spans="1:8" ht="15" customHeight="1" x14ac:dyDescent="0.3">
      <c r="A1172" s="20" t="s">
        <v>27</v>
      </c>
      <c r="B1172" s="20">
        <v>2022</v>
      </c>
      <c r="C1172" s="20" t="s">
        <v>104</v>
      </c>
      <c r="D1172" s="20">
        <v>50</v>
      </c>
      <c r="E1172" s="20">
        <v>1</v>
      </c>
      <c r="F1172" s="22">
        <f>IFERROR(E1172/D1172*100,"")</f>
        <v>2</v>
      </c>
      <c r="G1172" s="23">
        <f>IFERROR(INDEX(Population_by_Province_Year!$B$5:$J$29,MATCH($A1172,Population_by_Province_Year!$A$5:$A$29,0),MATCH($B1172,Population_by_Province_Year!$B$4:$J$4,0)),"")</f>
        <v>841333</v>
      </c>
      <c r="H1172" s="22">
        <f>IFERROR(D1172/G1172*100000,"")</f>
        <v>5.942950056636314</v>
      </c>
    </row>
    <row r="1173" spans="1:8" ht="15" customHeight="1" x14ac:dyDescent="0.3">
      <c r="A1173" s="20" t="s">
        <v>3</v>
      </c>
      <c r="B1173" s="20">
        <v>2022</v>
      </c>
      <c r="C1173" s="20" t="s">
        <v>102</v>
      </c>
      <c r="D1173" s="20">
        <v>137</v>
      </c>
      <c r="E1173" s="20">
        <v>1</v>
      </c>
      <c r="F1173" s="22">
        <f>IFERROR(E1173/D1173*100,"")</f>
        <v>0.72992700729927007</v>
      </c>
      <c r="G1173" s="23">
        <f>IFERROR(INDEX(Population_by_Province_Year!$B$5:$J$29,MATCH($A1173,Population_by_Province_Year!$A$5:$A$29,0),MATCH($B1173,Population_by_Province_Year!$B$4:$J$4,0)),"")</f>
        <v>933435</v>
      </c>
      <c r="H1173" s="22">
        <f>IFERROR(D1173/G1173*100000,"")</f>
        <v>14.676972686903747</v>
      </c>
    </row>
    <row r="1174" spans="1:8" ht="15" customHeight="1" x14ac:dyDescent="0.3">
      <c r="A1174" s="20" t="s">
        <v>4</v>
      </c>
      <c r="B1174" s="20">
        <v>2022</v>
      </c>
      <c r="C1174" s="20" t="s">
        <v>102</v>
      </c>
      <c r="D1174" s="20">
        <v>48</v>
      </c>
      <c r="E1174" s="20">
        <v>0</v>
      </c>
      <c r="F1174" s="22">
        <f>IFERROR(E1174/D1174*100,"")</f>
        <v>0</v>
      </c>
      <c r="G1174" s="23">
        <f>IFERROR(INDEX(Population_by_Province_Year!$B$5:$J$29,MATCH($A1174,Population_by_Province_Year!$A$5:$A$29,0),MATCH($B1174,Population_by_Province_Year!$B$4:$J$4,0)),"")</f>
        <v>1079953</v>
      </c>
      <c r="H1174" s="22">
        <f>IFERROR(D1174/G1174*100000,"")</f>
        <v>4.4446378684998331</v>
      </c>
    </row>
    <row r="1175" spans="1:8" ht="15" customHeight="1" x14ac:dyDescent="0.3">
      <c r="A1175" s="20" t="s">
        <v>5</v>
      </c>
      <c r="B1175" s="20">
        <v>2022</v>
      </c>
      <c r="C1175" s="20" t="s">
        <v>102</v>
      </c>
      <c r="D1175" s="20">
        <v>97</v>
      </c>
      <c r="E1175" s="20">
        <v>1</v>
      </c>
      <c r="F1175" s="22">
        <f>IFERROR(E1175/D1175*100,"")</f>
        <v>1.0309278350515463</v>
      </c>
      <c r="G1175" s="23">
        <f>IFERROR(INDEX(Population_by_Province_Year!$B$5:$J$29,MATCH($A1175,Population_by_Province_Year!$A$5:$A$29,0),MATCH($B1175,Population_by_Province_Year!$B$4:$J$4,0)),"")</f>
        <v>974490</v>
      </c>
      <c r="H1175" s="22">
        <f>IFERROR(D1175/G1175*100000,"")</f>
        <v>9.9539246169791369</v>
      </c>
    </row>
    <row r="1176" spans="1:8" ht="15" customHeight="1" x14ac:dyDescent="0.3">
      <c r="A1176" s="20" t="s">
        <v>6</v>
      </c>
      <c r="B1176" s="20">
        <v>2022</v>
      </c>
      <c r="C1176" s="20" t="s">
        <v>102</v>
      </c>
      <c r="D1176" s="20">
        <v>42</v>
      </c>
      <c r="E1176" s="20">
        <v>0</v>
      </c>
      <c r="F1176" s="22">
        <f>IFERROR(E1176/D1176*100,"")</f>
        <v>0</v>
      </c>
      <c r="G1176" s="23">
        <f>IFERROR(INDEX(Population_by_Province_Year!$B$5:$J$29,MATCH($A1176,Population_by_Province_Year!$A$5:$A$29,0),MATCH($B1176,Population_by_Province_Year!$B$4:$J$4,0)),"")</f>
        <v>570780</v>
      </c>
      <c r="H1176" s="22">
        <f>IFERROR(D1176/G1176*100000,"")</f>
        <v>7.3583517292126563</v>
      </c>
    </row>
    <row r="1177" spans="1:8" ht="15" customHeight="1" x14ac:dyDescent="0.3">
      <c r="A1177" s="20" t="s">
        <v>7</v>
      </c>
      <c r="B1177" s="20">
        <v>2022</v>
      </c>
      <c r="C1177" s="20" t="s">
        <v>102</v>
      </c>
      <c r="D1177" s="20">
        <v>289</v>
      </c>
      <c r="E1177" s="20">
        <v>2</v>
      </c>
      <c r="F1177" s="22">
        <f>IFERROR(E1177/D1177*100,"")</f>
        <v>0.69204152249134954</v>
      </c>
      <c r="G1177" s="23">
        <f>IFERROR(INDEX(Population_by_Province_Year!$B$5:$J$29,MATCH($A1177,Population_by_Province_Year!$A$5:$A$29,0),MATCH($B1177,Population_by_Province_Year!$B$4:$J$4,0)),"")</f>
        <v>950374</v>
      </c>
      <c r="H1177" s="22">
        <f>IFERROR(D1177/G1177*100000,"")</f>
        <v>30.409081056510384</v>
      </c>
    </row>
    <row r="1178" spans="1:8" ht="15" customHeight="1" x14ac:dyDescent="0.3">
      <c r="A1178" s="20" t="s">
        <v>8</v>
      </c>
      <c r="B1178" s="20">
        <v>2022</v>
      </c>
      <c r="C1178" s="20" t="s">
        <v>102</v>
      </c>
      <c r="D1178" s="20">
        <v>94</v>
      </c>
      <c r="E1178" s="20">
        <v>0</v>
      </c>
      <c r="F1178" s="22">
        <f>IFERROR(E1178/D1178*100,"")</f>
        <v>0</v>
      </c>
      <c r="G1178" s="23">
        <f>IFERROR(INDEX(Population_by_Province_Year!$B$5:$J$29,MATCH($A1178,Population_by_Province_Year!$A$5:$A$29,0),MATCH($B1178,Population_by_Province_Year!$B$4:$J$4,0)),"")</f>
        <v>738130</v>
      </c>
      <c r="H1178" s="22">
        <f>IFERROR(D1178/G1178*100000,"")</f>
        <v>12.734884099006949</v>
      </c>
    </row>
    <row r="1179" spans="1:8" ht="15" customHeight="1" x14ac:dyDescent="0.3">
      <c r="A1179" s="20" t="s">
        <v>9</v>
      </c>
      <c r="B1179" s="20">
        <v>2022</v>
      </c>
      <c r="C1179" s="20" t="s">
        <v>102</v>
      </c>
      <c r="D1179" s="20">
        <v>14</v>
      </c>
      <c r="E1179" s="20">
        <v>0</v>
      </c>
      <c r="F1179" s="22">
        <f>IFERROR(E1179/D1179*100,"")</f>
        <v>0</v>
      </c>
      <c r="G1179" s="23">
        <f>IFERROR(INDEX(Population_by_Province_Year!$B$5:$J$29,MATCH($A1179,Population_by_Province_Year!$A$5:$A$29,0),MATCH($B1179,Population_by_Province_Year!$B$4:$J$4,0)),"")</f>
        <v>643128</v>
      </c>
      <c r="H1179" s="22">
        <f>IFERROR(D1179/G1179*100000,"")</f>
        <v>2.1768605938475702</v>
      </c>
    </row>
    <row r="1180" spans="1:8" ht="15" customHeight="1" x14ac:dyDescent="0.3">
      <c r="A1180" s="20" t="s">
        <v>10</v>
      </c>
      <c r="B1180" s="20">
        <v>2022</v>
      </c>
      <c r="C1180" s="20" t="s">
        <v>102</v>
      </c>
      <c r="D1180" s="20">
        <v>321</v>
      </c>
      <c r="E1180" s="20">
        <v>1</v>
      </c>
      <c r="F1180" s="22">
        <f>IFERROR(E1180/D1180*100,"")</f>
        <v>0.3115264797507788</v>
      </c>
      <c r="G1180" s="23">
        <f>IFERROR(INDEX(Population_by_Province_Year!$B$5:$J$29,MATCH($A1180,Population_by_Province_Year!$A$5:$A$29,0),MATCH($B1180,Population_by_Province_Year!$B$4:$J$4,0)),"")</f>
        <v>1301335</v>
      </c>
      <c r="H1180" s="22">
        <f>IFERROR(D1180/G1180*100000,"")</f>
        <v>24.666976604794304</v>
      </c>
    </row>
    <row r="1181" spans="1:8" ht="15" customHeight="1" x14ac:dyDescent="0.3">
      <c r="A1181" s="20" t="s">
        <v>12</v>
      </c>
      <c r="B1181" s="20">
        <v>2022</v>
      </c>
      <c r="C1181" s="20" t="s">
        <v>102</v>
      </c>
      <c r="D1181" s="20">
        <v>3</v>
      </c>
      <c r="E1181" s="20">
        <v>0</v>
      </c>
      <c r="F1181" s="22">
        <f>IFERROR(E1181/D1181*100,"")</f>
        <v>0</v>
      </c>
      <c r="G1181" s="23">
        <f>IFERROR(INDEX(Population_by_Province_Year!$B$5:$J$29,MATCH($A1181,Population_by_Province_Year!$A$5:$A$29,0),MATCH($B1181,Population_by_Province_Year!$B$4:$J$4,0)),"")</f>
        <v>136354</v>
      </c>
      <c r="H1181" s="22">
        <f>IFERROR(D1181/G1181*100000,"")</f>
        <v>2.2001554776537544</v>
      </c>
    </row>
    <row r="1182" spans="1:8" ht="15" customHeight="1" x14ac:dyDescent="0.3">
      <c r="A1182" s="20" t="s">
        <v>13</v>
      </c>
      <c r="B1182" s="20">
        <v>2022</v>
      </c>
      <c r="C1182" s="20" t="s">
        <v>102</v>
      </c>
      <c r="D1182" s="20">
        <v>11</v>
      </c>
      <c r="E1182" s="20">
        <v>0</v>
      </c>
      <c r="F1182" s="22">
        <f>IFERROR(E1182/D1182*100,"")</f>
        <v>0</v>
      </c>
      <c r="G1182" s="23">
        <f>IFERROR(INDEX(Population_by_Province_Year!$B$5:$J$29,MATCH($A1182,Population_by_Province_Year!$A$5:$A$29,0),MATCH($B1182,Population_by_Province_Year!$B$4:$J$4,0)),"")</f>
        <v>405867</v>
      </c>
      <c r="H1182" s="22">
        <f>IFERROR(D1182/G1182*100000,"")</f>
        <v>2.7102474455917824</v>
      </c>
    </row>
    <row r="1183" spans="1:8" ht="15" customHeight="1" x14ac:dyDescent="0.3">
      <c r="A1183" s="20" t="s">
        <v>14</v>
      </c>
      <c r="B1183" s="20">
        <v>2022</v>
      </c>
      <c r="C1183" s="20" t="s">
        <v>102</v>
      </c>
      <c r="D1183" s="20">
        <v>1</v>
      </c>
      <c r="E1183" s="20">
        <v>0</v>
      </c>
      <c r="F1183" s="22">
        <f>IFERROR(E1183/D1183*100,"")</f>
        <v>0</v>
      </c>
      <c r="G1183" s="23">
        <f>IFERROR(INDEX(Population_by_Province_Year!$B$5:$J$29,MATCH($A1183,Population_by_Province_Year!$A$5:$A$29,0),MATCH($B1183,Population_by_Province_Year!$B$4:$J$4,0)),"")</f>
        <v>99868</v>
      </c>
      <c r="H1183" s="22">
        <f>IFERROR(D1183/G1183*100000,"")</f>
        <v>1.0013217447030081</v>
      </c>
    </row>
    <row r="1184" spans="1:8" ht="15" customHeight="1" x14ac:dyDescent="0.3">
      <c r="A1184" s="20" t="s">
        <v>15</v>
      </c>
      <c r="B1184" s="20">
        <v>2022</v>
      </c>
      <c r="C1184" s="20" t="s">
        <v>102</v>
      </c>
      <c r="D1184" s="20">
        <v>20</v>
      </c>
      <c r="E1184" s="20">
        <v>0</v>
      </c>
      <c r="F1184" s="22">
        <f>IFERROR(E1184/D1184*100,"")</f>
        <v>0</v>
      </c>
      <c r="G1184" s="23">
        <f>IFERROR(INDEX(Population_by_Province_Year!$B$5:$J$29,MATCH($A1184,Population_by_Province_Year!$A$5:$A$29,0),MATCH($B1184,Population_by_Province_Year!$B$4:$J$4,0)),"")</f>
        <v>298954</v>
      </c>
      <c r="H1184" s="22">
        <f>IFERROR(D1184/G1184*100000,"")</f>
        <v>6.6899924403085418</v>
      </c>
    </row>
    <row r="1185" spans="1:8" ht="15" customHeight="1" x14ac:dyDescent="0.3">
      <c r="A1185" s="20" t="s">
        <v>16</v>
      </c>
      <c r="B1185" s="20">
        <v>2022</v>
      </c>
      <c r="C1185" s="20" t="s">
        <v>102</v>
      </c>
      <c r="D1185" s="20">
        <v>1</v>
      </c>
      <c r="E1185" s="20">
        <v>0</v>
      </c>
      <c r="F1185" s="22">
        <f>IFERROR(E1185/D1185*100,"")</f>
        <v>0</v>
      </c>
      <c r="G1185" s="23">
        <f>IFERROR(INDEX(Population_by_Province_Year!$B$5:$J$29,MATCH($A1185,Population_by_Province_Year!$A$5:$A$29,0),MATCH($B1185,Population_by_Province_Year!$B$4:$J$4,0)),"")</f>
        <v>81348</v>
      </c>
      <c r="H1185" s="22">
        <f>IFERROR(D1185/G1185*100000,"")</f>
        <v>1.2292865221025717</v>
      </c>
    </row>
    <row r="1186" spans="1:8" ht="15" customHeight="1" x14ac:dyDescent="0.3">
      <c r="A1186" s="20" t="s">
        <v>17</v>
      </c>
      <c r="B1186" s="20">
        <v>2022</v>
      </c>
      <c r="C1186" s="20" t="s">
        <v>102</v>
      </c>
      <c r="D1186" s="20">
        <v>142</v>
      </c>
      <c r="E1186" s="20">
        <v>0</v>
      </c>
      <c r="F1186" s="22">
        <f>IFERROR(E1186/D1186*100,"")</f>
        <v>0</v>
      </c>
      <c r="G1186" s="23">
        <f>IFERROR(INDEX(Population_by_Province_Year!$B$5:$J$29,MATCH($A1186,Population_by_Province_Year!$A$5:$A$29,0),MATCH($B1186,Population_by_Province_Year!$B$4:$J$4,0)),"")</f>
        <v>2471395</v>
      </c>
      <c r="H1186" s="22">
        <f>IFERROR(D1186/G1186*100000,"")</f>
        <v>5.7457427889916426</v>
      </c>
    </row>
    <row r="1187" spans="1:8" ht="15" customHeight="1" x14ac:dyDescent="0.3">
      <c r="A1187" s="20" t="s">
        <v>18</v>
      </c>
      <c r="B1187" s="20">
        <v>2022</v>
      </c>
      <c r="C1187" s="20" t="s">
        <v>102</v>
      </c>
      <c r="D1187" s="20">
        <v>11</v>
      </c>
      <c r="E1187" s="20">
        <v>0</v>
      </c>
      <c r="F1187" s="22">
        <f>IFERROR(E1187/D1187*100,"")</f>
        <v>0</v>
      </c>
      <c r="G1187" s="23">
        <f>IFERROR(INDEX(Population_by_Province_Year!$B$5:$J$29,MATCH($A1187,Population_by_Province_Year!$A$5:$A$29,0),MATCH($B1187,Population_by_Province_Year!$B$4:$J$4,0)),"")</f>
        <v>335814</v>
      </c>
      <c r="H1187" s="22">
        <f>IFERROR(D1187/G1187*100000,"")</f>
        <v>3.2756228150106903</v>
      </c>
    </row>
    <row r="1188" spans="1:8" ht="15" customHeight="1" x14ac:dyDescent="0.3">
      <c r="A1188" s="20" t="s">
        <v>19</v>
      </c>
      <c r="B1188" s="20">
        <v>2022</v>
      </c>
      <c r="C1188" s="20" t="s">
        <v>102</v>
      </c>
      <c r="D1188" s="20">
        <v>23</v>
      </c>
      <c r="E1188" s="20">
        <v>0</v>
      </c>
      <c r="F1188" s="22">
        <f>IFERROR(E1188/D1188*100,"")</f>
        <v>0</v>
      </c>
      <c r="G1188" s="23">
        <f>IFERROR(INDEX(Population_by_Province_Year!$B$5:$J$29,MATCH($A1188,Population_by_Province_Year!$A$5:$A$29,0),MATCH($B1188,Population_by_Province_Year!$B$4:$J$4,0)),"")</f>
        <v>275982</v>
      </c>
      <c r="H1188" s="22">
        <f>IFERROR(D1188/G1188*100000,"")</f>
        <v>8.3338768470407487</v>
      </c>
    </row>
    <row r="1189" spans="1:8" ht="15" customHeight="1" x14ac:dyDescent="0.3">
      <c r="A1189" s="20" t="s">
        <v>20</v>
      </c>
      <c r="B1189" s="20">
        <v>2022</v>
      </c>
      <c r="C1189" s="20" t="s">
        <v>102</v>
      </c>
      <c r="D1189" s="20">
        <v>35</v>
      </c>
      <c r="E1189" s="20">
        <v>0</v>
      </c>
      <c r="F1189" s="22">
        <f>IFERROR(E1189/D1189*100,"")</f>
        <v>0</v>
      </c>
      <c r="G1189" s="23">
        <f>IFERROR(INDEX(Population_by_Province_Year!$B$5:$J$29,MATCH($A1189,Population_by_Province_Year!$A$5:$A$29,0),MATCH($B1189,Population_by_Province_Year!$B$4:$J$4,0)),"")</f>
        <v>1145530</v>
      </c>
      <c r="H1189" s="22">
        <f>IFERROR(D1189/G1189*100000,"")</f>
        <v>3.0553542901539021</v>
      </c>
    </row>
    <row r="1190" spans="1:8" ht="15" customHeight="1" x14ac:dyDescent="0.3">
      <c r="A1190" s="20" t="s">
        <v>21</v>
      </c>
      <c r="B1190" s="20">
        <v>2022</v>
      </c>
      <c r="C1190" s="20" t="s">
        <v>102</v>
      </c>
      <c r="D1190" s="20">
        <v>74</v>
      </c>
      <c r="E1190" s="20">
        <v>0</v>
      </c>
      <c r="F1190" s="22">
        <f>IFERROR(E1190/D1190*100,"")</f>
        <v>0</v>
      </c>
      <c r="G1190" s="23">
        <f>IFERROR(INDEX(Population_by_Province_Year!$B$5:$J$29,MATCH($A1190,Population_by_Province_Year!$A$5:$A$29,0),MATCH($B1190,Population_by_Province_Year!$B$4:$J$4,0)),"")</f>
        <v>454816</v>
      </c>
      <c r="H1190" s="22">
        <f>IFERROR(D1190/G1190*100000,"")</f>
        <v>16.270315907971575</v>
      </c>
    </row>
    <row r="1191" spans="1:8" ht="15" customHeight="1" x14ac:dyDescent="0.3">
      <c r="A1191" s="20" t="s">
        <v>22</v>
      </c>
      <c r="B1191" s="20">
        <v>2022</v>
      </c>
      <c r="C1191" s="20" t="s">
        <v>102</v>
      </c>
      <c r="D1191" s="20">
        <v>3</v>
      </c>
      <c r="E1191" s="20">
        <v>0</v>
      </c>
      <c r="F1191" s="22">
        <f>IFERROR(E1191/D1191*100,"")</f>
        <v>0</v>
      </c>
      <c r="G1191" s="23">
        <f>IFERROR(INDEX(Population_by_Province_Year!$B$5:$J$29,MATCH($A1191,Population_by_Province_Year!$A$5:$A$29,0),MATCH($B1191,Population_by_Province_Year!$B$4:$J$4,0)),"")</f>
        <v>235506</v>
      </c>
      <c r="H1191" s="22">
        <f>IFERROR(D1191/G1191*100000,"")</f>
        <v>1.2738528954676314</v>
      </c>
    </row>
    <row r="1192" spans="1:8" ht="15" customHeight="1" x14ac:dyDescent="0.3">
      <c r="A1192" s="20" t="s">
        <v>23</v>
      </c>
      <c r="B1192" s="20">
        <v>2022</v>
      </c>
      <c r="C1192" s="20" t="s">
        <v>102</v>
      </c>
      <c r="D1192" s="20">
        <v>199</v>
      </c>
      <c r="E1192" s="20">
        <v>0</v>
      </c>
      <c r="F1192" s="22">
        <f>IFERROR(E1192/D1192*100,"")</f>
        <v>0</v>
      </c>
      <c r="G1192" s="23">
        <f>IFERROR(INDEX(Population_by_Province_Year!$B$5:$J$29,MATCH($A1192,Population_by_Province_Year!$A$5:$A$29,0),MATCH($B1192,Population_by_Province_Year!$B$4:$J$4,0)),"")</f>
        <v>1098434</v>
      </c>
      <c r="H1192" s="22">
        <f>IFERROR(D1192/G1192*100000,"")</f>
        <v>18.116700684793077</v>
      </c>
    </row>
    <row r="1193" spans="1:8" ht="15" customHeight="1" x14ac:dyDescent="0.3">
      <c r="A1193" s="20" t="s">
        <v>25</v>
      </c>
      <c r="B1193" s="20">
        <v>2022</v>
      </c>
      <c r="C1193" s="20" t="s">
        <v>102</v>
      </c>
      <c r="D1193" s="20">
        <v>16</v>
      </c>
      <c r="E1193" s="20">
        <v>0</v>
      </c>
      <c r="F1193" s="22">
        <f>IFERROR(E1193/D1193*100,"")</f>
        <v>0</v>
      </c>
      <c r="G1193" s="23">
        <f>IFERROR(INDEX(Population_by_Province_Year!$B$5:$J$29,MATCH($A1193,Population_by_Province_Year!$A$5:$A$29,0),MATCH($B1193,Population_by_Province_Year!$B$4:$J$4,0)),"")</f>
        <v>569123</v>
      </c>
      <c r="H1193" s="22">
        <f>IFERROR(D1193/G1193*100000,"")</f>
        <v>2.811343066437308</v>
      </c>
    </row>
    <row r="1194" spans="1:8" ht="15" customHeight="1" x14ac:dyDescent="0.3">
      <c r="A1194" s="20" t="s">
        <v>26</v>
      </c>
      <c r="B1194" s="20">
        <v>2022</v>
      </c>
      <c r="C1194" s="20" t="s">
        <v>102</v>
      </c>
      <c r="D1194" s="20">
        <v>67</v>
      </c>
      <c r="E1194" s="20">
        <v>0</v>
      </c>
      <c r="F1194" s="22">
        <f>IFERROR(E1194/D1194*100,"")</f>
        <v>0</v>
      </c>
      <c r="G1194" s="23">
        <f>IFERROR(INDEX(Population_by_Province_Year!$B$5:$J$29,MATCH($A1194,Population_by_Province_Year!$A$5:$A$29,0),MATCH($B1194,Population_by_Province_Year!$B$4:$J$4,0)),"")</f>
        <v>975707</v>
      </c>
      <c r="H1194" s="22">
        <f>IFERROR(D1194/G1194*100000,"")</f>
        <v>6.8668155501600383</v>
      </c>
    </row>
    <row r="1195" spans="1:8" ht="15" customHeight="1" x14ac:dyDescent="0.3">
      <c r="A1195" s="20" t="s">
        <v>27</v>
      </c>
      <c r="B1195" s="20">
        <v>2022</v>
      </c>
      <c r="C1195" s="20" t="s">
        <v>102</v>
      </c>
      <c r="D1195" s="20">
        <v>122</v>
      </c>
      <c r="E1195" s="20">
        <v>1</v>
      </c>
      <c r="F1195" s="22">
        <f>IFERROR(E1195/D1195*100,"")</f>
        <v>0.81967213114754101</v>
      </c>
      <c r="G1195" s="23">
        <f>IFERROR(INDEX(Population_by_Province_Year!$B$5:$J$29,MATCH($A1195,Population_by_Province_Year!$A$5:$A$29,0),MATCH($B1195,Population_by_Province_Year!$B$4:$J$4,0)),"")</f>
        <v>841333</v>
      </c>
      <c r="H1195" s="22">
        <f>IFERROR(D1195/G1195*100000,"")</f>
        <v>14.500798138192605</v>
      </c>
    </row>
    <row r="1196" spans="1:8" ht="15" customHeight="1" x14ac:dyDescent="0.3">
      <c r="A1196" s="20" t="s">
        <v>3</v>
      </c>
      <c r="B1196" s="20">
        <v>2022</v>
      </c>
      <c r="C1196" s="20" t="s">
        <v>101</v>
      </c>
      <c r="D1196" s="20">
        <v>117</v>
      </c>
      <c r="E1196" s="20">
        <v>0</v>
      </c>
      <c r="F1196" s="22">
        <f>IFERROR(E1196/D1196*100,"")</f>
        <v>0</v>
      </c>
      <c r="G1196" s="23">
        <f>IFERROR(INDEX(Population_by_Province_Year!$B$5:$J$29,MATCH($A1196,Population_by_Province_Year!$A$5:$A$29,0),MATCH($B1196,Population_by_Province_Year!$B$4:$J$4,0)),"")</f>
        <v>933435</v>
      </c>
      <c r="H1196" s="22">
        <f>IFERROR(D1196/G1196*100000,"")</f>
        <v>12.534348936990792</v>
      </c>
    </row>
    <row r="1197" spans="1:8" ht="15" customHeight="1" x14ac:dyDescent="0.3">
      <c r="A1197" s="20" t="s">
        <v>4</v>
      </c>
      <c r="B1197" s="20">
        <v>2022</v>
      </c>
      <c r="C1197" s="20" t="s">
        <v>101</v>
      </c>
      <c r="D1197" s="20">
        <v>56</v>
      </c>
      <c r="E1197" s="20">
        <v>0</v>
      </c>
      <c r="F1197" s="22">
        <f>IFERROR(E1197/D1197*100,"")</f>
        <v>0</v>
      </c>
      <c r="G1197" s="23">
        <f>IFERROR(INDEX(Population_by_Province_Year!$B$5:$J$29,MATCH($A1197,Population_by_Province_Year!$A$5:$A$29,0),MATCH($B1197,Population_by_Province_Year!$B$4:$J$4,0)),"")</f>
        <v>1079953</v>
      </c>
      <c r="H1197" s="22">
        <f>IFERROR(D1197/G1197*100000,"")</f>
        <v>5.1854108465831388</v>
      </c>
    </row>
    <row r="1198" spans="1:8" ht="15" customHeight="1" x14ac:dyDescent="0.3">
      <c r="A1198" s="20" t="s">
        <v>5</v>
      </c>
      <c r="B1198" s="20">
        <v>2022</v>
      </c>
      <c r="C1198" s="20" t="s">
        <v>101</v>
      </c>
      <c r="D1198" s="20">
        <v>81</v>
      </c>
      <c r="E1198" s="20">
        <v>0</v>
      </c>
      <c r="F1198" s="22">
        <f>IFERROR(E1198/D1198*100,"")</f>
        <v>0</v>
      </c>
      <c r="G1198" s="23">
        <f>IFERROR(INDEX(Population_by_Province_Year!$B$5:$J$29,MATCH($A1198,Population_by_Province_Year!$A$5:$A$29,0),MATCH($B1198,Population_by_Province_Year!$B$4:$J$4,0)),"")</f>
        <v>974490</v>
      </c>
      <c r="H1198" s="22">
        <f>IFERROR(D1198/G1198*100000,"")</f>
        <v>8.3120401440753628</v>
      </c>
    </row>
    <row r="1199" spans="1:8" ht="15" customHeight="1" x14ac:dyDescent="0.3">
      <c r="A1199" s="20" t="s">
        <v>6</v>
      </c>
      <c r="B1199" s="20">
        <v>2022</v>
      </c>
      <c r="C1199" s="20" t="s">
        <v>101</v>
      </c>
      <c r="D1199" s="20">
        <v>66</v>
      </c>
      <c r="E1199" s="20">
        <v>0</v>
      </c>
      <c r="F1199" s="22">
        <f>IFERROR(E1199/D1199*100,"")</f>
        <v>0</v>
      </c>
      <c r="G1199" s="23">
        <f>IFERROR(INDEX(Population_by_Province_Year!$B$5:$J$29,MATCH($A1199,Population_by_Province_Year!$A$5:$A$29,0),MATCH($B1199,Population_by_Province_Year!$B$4:$J$4,0)),"")</f>
        <v>570780</v>
      </c>
      <c r="H1199" s="22">
        <f>IFERROR(D1199/G1199*100000,"")</f>
        <v>11.563124145905602</v>
      </c>
    </row>
    <row r="1200" spans="1:8" ht="15" customHeight="1" x14ac:dyDescent="0.3">
      <c r="A1200" s="20" t="s">
        <v>7</v>
      </c>
      <c r="B1200" s="20">
        <v>2022</v>
      </c>
      <c r="C1200" s="20" t="s">
        <v>101</v>
      </c>
      <c r="D1200" s="20">
        <v>222</v>
      </c>
      <c r="E1200" s="20">
        <v>0</v>
      </c>
      <c r="F1200" s="22">
        <f>IFERROR(E1200/D1200*100,"")</f>
        <v>0</v>
      </c>
      <c r="G1200" s="23">
        <f>IFERROR(INDEX(Population_by_Province_Year!$B$5:$J$29,MATCH($A1200,Population_by_Province_Year!$A$5:$A$29,0),MATCH($B1200,Population_by_Province_Year!$B$4:$J$4,0)),"")</f>
        <v>950374</v>
      </c>
      <c r="H1200" s="22">
        <f>IFERROR(D1200/G1200*100000,"")</f>
        <v>23.359224894620432</v>
      </c>
    </row>
    <row r="1201" spans="1:8" ht="15" customHeight="1" x14ac:dyDescent="0.3">
      <c r="A1201" s="20" t="s">
        <v>8</v>
      </c>
      <c r="B1201" s="20">
        <v>2022</v>
      </c>
      <c r="C1201" s="20" t="s">
        <v>101</v>
      </c>
      <c r="D1201" s="20">
        <v>76</v>
      </c>
      <c r="E1201" s="20">
        <v>0</v>
      </c>
      <c r="F1201" s="22">
        <f>IFERROR(E1201/D1201*100,"")</f>
        <v>0</v>
      </c>
      <c r="G1201" s="23">
        <f>IFERROR(INDEX(Population_by_Province_Year!$B$5:$J$29,MATCH($A1201,Population_by_Province_Year!$A$5:$A$29,0),MATCH($B1201,Population_by_Province_Year!$B$4:$J$4,0)),"")</f>
        <v>738130</v>
      </c>
      <c r="H1201" s="22">
        <f>IFERROR(D1201/G1201*100000,"")</f>
        <v>10.296289271537534</v>
      </c>
    </row>
    <row r="1202" spans="1:8" ht="15" customHeight="1" x14ac:dyDescent="0.3">
      <c r="A1202" s="20" t="s">
        <v>9</v>
      </c>
      <c r="B1202" s="20">
        <v>2022</v>
      </c>
      <c r="C1202" s="20" t="s">
        <v>101</v>
      </c>
      <c r="D1202" s="20">
        <v>29</v>
      </c>
      <c r="E1202" s="20">
        <v>0</v>
      </c>
      <c r="F1202" s="22">
        <f>IFERROR(E1202/D1202*100,"")</f>
        <v>0</v>
      </c>
      <c r="G1202" s="23">
        <f>IFERROR(INDEX(Population_by_Province_Year!$B$5:$J$29,MATCH($A1202,Population_by_Province_Year!$A$5:$A$29,0),MATCH($B1202,Population_by_Province_Year!$B$4:$J$4,0)),"")</f>
        <v>643128</v>
      </c>
      <c r="H1202" s="22">
        <f>IFERROR(D1202/G1202*100000,"")</f>
        <v>4.5092112301128235</v>
      </c>
    </row>
    <row r="1203" spans="1:8" ht="15" customHeight="1" x14ac:dyDescent="0.3">
      <c r="A1203" s="20" t="s">
        <v>10</v>
      </c>
      <c r="B1203" s="20">
        <v>2022</v>
      </c>
      <c r="C1203" s="20" t="s">
        <v>101</v>
      </c>
      <c r="D1203" s="20">
        <v>300</v>
      </c>
      <c r="E1203" s="20">
        <v>1</v>
      </c>
      <c r="F1203" s="22">
        <f>IFERROR(E1203/D1203*100,"")</f>
        <v>0.33333333333333337</v>
      </c>
      <c r="G1203" s="23">
        <f>IFERROR(INDEX(Population_by_Province_Year!$B$5:$J$29,MATCH($A1203,Population_by_Province_Year!$A$5:$A$29,0),MATCH($B1203,Population_by_Province_Year!$B$4:$J$4,0)),"")</f>
        <v>1301335</v>
      </c>
      <c r="H1203" s="22">
        <f>IFERROR(D1203/G1203*100000,"")</f>
        <v>23.053249163359165</v>
      </c>
    </row>
    <row r="1204" spans="1:8" ht="15" customHeight="1" x14ac:dyDescent="0.3">
      <c r="A1204" s="20" t="s">
        <v>12</v>
      </c>
      <c r="B1204" s="20">
        <v>2022</v>
      </c>
      <c r="C1204" s="20" t="s">
        <v>101</v>
      </c>
      <c r="D1204" s="20">
        <v>4</v>
      </c>
      <c r="E1204" s="20">
        <v>0</v>
      </c>
      <c r="F1204" s="22">
        <f>IFERROR(E1204/D1204*100,"")</f>
        <v>0</v>
      </c>
      <c r="G1204" s="23">
        <f>IFERROR(INDEX(Population_by_Province_Year!$B$5:$J$29,MATCH($A1204,Population_by_Province_Year!$A$5:$A$29,0),MATCH($B1204,Population_by_Province_Year!$B$4:$J$4,0)),"")</f>
        <v>136354</v>
      </c>
      <c r="H1204" s="22">
        <f>IFERROR(D1204/G1204*100000,"")</f>
        <v>2.9335406368716721</v>
      </c>
    </row>
    <row r="1205" spans="1:8" ht="15" customHeight="1" x14ac:dyDescent="0.3">
      <c r="A1205" s="20" t="s">
        <v>13</v>
      </c>
      <c r="B1205" s="20">
        <v>2022</v>
      </c>
      <c r="C1205" s="20" t="s">
        <v>101</v>
      </c>
      <c r="D1205" s="20">
        <v>21</v>
      </c>
      <c r="E1205" s="20">
        <v>0</v>
      </c>
      <c r="F1205" s="22">
        <f>IFERROR(E1205/D1205*100,"")</f>
        <v>0</v>
      </c>
      <c r="G1205" s="23">
        <f>IFERROR(INDEX(Population_by_Province_Year!$B$5:$J$29,MATCH($A1205,Population_by_Province_Year!$A$5:$A$29,0),MATCH($B1205,Population_by_Province_Year!$B$4:$J$4,0)),"")</f>
        <v>405867</v>
      </c>
      <c r="H1205" s="22">
        <f>IFERROR(D1205/G1205*100000,"")</f>
        <v>5.1741087597661304</v>
      </c>
    </row>
    <row r="1206" spans="1:8" ht="15" customHeight="1" x14ac:dyDescent="0.3">
      <c r="A1206" s="20" t="s">
        <v>14</v>
      </c>
      <c r="B1206" s="20">
        <v>2022</v>
      </c>
      <c r="C1206" s="20" t="s">
        <v>101</v>
      </c>
      <c r="D1206" s="20">
        <v>3</v>
      </c>
      <c r="E1206" s="20">
        <v>0</v>
      </c>
      <c r="F1206" s="22">
        <f>IFERROR(E1206/D1206*100,"")</f>
        <v>0</v>
      </c>
      <c r="G1206" s="23">
        <f>IFERROR(INDEX(Population_by_Province_Year!$B$5:$J$29,MATCH($A1206,Population_by_Province_Year!$A$5:$A$29,0),MATCH($B1206,Population_by_Province_Year!$B$4:$J$4,0)),"")</f>
        <v>99868</v>
      </c>
      <c r="H1206" s="22">
        <f>IFERROR(D1206/G1206*100000,"")</f>
        <v>3.0039652341090237</v>
      </c>
    </row>
    <row r="1207" spans="1:8" ht="15" customHeight="1" x14ac:dyDescent="0.3">
      <c r="A1207" s="20" t="s">
        <v>15</v>
      </c>
      <c r="B1207" s="20">
        <v>2022</v>
      </c>
      <c r="C1207" s="20" t="s">
        <v>101</v>
      </c>
      <c r="D1207" s="20">
        <v>24</v>
      </c>
      <c r="E1207" s="20">
        <v>0</v>
      </c>
      <c r="F1207" s="22">
        <f>IFERROR(E1207/D1207*100,"")</f>
        <v>0</v>
      </c>
      <c r="G1207" s="23">
        <f>IFERROR(INDEX(Population_by_Province_Year!$B$5:$J$29,MATCH($A1207,Population_by_Province_Year!$A$5:$A$29,0),MATCH($B1207,Population_by_Province_Year!$B$4:$J$4,0)),"")</f>
        <v>298954</v>
      </c>
      <c r="H1207" s="22">
        <f>IFERROR(D1207/G1207*100000,"")</f>
        <v>8.0279909283702509</v>
      </c>
    </row>
    <row r="1208" spans="1:8" ht="15" customHeight="1" x14ac:dyDescent="0.3">
      <c r="A1208" s="20" t="s">
        <v>17</v>
      </c>
      <c r="B1208" s="20">
        <v>2022</v>
      </c>
      <c r="C1208" s="20" t="s">
        <v>101</v>
      </c>
      <c r="D1208" s="20">
        <v>227</v>
      </c>
      <c r="E1208" s="20">
        <v>0</v>
      </c>
      <c r="F1208" s="22">
        <f>IFERROR(E1208/D1208*100,"")</f>
        <v>0</v>
      </c>
      <c r="G1208" s="23">
        <f>IFERROR(INDEX(Population_by_Province_Year!$B$5:$J$29,MATCH($A1208,Population_by_Province_Year!$A$5:$A$29,0),MATCH($B1208,Population_by_Province_Year!$B$4:$J$4,0)),"")</f>
        <v>2471395</v>
      </c>
      <c r="H1208" s="22">
        <f>IFERROR(D1208/G1208*100000,"")</f>
        <v>9.185095866909176</v>
      </c>
    </row>
    <row r="1209" spans="1:8" ht="15" customHeight="1" x14ac:dyDescent="0.3">
      <c r="A1209" s="20" t="s">
        <v>18</v>
      </c>
      <c r="B1209" s="20">
        <v>2022</v>
      </c>
      <c r="C1209" s="20" t="s">
        <v>101</v>
      </c>
      <c r="D1209" s="20">
        <v>24</v>
      </c>
      <c r="E1209" s="20">
        <v>0</v>
      </c>
      <c r="F1209" s="22">
        <f>IFERROR(E1209/D1209*100,"")</f>
        <v>0</v>
      </c>
      <c r="G1209" s="23">
        <f>IFERROR(INDEX(Population_by_Province_Year!$B$5:$J$29,MATCH($A1209,Population_by_Province_Year!$A$5:$A$29,0),MATCH($B1209,Population_by_Province_Year!$B$4:$J$4,0)),"")</f>
        <v>335814</v>
      </c>
      <c r="H1209" s="22">
        <f>IFERROR(D1209/G1209*100000,"")</f>
        <v>7.1468134145687792</v>
      </c>
    </row>
    <row r="1210" spans="1:8" ht="15" customHeight="1" x14ac:dyDescent="0.3">
      <c r="A1210" s="20" t="s">
        <v>19</v>
      </c>
      <c r="B1210" s="20">
        <v>2022</v>
      </c>
      <c r="C1210" s="20" t="s">
        <v>101</v>
      </c>
      <c r="D1210" s="20">
        <v>26</v>
      </c>
      <c r="E1210" s="20">
        <v>0</v>
      </c>
      <c r="F1210" s="22">
        <f>IFERROR(E1210/D1210*100,"")</f>
        <v>0</v>
      </c>
      <c r="G1210" s="23">
        <f>IFERROR(INDEX(Population_by_Province_Year!$B$5:$J$29,MATCH($A1210,Population_by_Province_Year!$A$5:$A$29,0),MATCH($B1210,Population_by_Province_Year!$B$4:$J$4,0)),"")</f>
        <v>275982</v>
      </c>
      <c r="H1210" s="22">
        <f>IFERROR(D1210/G1210*100000,"")</f>
        <v>9.4209042618721508</v>
      </c>
    </row>
    <row r="1211" spans="1:8" ht="15" customHeight="1" x14ac:dyDescent="0.3">
      <c r="A1211" s="20" t="s">
        <v>20</v>
      </c>
      <c r="B1211" s="20">
        <v>2022</v>
      </c>
      <c r="C1211" s="20" t="s">
        <v>101</v>
      </c>
      <c r="D1211" s="20">
        <v>50</v>
      </c>
      <c r="E1211" s="20">
        <v>0</v>
      </c>
      <c r="F1211" s="22">
        <f>IFERROR(E1211/D1211*100,"")</f>
        <v>0</v>
      </c>
      <c r="G1211" s="23">
        <f>IFERROR(INDEX(Population_by_Province_Year!$B$5:$J$29,MATCH($A1211,Population_by_Province_Year!$A$5:$A$29,0),MATCH($B1211,Population_by_Province_Year!$B$4:$J$4,0)),"")</f>
        <v>1145530</v>
      </c>
      <c r="H1211" s="22">
        <f>IFERROR(D1211/G1211*100000,"")</f>
        <v>4.3647918430770041</v>
      </c>
    </row>
    <row r="1212" spans="1:8" ht="15" customHeight="1" x14ac:dyDescent="0.3">
      <c r="A1212" s="20" t="s">
        <v>21</v>
      </c>
      <c r="B1212" s="20">
        <v>2022</v>
      </c>
      <c r="C1212" s="20" t="s">
        <v>101</v>
      </c>
      <c r="D1212" s="20">
        <v>62</v>
      </c>
      <c r="E1212" s="20">
        <v>0</v>
      </c>
      <c r="F1212" s="22">
        <f>IFERROR(E1212/D1212*100,"")</f>
        <v>0</v>
      </c>
      <c r="G1212" s="23">
        <f>IFERROR(INDEX(Population_by_Province_Year!$B$5:$J$29,MATCH($A1212,Population_by_Province_Year!$A$5:$A$29,0),MATCH($B1212,Population_by_Province_Year!$B$4:$J$4,0)),"")</f>
        <v>454816</v>
      </c>
      <c r="H1212" s="22">
        <f>IFERROR(D1212/G1212*100000,"")</f>
        <v>13.631886301273481</v>
      </c>
    </row>
    <row r="1213" spans="1:8" ht="15" customHeight="1" x14ac:dyDescent="0.3">
      <c r="A1213" s="20" t="s">
        <v>22</v>
      </c>
      <c r="B1213" s="20">
        <v>2022</v>
      </c>
      <c r="C1213" s="20" t="s">
        <v>101</v>
      </c>
      <c r="D1213" s="20">
        <v>10</v>
      </c>
      <c r="E1213" s="20">
        <v>0</v>
      </c>
      <c r="F1213" s="22">
        <f>IFERROR(E1213/D1213*100,"")</f>
        <v>0</v>
      </c>
      <c r="G1213" s="23">
        <f>IFERROR(INDEX(Population_by_Province_Year!$B$5:$J$29,MATCH($A1213,Population_by_Province_Year!$A$5:$A$29,0),MATCH($B1213,Population_by_Province_Year!$B$4:$J$4,0)),"")</f>
        <v>235506</v>
      </c>
      <c r="H1213" s="22">
        <f>IFERROR(D1213/G1213*100000,"")</f>
        <v>4.2461763182254382</v>
      </c>
    </row>
    <row r="1214" spans="1:8" ht="15" customHeight="1" x14ac:dyDescent="0.3">
      <c r="A1214" s="20" t="s">
        <v>23</v>
      </c>
      <c r="B1214" s="20">
        <v>2022</v>
      </c>
      <c r="C1214" s="20" t="s">
        <v>101</v>
      </c>
      <c r="D1214" s="20">
        <v>239</v>
      </c>
      <c r="E1214" s="20">
        <v>0</v>
      </c>
      <c r="F1214" s="22">
        <f>IFERROR(E1214/D1214*100,"")</f>
        <v>0</v>
      </c>
      <c r="G1214" s="23">
        <f>IFERROR(INDEX(Population_by_Province_Year!$B$5:$J$29,MATCH($A1214,Population_by_Province_Year!$A$5:$A$29,0),MATCH($B1214,Population_by_Province_Year!$B$4:$J$4,0)),"")</f>
        <v>1098434</v>
      </c>
      <c r="H1214" s="22">
        <f>IFERROR(D1214/G1214*100000,"")</f>
        <v>21.758248561133396</v>
      </c>
    </row>
    <row r="1215" spans="1:8" ht="15" customHeight="1" x14ac:dyDescent="0.3">
      <c r="A1215" s="20" t="s">
        <v>24</v>
      </c>
      <c r="B1215" s="20">
        <v>2022</v>
      </c>
      <c r="C1215" s="20" t="s">
        <v>101</v>
      </c>
      <c r="D1215" s="20">
        <v>5</v>
      </c>
      <c r="E1215" s="20">
        <v>0</v>
      </c>
      <c r="F1215" s="22">
        <f>IFERROR(E1215/D1215*100,"")</f>
        <v>0</v>
      </c>
      <c r="G1215" s="23">
        <f>IFERROR(INDEX(Population_by_Province_Year!$B$5:$J$29,MATCH($A1215,Population_by_Province_Year!$A$5:$A$29,0),MATCH($B1215,Population_by_Province_Year!$B$4:$J$4,0)),"")</f>
        <v>179470</v>
      </c>
      <c r="H1215" s="22">
        <f>IFERROR(D1215/G1215*100000,"")</f>
        <v>2.785980943890344</v>
      </c>
    </row>
    <row r="1216" spans="1:8" ht="15" customHeight="1" x14ac:dyDescent="0.3">
      <c r="A1216" s="20" t="s">
        <v>25</v>
      </c>
      <c r="B1216" s="20">
        <v>2022</v>
      </c>
      <c r="C1216" s="20" t="s">
        <v>101</v>
      </c>
      <c r="D1216" s="20">
        <v>15</v>
      </c>
      <c r="E1216" s="20">
        <v>0</v>
      </c>
      <c r="F1216" s="22">
        <f>IFERROR(E1216/D1216*100,"")</f>
        <v>0</v>
      </c>
      <c r="G1216" s="23">
        <f>IFERROR(INDEX(Population_by_Province_Year!$B$5:$J$29,MATCH($A1216,Population_by_Province_Year!$A$5:$A$29,0),MATCH($B1216,Population_by_Province_Year!$B$4:$J$4,0)),"")</f>
        <v>569123</v>
      </c>
      <c r="H1216" s="22">
        <f>IFERROR(D1216/G1216*100000,"")</f>
        <v>2.6356341247849762</v>
      </c>
    </row>
    <row r="1217" spans="1:8" ht="15" customHeight="1" x14ac:dyDescent="0.3">
      <c r="A1217" s="20" t="s">
        <v>26</v>
      </c>
      <c r="B1217" s="20">
        <v>2022</v>
      </c>
      <c r="C1217" s="20" t="s">
        <v>101</v>
      </c>
      <c r="D1217" s="20">
        <v>69</v>
      </c>
      <c r="E1217" s="20">
        <v>1</v>
      </c>
      <c r="F1217" s="22">
        <f>IFERROR(E1217/D1217*100,"")</f>
        <v>1.4492753623188406</v>
      </c>
      <c r="G1217" s="23">
        <f>IFERROR(INDEX(Population_by_Province_Year!$B$5:$J$29,MATCH($A1217,Population_by_Province_Year!$A$5:$A$29,0),MATCH($B1217,Population_by_Province_Year!$B$4:$J$4,0)),"")</f>
        <v>975707</v>
      </c>
      <c r="H1217" s="22">
        <f>IFERROR(D1217/G1217*100000,"")</f>
        <v>7.071795118821532</v>
      </c>
    </row>
    <row r="1218" spans="1:8" ht="15" customHeight="1" x14ac:dyDescent="0.3">
      <c r="A1218" s="20" t="s">
        <v>27</v>
      </c>
      <c r="B1218" s="20">
        <v>2022</v>
      </c>
      <c r="C1218" s="20" t="s">
        <v>101</v>
      </c>
      <c r="D1218" s="20">
        <v>69</v>
      </c>
      <c r="E1218" s="20">
        <v>0</v>
      </c>
      <c r="F1218" s="22">
        <f>IFERROR(E1218/D1218*100,"")</f>
        <v>0</v>
      </c>
      <c r="G1218" s="23">
        <f>IFERROR(INDEX(Population_by_Province_Year!$B$5:$J$29,MATCH($A1218,Population_by_Province_Year!$A$5:$A$29,0),MATCH($B1218,Population_by_Province_Year!$B$4:$J$4,0)),"")</f>
        <v>841333</v>
      </c>
      <c r="H1218" s="22">
        <f>IFERROR(D1218/G1218*100000,"")</f>
        <v>8.2012710781581131</v>
      </c>
    </row>
    <row r="1219" spans="1:8" ht="15" customHeight="1" x14ac:dyDescent="0.3">
      <c r="A1219" s="20" t="s">
        <v>3</v>
      </c>
      <c r="B1219" s="20">
        <v>2022</v>
      </c>
      <c r="C1219" s="20" t="s">
        <v>97</v>
      </c>
      <c r="D1219" s="20">
        <v>135</v>
      </c>
      <c r="E1219" s="20">
        <v>0</v>
      </c>
      <c r="F1219" s="22">
        <f>IFERROR(E1219/D1219*100,"")</f>
        <v>0</v>
      </c>
      <c r="G1219" s="23">
        <f>IFERROR(INDEX(Population_by_Province_Year!$B$5:$J$29,MATCH($A1219,Population_by_Province_Year!$A$5:$A$29,0),MATCH($B1219,Population_by_Province_Year!$B$4:$J$4,0)),"")</f>
        <v>933435</v>
      </c>
      <c r="H1219" s="22">
        <f>IFERROR(D1219/G1219*100000,"")</f>
        <v>14.462710311912453</v>
      </c>
    </row>
    <row r="1220" spans="1:8" ht="15" customHeight="1" x14ac:dyDescent="0.3">
      <c r="A1220" s="20" t="s">
        <v>4</v>
      </c>
      <c r="B1220" s="20">
        <v>2022</v>
      </c>
      <c r="C1220" s="20" t="s">
        <v>97</v>
      </c>
      <c r="D1220" s="20">
        <v>47</v>
      </c>
      <c r="E1220" s="20">
        <v>0</v>
      </c>
      <c r="F1220" s="22">
        <f>IFERROR(E1220/D1220*100,"")</f>
        <v>0</v>
      </c>
      <c r="G1220" s="23">
        <f>IFERROR(INDEX(Population_by_Province_Year!$B$5:$J$29,MATCH($A1220,Population_by_Province_Year!$A$5:$A$29,0),MATCH($B1220,Population_by_Province_Year!$B$4:$J$4,0)),"")</f>
        <v>1079953</v>
      </c>
      <c r="H1220" s="22">
        <f>IFERROR(D1220/G1220*100000,"")</f>
        <v>4.3520412462394198</v>
      </c>
    </row>
    <row r="1221" spans="1:8" ht="15" customHeight="1" x14ac:dyDescent="0.3">
      <c r="A1221" s="20" t="s">
        <v>5</v>
      </c>
      <c r="B1221" s="20">
        <v>2022</v>
      </c>
      <c r="C1221" s="20" t="s">
        <v>97</v>
      </c>
      <c r="D1221" s="20">
        <v>55</v>
      </c>
      <c r="E1221" s="20">
        <v>0</v>
      </c>
      <c r="F1221" s="22">
        <f>IFERROR(E1221/D1221*100,"")</f>
        <v>0</v>
      </c>
      <c r="G1221" s="23">
        <f>IFERROR(INDEX(Population_by_Province_Year!$B$5:$J$29,MATCH($A1221,Population_by_Province_Year!$A$5:$A$29,0),MATCH($B1221,Population_by_Province_Year!$B$4:$J$4,0)),"")</f>
        <v>974490</v>
      </c>
      <c r="H1221" s="22">
        <f>IFERROR(D1221/G1221*100000,"")</f>
        <v>5.6439778756067271</v>
      </c>
    </row>
    <row r="1222" spans="1:8" ht="15" customHeight="1" x14ac:dyDescent="0.3">
      <c r="A1222" s="20" t="s">
        <v>6</v>
      </c>
      <c r="B1222" s="20">
        <v>2022</v>
      </c>
      <c r="C1222" s="20" t="s">
        <v>97</v>
      </c>
      <c r="D1222" s="20">
        <v>34</v>
      </c>
      <c r="E1222" s="20">
        <v>0</v>
      </c>
      <c r="F1222" s="22">
        <f>IFERROR(E1222/D1222*100,"")</f>
        <v>0</v>
      </c>
      <c r="G1222" s="23">
        <f>IFERROR(INDEX(Population_by_Province_Year!$B$5:$J$29,MATCH($A1222,Population_by_Province_Year!$A$5:$A$29,0),MATCH($B1222,Population_by_Province_Year!$B$4:$J$4,0)),"")</f>
        <v>570780</v>
      </c>
      <c r="H1222" s="22">
        <f>IFERROR(D1222/G1222*100000,"")</f>
        <v>5.956760923648341</v>
      </c>
    </row>
    <row r="1223" spans="1:8" ht="15" customHeight="1" x14ac:dyDescent="0.3">
      <c r="A1223" s="20" t="s">
        <v>7</v>
      </c>
      <c r="B1223" s="20">
        <v>2022</v>
      </c>
      <c r="C1223" s="20" t="s">
        <v>97</v>
      </c>
      <c r="D1223" s="20">
        <v>178</v>
      </c>
      <c r="E1223" s="20">
        <v>0</v>
      </c>
      <c r="F1223" s="22">
        <f>IFERROR(E1223/D1223*100,"")</f>
        <v>0</v>
      </c>
      <c r="G1223" s="23">
        <f>IFERROR(INDEX(Population_by_Province_Year!$B$5:$J$29,MATCH($A1223,Population_by_Province_Year!$A$5:$A$29,0),MATCH($B1223,Population_by_Province_Year!$B$4:$J$4,0)),"")</f>
        <v>950374</v>
      </c>
      <c r="H1223" s="22">
        <f>IFERROR(D1223/G1223*100000,"")</f>
        <v>18.729468609200165</v>
      </c>
    </row>
    <row r="1224" spans="1:8" ht="15" customHeight="1" x14ac:dyDescent="0.3">
      <c r="A1224" s="20" t="s">
        <v>8</v>
      </c>
      <c r="B1224" s="20">
        <v>2022</v>
      </c>
      <c r="C1224" s="20" t="s">
        <v>97</v>
      </c>
      <c r="D1224" s="20">
        <v>45</v>
      </c>
      <c r="E1224" s="20">
        <v>0</v>
      </c>
      <c r="F1224" s="22">
        <f>IFERROR(E1224/D1224*100,"")</f>
        <v>0</v>
      </c>
      <c r="G1224" s="23">
        <f>IFERROR(INDEX(Population_by_Province_Year!$B$5:$J$29,MATCH($A1224,Population_by_Province_Year!$A$5:$A$29,0),MATCH($B1224,Population_by_Province_Year!$B$4:$J$4,0)),"")</f>
        <v>738130</v>
      </c>
      <c r="H1224" s="22">
        <f>IFERROR(D1224/G1224*100000,"")</f>
        <v>6.0964870686735395</v>
      </c>
    </row>
    <row r="1225" spans="1:8" ht="15" customHeight="1" x14ac:dyDescent="0.3">
      <c r="A1225" s="20" t="s">
        <v>9</v>
      </c>
      <c r="B1225" s="20">
        <v>2022</v>
      </c>
      <c r="C1225" s="20" t="s">
        <v>97</v>
      </c>
      <c r="D1225" s="20">
        <v>25</v>
      </c>
      <c r="E1225" s="20">
        <v>0</v>
      </c>
      <c r="F1225" s="22">
        <f>IFERROR(E1225/D1225*100,"")</f>
        <v>0</v>
      </c>
      <c r="G1225" s="23">
        <f>IFERROR(INDEX(Population_by_Province_Year!$B$5:$J$29,MATCH($A1225,Population_by_Province_Year!$A$5:$A$29,0),MATCH($B1225,Population_by_Province_Year!$B$4:$J$4,0)),"")</f>
        <v>643128</v>
      </c>
      <c r="H1225" s="22">
        <f>IFERROR(D1225/G1225*100000,"")</f>
        <v>3.8872510604420891</v>
      </c>
    </row>
    <row r="1226" spans="1:8" ht="15" customHeight="1" x14ac:dyDescent="0.3">
      <c r="A1226" s="20" t="s">
        <v>10</v>
      </c>
      <c r="B1226" s="20">
        <v>2022</v>
      </c>
      <c r="C1226" s="20" t="s">
        <v>97</v>
      </c>
      <c r="D1226" s="20">
        <v>319</v>
      </c>
      <c r="E1226" s="20">
        <v>0</v>
      </c>
      <c r="F1226" s="22">
        <f>IFERROR(E1226/D1226*100,"")</f>
        <v>0</v>
      </c>
      <c r="G1226" s="23">
        <f>IFERROR(INDEX(Population_by_Province_Year!$B$5:$J$29,MATCH($A1226,Population_by_Province_Year!$A$5:$A$29,0),MATCH($B1226,Population_by_Province_Year!$B$4:$J$4,0)),"")</f>
        <v>1301335</v>
      </c>
      <c r="H1226" s="22">
        <f>IFERROR(D1226/G1226*100000,"")</f>
        <v>24.513288277038576</v>
      </c>
    </row>
    <row r="1227" spans="1:8" ht="15" customHeight="1" x14ac:dyDescent="0.3">
      <c r="A1227" s="20" t="s">
        <v>12</v>
      </c>
      <c r="B1227" s="20">
        <v>2022</v>
      </c>
      <c r="C1227" s="20" t="s">
        <v>97</v>
      </c>
      <c r="D1227" s="20">
        <v>1</v>
      </c>
      <c r="E1227" s="20">
        <v>0</v>
      </c>
      <c r="F1227" s="22">
        <f>IFERROR(E1227/D1227*100,"")</f>
        <v>0</v>
      </c>
      <c r="G1227" s="23">
        <f>IFERROR(INDEX(Population_by_Province_Year!$B$5:$J$29,MATCH($A1227,Population_by_Province_Year!$A$5:$A$29,0),MATCH($B1227,Population_by_Province_Year!$B$4:$J$4,0)),"")</f>
        <v>136354</v>
      </c>
      <c r="H1227" s="22">
        <f>IFERROR(D1227/G1227*100000,"")</f>
        <v>0.73338515921791803</v>
      </c>
    </row>
    <row r="1228" spans="1:8" ht="15" customHeight="1" x14ac:dyDescent="0.3">
      <c r="A1228" s="20" t="s">
        <v>13</v>
      </c>
      <c r="B1228" s="20">
        <v>2022</v>
      </c>
      <c r="C1228" s="20" t="s">
        <v>97</v>
      </c>
      <c r="D1228" s="20">
        <v>12</v>
      </c>
      <c r="E1228" s="20">
        <v>0</v>
      </c>
      <c r="F1228" s="22">
        <f>IFERROR(E1228/D1228*100,"")</f>
        <v>0</v>
      </c>
      <c r="G1228" s="23">
        <f>IFERROR(INDEX(Population_by_Province_Year!$B$5:$J$29,MATCH($A1228,Population_by_Province_Year!$A$5:$A$29,0),MATCH($B1228,Population_by_Province_Year!$B$4:$J$4,0)),"")</f>
        <v>405867</v>
      </c>
      <c r="H1228" s="22">
        <f>IFERROR(D1228/G1228*100000,"")</f>
        <v>2.9566335770092174</v>
      </c>
    </row>
    <row r="1229" spans="1:8" ht="15" customHeight="1" x14ac:dyDescent="0.3">
      <c r="A1229" s="20" t="s">
        <v>14</v>
      </c>
      <c r="B1229" s="20">
        <v>2022</v>
      </c>
      <c r="C1229" s="20" t="s">
        <v>97</v>
      </c>
      <c r="D1229" s="20">
        <v>1</v>
      </c>
      <c r="E1229" s="20">
        <v>0</v>
      </c>
      <c r="F1229" s="22">
        <f>IFERROR(E1229/D1229*100,"")</f>
        <v>0</v>
      </c>
      <c r="G1229" s="23">
        <f>IFERROR(INDEX(Population_by_Province_Year!$B$5:$J$29,MATCH($A1229,Population_by_Province_Year!$A$5:$A$29,0),MATCH($B1229,Population_by_Province_Year!$B$4:$J$4,0)),"")</f>
        <v>99868</v>
      </c>
      <c r="H1229" s="22">
        <f>IFERROR(D1229/G1229*100000,"")</f>
        <v>1.0013217447030081</v>
      </c>
    </row>
    <row r="1230" spans="1:8" ht="15" customHeight="1" x14ac:dyDescent="0.3">
      <c r="A1230" s="20" t="s">
        <v>15</v>
      </c>
      <c r="B1230" s="20">
        <v>2022</v>
      </c>
      <c r="C1230" s="20" t="s">
        <v>97</v>
      </c>
      <c r="D1230" s="20">
        <v>22</v>
      </c>
      <c r="E1230" s="20">
        <v>0</v>
      </c>
      <c r="F1230" s="22">
        <f>IFERROR(E1230/D1230*100,"")</f>
        <v>0</v>
      </c>
      <c r="G1230" s="23">
        <f>IFERROR(INDEX(Population_by_Province_Year!$B$5:$J$29,MATCH($A1230,Population_by_Province_Year!$A$5:$A$29,0),MATCH($B1230,Population_by_Province_Year!$B$4:$J$4,0)),"")</f>
        <v>298954</v>
      </c>
      <c r="H1230" s="22">
        <f>IFERROR(D1230/G1230*100000,"")</f>
        <v>7.3589916843393963</v>
      </c>
    </row>
    <row r="1231" spans="1:8" ht="15" customHeight="1" x14ac:dyDescent="0.3">
      <c r="A1231" s="20" t="s">
        <v>16</v>
      </c>
      <c r="B1231" s="20">
        <v>2022</v>
      </c>
      <c r="C1231" s="20" t="s">
        <v>97</v>
      </c>
      <c r="D1231" s="20">
        <v>6</v>
      </c>
      <c r="E1231" s="20">
        <v>0</v>
      </c>
      <c r="F1231" s="22">
        <f>IFERROR(E1231/D1231*100,"")</f>
        <v>0</v>
      </c>
      <c r="G1231" s="23">
        <f>IFERROR(INDEX(Population_by_Province_Year!$B$5:$J$29,MATCH($A1231,Population_by_Province_Year!$A$5:$A$29,0),MATCH($B1231,Population_by_Province_Year!$B$4:$J$4,0)),"")</f>
        <v>81348</v>
      </c>
      <c r="H1231" s="22">
        <f>IFERROR(D1231/G1231*100000,"")</f>
        <v>7.3757191326154308</v>
      </c>
    </row>
    <row r="1232" spans="1:8" ht="15" customHeight="1" x14ac:dyDescent="0.3">
      <c r="A1232" s="20" t="s">
        <v>17</v>
      </c>
      <c r="B1232" s="20">
        <v>2022</v>
      </c>
      <c r="C1232" s="20" t="s">
        <v>97</v>
      </c>
      <c r="D1232" s="20">
        <v>277</v>
      </c>
      <c r="E1232" s="20">
        <v>0</v>
      </c>
      <c r="F1232" s="22">
        <f>IFERROR(E1232/D1232*100,"")</f>
        <v>0</v>
      </c>
      <c r="G1232" s="23">
        <f>IFERROR(INDEX(Population_by_Province_Year!$B$5:$J$29,MATCH($A1232,Population_by_Province_Year!$A$5:$A$29,0),MATCH($B1232,Population_by_Province_Year!$B$4:$J$4,0)),"")</f>
        <v>2471395</v>
      </c>
      <c r="H1232" s="22">
        <f>IFERROR(D1232/G1232*100000,"")</f>
        <v>11.208244736272428</v>
      </c>
    </row>
    <row r="1233" spans="1:8" ht="15" customHeight="1" x14ac:dyDescent="0.3">
      <c r="A1233" s="20" t="s">
        <v>18</v>
      </c>
      <c r="B1233" s="20">
        <v>2022</v>
      </c>
      <c r="C1233" s="20" t="s">
        <v>97</v>
      </c>
      <c r="D1233" s="20">
        <v>20</v>
      </c>
      <c r="E1233" s="20">
        <v>0</v>
      </c>
      <c r="F1233" s="22">
        <f>IFERROR(E1233/D1233*100,"")</f>
        <v>0</v>
      </c>
      <c r="G1233" s="23">
        <f>IFERROR(INDEX(Population_by_Province_Year!$B$5:$J$29,MATCH($A1233,Population_by_Province_Year!$A$5:$A$29,0),MATCH($B1233,Population_by_Province_Year!$B$4:$J$4,0)),"")</f>
        <v>335814</v>
      </c>
      <c r="H1233" s="22">
        <f>IFERROR(D1233/G1233*100000,"")</f>
        <v>5.9556778454739829</v>
      </c>
    </row>
    <row r="1234" spans="1:8" ht="15" customHeight="1" x14ac:dyDescent="0.3">
      <c r="A1234" s="20" t="s">
        <v>19</v>
      </c>
      <c r="B1234" s="20">
        <v>2022</v>
      </c>
      <c r="C1234" s="20" t="s">
        <v>97</v>
      </c>
      <c r="D1234" s="20">
        <v>42</v>
      </c>
      <c r="E1234" s="20">
        <v>0</v>
      </c>
      <c r="F1234" s="22">
        <f>IFERROR(E1234/D1234*100,"")</f>
        <v>0</v>
      </c>
      <c r="G1234" s="23">
        <f>IFERROR(INDEX(Population_by_Province_Year!$B$5:$J$29,MATCH($A1234,Population_by_Province_Year!$A$5:$A$29,0),MATCH($B1234,Population_by_Province_Year!$B$4:$J$4,0)),"")</f>
        <v>275982</v>
      </c>
      <c r="H1234" s="22">
        <f>IFERROR(D1234/G1234*100000,"")</f>
        <v>15.218383807639627</v>
      </c>
    </row>
    <row r="1235" spans="1:8" ht="15" customHeight="1" x14ac:dyDescent="0.3">
      <c r="A1235" s="20" t="s">
        <v>20</v>
      </c>
      <c r="B1235" s="20">
        <v>2022</v>
      </c>
      <c r="C1235" s="20" t="s">
        <v>97</v>
      </c>
      <c r="D1235" s="20">
        <v>31</v>
      </c>
      <c r="E1235" s="20">
        <v>0</v>
      </c>
      <c r="F1235" s="22">
        <f>IFERROR(E1235/D1235*100,"")</f>
        <v>0</v>
      </c>
      <c r="G1235" s="23">
        <f>IFERROR(INDEX(Population_by_Province_Year!$B$5:$J$29,MATCH($A1235,Population_by_Province_Year!$A$5:$A$29,0),MATCH($B1235,Population_by_Province_Year!$B$4:$J$4,0)),"")</f>
        <v>1145530</v>
      </c>
      <c r="H1235" s="22">
        <f>IFERROR(D1235/G1235*100000,"")</f>
        <v>2.7061709427077423</v>
      </c>
    </row>
    <row r="1236" spans="1:8" ht="15" customHeight="1" x14ac:dyDescent="0.3">
      <c r="A1236" s="20" t="s">
        <v>21</v>
      </c>
      <c r="B1236" s="20">
        <v>2022</v>
      </c>
      <c r="C1236" s="20" t="s">
        <v>97</v>
      </c>
      <c r="D1236" s="20">
        <v>60</v>
      </c>
      <c r="E1236" s="20">
        <v>0</v>
      </c>
      <c r="F1236" s="22">
        <f>IFERROR(E1236/D1236*100,"")</f>
        <v>0</v>
      </c>
      <c r="G1236" s="23">
        <f>IFERROR(INDEX(Population_by_Province_Year!$B$5:$J$29,MATCH($A1236,Population_by_Province_Year!$A$5:$A$29,0),MATCH($B1236,Population_by_Province_Year!$B$4:$J$4,0)),"")</f>
        <v>454816</v>
      </c>
      <c r="H1236" s="22">
        <f>IFERROR(D1236/G1236*100000,"")</f>
        <v>13.192148033490467</v>
      </c>
    </row>
    <row r="1237" spans="1:8" ht="15" customHeight="1" x14ac:dyDescent="0.3">
      <c r="A1237" s="20" t="s">
        <v>22</v>
      </c>
      <c r="B1237" s="20">
        <v>2022</v>
      </c>
      <c r="C1237" s="20" t="s">
        <v>97</v>
      </c>
      <c r="D1237" s="20">
        <v>6</v>
      </c>
      <c r="E1237" s="20">
        <v>0</v>
      </c>
      <c r="F1237" s="22">
        <f>IFERROR(E1237/D1237*100,"")</f>
        <v>0</v>
      </c>
      <c r="G1237" s="23">
        <f>IFERROR(INDEX(Population_by_Province_Year!$B$5:$J$29,MATCH($A1237,Population_by_Province_Year!$A$5:$A$29,0),MATCH($B1237,Population_by_Province_Year!$B$4:$J$4,0)),"")</f>
        <v>235506</v>
      </c>
      <c r="H1237" s="22">
        <f>IFERROR(D1237/G1237*100000,"")</f>
        <v>2.5477057909352627</v>
      </c>
    </row>
    <row r="1238" spans="1:8" ht="15" customHeight="1" x14ac:dyDescent="0.3">
      <c r="A1238" s="20" t="s">
        <v>23</v>
      </c>
      <c r="B1238" s="20">
        <v>2022</v>
      </c>
      <c r="C1238" s="20" t="s">
        <v>97</v>
      </c>
      <c r="D1238" s="20">
        <v>266</v>
      </c>
      <c r="E1238" s="20">
        <v>0</v>
      </c>
      <c r="F1238" s="22">
        <f>IFERROR(E1238/D1238*100,"")</f>
        <v>0</v>
      </c>
      <c r="G1238" s="23">
        <f>IFERROR(INDEX(Population_by_Province_Year!$B$5:$J$29,MATCH($A1238,Population_by_Province_Year!$A$5:$A$29,0),MATCH($B1238,Population_by_Province_Year!$B$4:$J$4,0)),"")</f>
        <v>1098434</v>
      </c>
      <c r="H1238" s="22">
        <f>IFERROR(D1238/G1238*100000,"")</f>
        <v>24.21629337766311</v>
      </c>
    </row>
    <row r="1239" spans="1:8" ht="15" customHeight="1" x14ac:dyDescent="0.3">
      <c r="A1239" s="20" t="s">
        <v>24</v>
      </c>
      <c r="B1239" s="20">
        <v>2022</v>
      </c>
      <c r="C1239" s="20" t="s">
        <v>97</v>
      </c>
      <c r="D1239" s="20">
        <v>5</v>
      </c>
      <c r="E1239" s="20">
        <v>0</v>
      </c>
      <c r="F1239" s="22">
        <f>IFERROR(E1239/D1239*100,"")</f>
        <v>0</v>
      </c>
      <c r="G1239" s="23">
        <f>IFERROR(INDEX(Population_by_Province_Year!$B$5:$J$29,MATCH($A1239,Population_by_Province_Year!$A$5:$A$29,0),MATCH($B1239,Population_by_Province_Year!$B$4:$J$4,0)),"")</f>
        <v>179470</v>
      </c>
      <c r="H1239" s="22">
        <f>IFERROR(D1239/G1239*100000,"")</f>
        <v>2.785980943890344</v>
      </c>
    </row>
    <row r="1240" spans="1:8" ht="15" customHeight="1" x14ac:dyDescent="0.3">
      <c r="A1240" s="20" t="s">
        <v>25</v>
      </c>
      <c r="B1240" s="20">
        <v>2022</v>
      </c>
      <c r="C1240" s="20" t="s">
        <v>97</v>
      </c>
      <c r="D1240" s="20">
        <v>28</v>
      </c>
      <c r="E1240" s="20">
        <v>0</v>
      </c>
      <c r="F1240" s="22">
        <f>IFERROR(E1240/D1240*100,"")</f>
        <v>0</v>
      </c>
      <c r="G1240" s="23">
        <f>IFERROR(INDEX(Population_by_Province_Year!$B$5:$J$29,MATCH($A1240,Population_by_Province_Year!$A$5:$A$29,0),MATCH($B1240,Population_by_Province_Year!$B$4:$J$4,0)),"")</f>
        <v>569123</v>
      </c>
      <c r="H1240" s="22">
        <f>IFERROR(D1240/G1240*100000,"")</f>
        <v>4.9198503662652886</v>
      </c>
    </row>
    <row r="1241" spans="1:8" ht="15" customHeight="1" x14ac:dyDescent="0.3">
      <c r="A1241" s="20" t="s">
        <v>26</v>
      </c>
      <c r="B1241" s="20">
        <v>2022</v>
      </c>
      <c r="C1241" s="20" t="s">
        <v>97</v>
      </c>
      <c r="D1241" s="20">
        <v>53</v>
      </c>
      <c r="E1241" s="20">
        <v>0</v>
      </c>
      <c r="F1241" s="22">
        <f>IFERROR(E1241/D1241*100,"")</f>
        <v>0</v>
      </c>
      <c r="G1241" s="23">
        <f>IFERROR(INDEX(Population_by_Province_Year!$B$5:$J$29,MATCH($A1241,Population_by_Province_Year!$A$5:$A$29,0),MATCH($B1241,Population_by_Province_Year!$B$4:$J$4,0)),"")</f>
        <v>975707</v>
      </c>
      <c r="H1241" s="22">
        <f>IFERROR(D1241/G1241*100000,"")</f>
        <v>5.4319585695295824</v>
      </c>
    </row>
    <row r="1242" spans="1:8" ht="15" customHeight="1" x14ac:dyDescent="0.3">
      <c r="A1242" s="20" t="s">
        <v>27</v>
      </c>
      <c r="B1242" s="20">
        <v>2022</v>
      </c>
      <c r="C1242" s="20" t="s">
        <v>97</v>
      </c>
      <c r="D1242" s="20">
        <v>51</v>
      </c>
      <c r="E1242" s="20">
        <v>0</v>
      </c>
      <c r="F1242" s="22">
        <f>IFERROR(E1242/D1242*100,"")</f>
        <v>0</v>
      </c>
      <c r="G1242" s="23">
        <f>IFERROR(INDEX(Population_by_Province_Year!$B$5:$J$29,MATCH($A1242,Population_by_Province_Year!$A$5:$A$29,0),MATCH($B1242,Population_by_Province_Year!$B$4:$J$4,0)),"")</f>
        <v>841333</v>
      </c>
      <c r="H1242" s="22">
        <f>IFERROR(D1242/G1242*100000,"")</f>
        <v>6.0618090577690404</v>
      </c>
    </row>
    <row r="1243" spans="1:8" ht="15" customHeight="1" x14ac:dyDescent="0.3">
      <c r="A1243" s="20" t="s">
        <v>3</v>
      </c>
      <c r="B1243" s="20">
        <v>2022</v>
      </c>
      <c r="C1243" s="20" t="s">
        <v>107</v>
      </c>
      <c r="D1243" s="20">
        <v>117</v>
      </c>
      <c r="E1243" s="20">
        <v>0</v>
      </c>
      <c r="F1243" s="22">
        <f>IFERROR(E1243/D1243*100,"")</f>
        <v>0</v>
      </c>
      <c r="G1243" s="23">
        <f>IFERROR(INDEX(Population_by_Province_Year!$B$5:$J$29,MATCH($A1243,Population_by_Province_Year!$A$5:$A$29,0),MATCH($B1243,Population_by_Province_Year!$B$4:$J$4,0)),"")</f>
        <v>933435</v>
      </c>
      <c r="H1243" s="22">
        <f>IFERROR(D1243/G1243*100000,"")</f>
        <v>12.534348936990792</v>
      </c>
    </row>
    <row r="1244" spans="1:8" ht="15" customHeight="1" x14ac:dyDescent="0.3">
      <c r="A1244" s="20" t="s">
        <v>4</v>
      </c>
      <c r="B1244" s="20">
        <v>2022</v>
      </c>
      <c r="C1244" s="20" t="s">
        <v>107</v>
      </c>
      <c r="D1244" s="20">
        <v>48</v>
      </c>
      <c r="E1244" s="20">
        <v>0</v>
      </c>
      <c r="F1244" s="22">
        <f>IFERROR(E1244/D1244*100,"")</f>
        <v>0</v>
      </c>
      <c r="G1244" s="23">
        <f>IFERROR(INDEX(Population_by_Province_Year!$B$5:$J$29,MATCH($A1244,Population_by_Province_Year!$A$5:$A$29,0),MATCH($B1244,Population_by_Province_Year!$B$4:$J$4,0)),"")</f>
        <v>1079953</v>
      </c>
      <c r="H1244" s="22">
        <f>IFERROR(D1244/G1244*100000,"")</f>
        <v>4.4446378684998331</v>
      </c>
    </row>
    <row r="1245" spans="1:8" ht="15" customHeight="1" x14ac:dyDescent="0.3">
      <c r="A1245" s="20" t="s">
        <v>5</v>
      </c>
      <c r="B1245" s="20">
        <v>2022</v>
      </c>
      <c r="C1245" s="20" t="s">
        <v>107</v>
      </c>
      <c r="D1245" s="20">
        <v>41</v>
      </c>
      <c r="E1245" s="20">
        <v>0</v>
      </c>
      <c r="F1245" s="22">
        <f>IFERROR(E1245/D1245*100,"")</f>
        <v>0</v>
      </c>
      <c r="G1245" s="23">
        <f>IFERROR(INDEX(Population_by_Province_Year!$B$5:$J$29,MATCH($A1245,Population_by_Province_Year!$A$5:$A$29,0),MATCH($B1245,Population_by_Province_Year!$B$4:$J$4,0)),"")</f>
        <v>974490</v>
      </c>
      <c r="H1245" s="22">
        <f>IFERROR(D1245/G1245*100000,"")</f>
        <v>4.2073289618159242</v>
      </c>
    </row>
    <row r="1246" spans="1:8" ht="15" customHeight="1" x14ac:dyDescent="0.3">
      <c r="A1246" s="20" t="s">
        <v>6</v>
      </c>
      <c r="B1246" s="20">
        <v>2022</v>
      </c>
      <c r="C1246" s="20" t="s">
        <v>107</v>
      </c>
      <c r="D1246" s="20">
        <v>26</v>
      </c>
      <c r="E1246" s="20">
        <v>2</v>
      </c>
      <c r="F1246" s="22">
        <f>IFERROR(E1246/D1246*100,"")</f>
        <v>7.6923076923076925</v>
      </c>
      <c r="G1246" s="23">
        <f>IFERROR(INDEX(Population_by_Province_Year!$B$5:$J$29,MATCH($A1246,Population_by_Province_Year!$A$5:$A$29,0),MATCH($B1246,Population_by_Province_Year!$B$4:$J$4,0)),"")</f>
        <v>570780</v>
      </c>
      <c r="H1246" s="22">
        <f>IFERROR(D1246/G1246*100000,"")</f>
        <v>4.5551701180840256</v>
      </c>
    </row>
    <row r="1247" spans="1:8" ht="15" customHeight="1" x14ac:dyDescent="0.3">
      <c r="A1247" s="20" t="s">
        <v>7</v>
      </c>
      <c r="B1247" s="20">
        <v>2022</v>
      </c>
      <c r="C1247" s="20" t="s">
        <v>107</v>
      </c>
      <c r="D1247" s="20">
        <v>118</v>
      </c>
      <c r="E1247" s="20">
        <v>1</v>
      </c>
      <c r="F1247" s="22">
        <f>IFERROR(E1247/D1247*100,"")</f>
        <v>0.84745762711864403</v>
      </c>
      <c r="G1247" s="23">
        <f>IFERROR(INDEX(Population_by_Province_Year!$B$5:$J$29,MATCH($A1247,Population_by_Province_Year!$A$5:$A$29,0),MATCH($B1247,Population_by_Province_Year!$B$4:$J$4,0)),"")</f>
        <v>950374</v>
      </c>
      <c r="H1247" s="22">
        <f>IFERROR(D1247/G1247*100000,"")</f>
        <v>12.416164583627078</v>
      </c>
    </row>
    <row r="1248" spans="1:8" ht="15" customHeight="1" x14ac:dyDescent="0.3">
      <c r="A1248" s="20" t="s">
        <v>8</v>
      </c>
      <c r="B1248" s="20">
        <v>2022</v>
      </c>
      <c r="C1248" s="20" t="s">
        <v>107</v>
      </c>
      <c r="D1248" s="20">
        <v>36</v>
      </c>
      <c r="E1248" s="20">
        <v>0</v>
      </c>
      <c r="F1248" s="22">
        <f>IFERROR(E1248/D1248*100,"")</f>
        <v>0</v>
      </c>
      <c r="G1248" s="23">
        <f>IFERROR(INDEX(Population_by_Province_Year!$B$5:$J$29,MATCH($A1248,Population_by_Province_Year!$A$5:$A$29,0),MATCH($B1248,Population_by_Province_Year!$B$4:$J$4,0)),"")</f>
        <v>738130</v>
      </c>
      <c r="H1248" s="22">
        <f>IFERROR(D1248/G1248*100000,"")</f>
        <v>4.8771896549388316</v>
      </c>
    </row>
    <row r="1249" spans="1:8" ht="15" customHeight="1" x14ac:dyDescent="0.3">
      <c r="A1249" s="20" t="s">
        <v>9</v>
      </c>
      <c r="B1249" s="20">
        <v>2022</v>
      </c>
      <c r="C1249" s="20" t="s">
        <v>107</v>
      </c>
      <c r="D1249" s="20">
        <v>22</v>
      </c>
      <c r="E1249" s="20">
        <v>0</v>
      </c>
      <c r="F1249" s="22">
        <f>IFERROR(E1249/D1249*100,"")</f>
        <v>0</v>
      </c>
      <c r="G1249" s="23">
        <f>IFERROR(INDEX(Population_by_Province_Year!$B$5:$J$29,MATCH($A1249,Population_by_Province_Year!$A$5:$A$29,0),MATCH($B1249,Population_by_Province_Year!$B$4:$J$4,0)),"")</f>
        <v>643128</v>
      </c>
      <c r="H1249" s="22">
        <f>IFERROR(D1249/G1249*100000,"")</f>
        <v>3.4207809331890386</v>
      </c>
    </row>
    <row r="1250" spans="1:8" ht="15" customHeight="1" x14ac:dyDescent="0.3">
      <c r="A1250" s="20" t="s">
        <v>10</v>
      </c>
      <c r="B1250" s="20">
        <v>2022</v>
      </c>
      <c r="C1250" s="20" t="s">
        <v>107</v>
      </c>
      <c r="D1250" s="20">
        <v>243</v>
      </c>
      <c r="E1250" s="20">
        <v>0</v>
      </c>
      <c r="F1250" s="22">
        <f>IFERROR(E1250/D1250*100,"")</f>
        <v>0</v>
      </c>
      <c r="G1250" s="23">
        <f>IFERROR(INDEX(Population_by_Province_Year!$B$5:$J$29,MATCH($A1250,Population_by_Province_Year!$A$5:$A$29,0),MATCH($B1250,Population_by_Province_Year!$B$4:$J$4,0)),"")</f>
        <v>1301335</v>
      </c>
      <c r="H1250" s="22">
        <f>IFERROR(D1250/G1250*100000,"")</f>
        <v>18.673131822320926</v>
      </c>
    </row>
    <row r="1251" spans="1:8" ht="15" customHeight="1" x14ac:dyDescent="0.3">
      <c r="A1251" s="20" t="s">
        <v>11</v>
      </c>
      <c r="B1251" s="20">
        <v>2022</v>
      </c>
      <c r="C1251" s="20" t="s">
        <v>107</v>
      </c>
      <c r="D1251" s="20">
        <v>1</v>
      </c>
      <c r="E1251" s="20">
        <v>0</v>
      </c>
      <c r="F1251" s="22">
        <f>IFERROR(E1251/D1251*100,"")</f>
        <v>0</v>
      </c>
      <c r="G1251" s="23">
        <f>IFERROR(INDEX(Population_by_Province_Year!$B$5:$J$29,MATCH($A1251,Population_by_Province_Year!$A$5:$A$29,0),MATCH($B1251,Population_by_Province_Year!$B$4:$J$4,0)),"")</f>
        <v>46207</v>
      </c>
      <c r="H1251" s="22">
        <f>IFERROR(D1251/G1251*100000,"")</f>
        <v>2.1641742593113595</v>
      </c>
    </row>
    <row r="1252" spans="1:8" ht="15" customHeight="1" x14ac:dyDescent="0.3">
      <c r="A1252" s="20" t="s">
        <v>13</v>
      </c>
      <c r="B1252" s="20">
        <v>2022</v>
      </c>
      <c r="C1252" s="20" t="s">
        <v>107</v>
      </c>
      <c r="D1252" s="20">
        <v>16</v>
      </c>
      <c r="E1252" s="20">
        <v>0</v>
      </c>
      <c r="F1252" s="22">
        <f>IFERROR(E1252/D1252*100,"")</f>
        <v>0</v>
      </c>
      <c r="G1252" s="23">
        <f>IFERROR(INDEX(Population_by_Province_Year!$B$5:$J$29,MATCH($A1252,Population_by_Province_Year!$A$5:$A$29,0),MATCH($B1252,Population_by_Province_Year!$B$4:$J$4,0)),"")</f>
        <v>405867</v>
      </c>
      <c r="H1252" s="22">
        <f>IFERROR(D1252/G1252*100000,"")</f>
        <v>3.9421781026789562</v>
      </c>
    </row>
    <row r="1253" spans="1:8" ht="15" customHeight="1" x14ac:dyDescent="0.3">
      <c r="A1253" s="20" t="s">
        <v>14</v>
      </c>
      <c r="B1253" s="20">
        <v>2022</v>
      </c>
      <c r="C1253" s="20" t="s">
        <v>107</v>
      </c>
      <c r="D1253" s="20">
        <v>1</v>
      </c>
      <c r="E1253" s="20">
        <v>0</v>
      </c>
      <c r="F1253" s="22">
        <f>IFERROR(E1253/D1253*100,"")</f>
        <v>0</v>
      </c>
      <c r="G1253" s="23">
        <f>IFERROR(INDEX(Population_by_Province_Year!$B$5:$J$29,MATCH($A1253,Population_by_Province_Year!$A$5:$A$29,0),MATCH($B1253,Population_by_Province_Year!$B$4:$J$4,0)),"")</f>
        <v>99868</v>
      </c>
      <c r="H1253" s="22">
        <f>IFERROR(D1253/G1253*100000,"")</f>
        <v>1.0013217447030081</v>
      </c>
    </row>
    <row r="1254" spans="1:8" ht="15" customHeight="1" x14ac:dyDescent="0.3">
      <c r="A1254" s="20" t="s">
        <v>15</v>
      </c>
      <c r="B1254" s="20">
        <v>2022</v>
      </c>
      <c r="C1254" s="20" t="s">
        <v>107</v>
      </c>
      <c r="D1254" s="20">
        <v>11</v>
      </c>
      <c r="E1254" s="20">
        <v>0</v>
      </c>
      <c r="F1254" s="22">
        <f>IFERROR(E1254/D1254*100,"")</f>
        <v>0</v>
      </c>
      <c r="G1254" s="23">
        <f>IFERROR(INDEX(Population_by_Province_Year!$B$5:$J$29,MATCH($A1254,Population_by_Province_Year!$A$5:$A$29,0),MATCH($B1254,Population_by_Province_Year!$B$4:$J$4,0)),"")</f>
        <v>298954</v>
      </c>
      <c r="H1254" s="22">
        <f>IFERROR(D1254/G1254*100000,"")</f>
        <v>3.6794958421696982</v>
      </c>
    </row>
    <row r="1255" spans="1:8" ht="15" customHeight="1" x14ac:dyDescent="0.3">
      <c r="A1255" s="20" t="s">
        <v>16</v>
      </c>
      <c r="B1255" s="20">
        <v>2022</v>
      </c>
      <c r="C1255" s="20" t="s">
        <v>107</v>
      </c>
      <c r="D1255" s="20">
        <v>1</v>
      </c>
      <c r="E1255" s="20">
        <v>0</v>
      </c>
      <c r="F1255" s="22">
        <f>IFERROR(E1255/D1255*100,"")</f>
        <v>0</v>
      </c>
      <c r="G1255" s="23">
        <f>IFERROR(INDEX(Population_by_Province_Year!$B$5:$J$29,MATCH($A1255,Population_by_Province_Year!$A$5:$A$29,0),MATCH($B1255,Population_by_Province_Year!$B$4:$J$4,0)),"")</f>
        <v>81348</v>
      </c>
      <c r="H1255" s="22">
        <f>IFERROR(D1255/G1255*100000,"")</f>
        <v>1.2292865221025717</v>
      </c>
    </row>
    <row r="1256" spans="1:8" ht="15" customHeight="1" x14ac:dyDescent="0.3">
      <c r="A1256" s="20" t="s">
        <v>17</v>
      </c>
      <c r="B1256" s="20">
        <v>2022</v>
      </c>
      <c r="C1256" s="20" t="s">
        <v>107</v>
      </c>
      <c r="D1256" s="20">
        <v>362</v>
      </c>
      <c r="E1256" s="20">
        <v>0</v>
      </c>
      <c r="F1256" s="22">
        <f>IFERROR(E1256/D1256*100,"")</f>
        <v>0</v>
      </c>
      <c r="G1256" s="23">
        <f>IFERROR(INDEX(Population_by_Province_Year!$B$5:$J$29,MATCH($A1256,Population_by_Province_Year!$A$5:$A$29,0),MATCH($B1256,Population_by_Province_Year!$B$4:$J$4,0)),"")</f>
        <v>2471395</v>
      </c>
      <c r="H1256" s="22">
        <f>IFERROR(D1256/G1256*100000,"")</f>
        <v>14.647597814189961</v>
      </c>
    </row>
    <row r="1257" spans="1:8" ht="15" customHeight="1" x14ac:dyDescent="0.3">
      <c r="A1257" s="20" t="s">
        <v>18</v>
      </c>
      <c r="B1257" s="20">
        <v>2022</v>
      </c>
      <c r="C1257" s="20" t="s">
        <v>107</v>
      </c>
      <c r="D1257" s="20">
        <v>25</v>
      </c>
      <c r="E1257" s="20">
        <v>0</v>
      </c>
      <c r="F1257" s="22">
        <f>IFERROR(E1257/D1257*100,"")</f>
        <v>0</v>
      </c>
      <c r="G1257" s="23">
        <f>IFERROR(INDEX(Population_by_Province_Year!$B$5:$J$29,MATCH($A1257,Population_by_Province_Year!$A$5:$A$29,0),MATCH($B1257,Population_by_Province_Year!$B$4:$J$4,0)),"")</f>
        <v>335814</v>
      </c>
      <c r="H1257" s="22">
        <f>IFERROR(D1257/G1257*100000,"")</f>
        <v>7.4445973068424784</v>
      </c>
    </row>
    <row r="1258" spans="1:8" ht="15" customHeight="1" x14ac:dyDescent="0.3">
      <c r="A1258" s="20" t="s">
        <v>19</v>
      </c>
      <c r="B1258" s="20">
        <v>2022</v>
      </c>
      <c r="C1258" s="20" t="s">
        <v>107</v>
      </c>
      <c r="D1258" s="20">
        <v>28</v>
      </c>
      <c r="E1258" s="20">
        <v>0</v>
      </c>
      <c r="F1258" s="22">
        <f>IFERROR(E1258/D1258*100,"")</f>
        <v>0</v>
      </c>
      <c r="G1258" s="23">
        <f>IFERROR(INDEX(Population_by_Province_Year!$B$5:$J$29,MATCH($A1258,Population_by_Province_Year!$A$5:$A$29,0),MATCH($B1258,Population_by_Province_Year!$B$4:$J$4,0)),"")</f>
        <v>275982</v>
      </c>
      <c r="H1258" s="22">
        <f>IFERROR(D1258/G1258*100000,"")</f>
        <v>10.145589205093085</v>
      </c>
    </row>
    <row r="1259" spans="1:8" ht="15" customHeight="1" x14ac:dyDescent="0.3">
      <c r="A1259" s="20" t="s">
        <v>20</v>
      </c>
      <c r="B1259" s="20">
        <v>2022</v>
      </c>
      <c r="C1259" s="20" t="s">
        <v>107</v>
      </c>
      <c r="D1259" s="20">
        <v>33</v>
      </c>
      <c r="E1259" s="20">
        <v>1</v>
      </c>
      <c r="F1259" s="22">
        <f>IFERROR(E1259/D1259*100,"")</f>
        <v>3.0303030303030303</v>
      </c>
      <c r="G1259" s="23">
        <f>IFERROR(INDEX(Population_by_Province_Year!$B$5:$J$29,MATCH($A1259,Population_by_Province_Year!$A$5:$A$29,0),MATCH($B1259,Population_by_Province_Year!$B$4:$J$4,0)),"")</f>
        <v>1145530</v>
      </c>
      <c r="H1259" s="22">
        <f>IFERROR(D1259/G1259*100000,"")</f>
        <v>2.8807626164308222</v>
      </c>
    </row>
    <row r="1260" spans="1:8" ht="15" customHeight="1" x14ac:dyDescent="0.3">
      <c r="A1260" s="20" t="s">
        <v>21</v>
      </c>
      <c r="B1260" s="20">
        <v>2022</v>
      </c>
      <c r="C1260" s="20" t="s">
        <v>107</v>
      </c>
      <c r="D1260" s="20">
        <v>45</v>
      </c>
      <c r="E1260" s="20">
        <v>0</v>
      </c>
      <c r="F1260" s="22">
        <f>IFERROR(E1260/D1260*100,"")</f>
        <v>0</v>
      </c>
      <c r="G1260" s="23">
        <f>IFERROR(INDEX(Population_by_Province_Year!$B$5:$J$29,MATCH($A1260,Population_by_Province_Year!$A$5:$A$29,0),MATCH($B1260,Population_by_Province_Year!$B$4:$J$4,0)),"")</f>
        <v>454816</v>
      </c>
      <c r="H1260" s="22">
        <f>IFERROR(D1260/G1260*100000,"")</f>
        <v>9.8941110251178497</v>
      </c>
    </row>
    <row r="1261" spans="1:8" ht="15" customHeight="1" x14ac:dyDescent="0.3">
      <c r="A1261" s="20" t="s">
        <v>22</v>
      </c>
      <c r="B1261" s="20">
        <v>2022</v>
      </c>
      <c r="C1261" s="20" t="s">
        <v>107</v>
      </c>
      <c r="D1261" s="20">
        <v>3</v>
      </c>
      <c r="E1261" s="20">
        <v>0</v>
      </c>
      <c r="F1261" s="22">
        <f>IFERROR(E1261/D1261*100,"")</f>
        <v>0</v>
      </c>
      <c r="G1261" s="23">
        <f>IFERROR(INDEX(Population_by_Province_Year!$B$5:$J$29,MATCH($A1261,Population_by_Province_Year!$A$5:$A$29,0),MATCH($B1261,Population_by_Province_Year!$B$4:$J$4,0)),"")</f>
        <v>235506</v>
      </c>
      <c r="H1261" s="22">
        <f>IFERROR(D1261/G1261*100000,"")</f>
        <v>1.2738528954676314</v>
      </c>
    </row>
    <row r="1262" spans="1:8" ht="15" customHeight="1" x14ac:dyDescent="0.3">
      <c r="A1262" s="20" t="s">
        <v>23</v>
      </c>
      <c r="B1262" s="20">
        <v>2022</v>
      </c>
      <c r="C1262" s="20" t="s">
        <v>107</v>
      </c>
      <c r="D1262" s="20">
        <v>197</v>
      </c>
      <c r="E1262" s="20">
        <v>0</v>
      </c>
      <c r="F1262" s="22">
        <f>IFERROR(E1262/D1262*100,"")</f>
        <v>0</v>
      </c>
      <c r="G1262" s="23">
        <f>IFERROR(INDEX(Population_by_Province_Year!$B$5:$J$29,MATCH($A1262,Population_by_Province_Year!$A$5:$A$29,0),MATCH($B1262,Population_by_Province_Year!$B$4:$J$4,0)),"")</f>
        <v>1098434</v>
      </c>
      <c r="H1262" s="22">
        <f>IFERROR(D1262/G1262*100000,"")</f>
        <v>17.934623290976059</v>
      </c>
    </row>
    <row r="1263" spans="1:8" ht="15" customHeight="1" x14ac:dyDescent="0.3">
      <c r="A1263" s="20" t="s">
        <v>24</v>
      </c>
      <c r="B1263" s="20">
        <v>2022</v>
      </c>
      <c r="C1263" s="20" t="s">
        <v>107</v>
      </c>
      <c r="D1263" s="20">
        <v>6</v>
      </c>
      <c r="E1263" s="20">
        <v>0</v>
      </c>
      <c r="F1263" s="22">
        <f>IFERROR(E1263/D1263*100,"")</f>
        <v>0</v>
      </c>
      <c r="G1263" s="23">
        <f>IFERROR(INDEX(Population_by_Province_Year!$B$5:$J$29,MATCH($A1263,Population_by_Province_Year!$A$5:$A$29,0),MATCH($B1263,Population_by_Province_Year!$B$4:$J$4,0)),"")</f>
        <v>179470</v>
      </c>
      <c r="H1263" s="22">
        <f>IFERROR(D1263/G1263*100000,"")</f>
        <v>3.3431771326684121</v>
      </c>
    </row>
    <row r="1264" spans="1:8" ht="15" customHeight="1" x14ac:dyDescent="0.3">
      <c r="A1264" s="20" t="s">
        <v>25</v>
      </c>
      <c r="B1264" s="20">
        <v>2022</v>
      </c>
      <c r="C1264" s="20" t="s">
        <v>107</v>
      </c>
      <c r="D1264" s="20">
        <v>22</v>
      </c>
      <c r="E1264" s="20">
        <v>0</v>
      </c>
      <c r="F1264" s="22">
        <f>IFERROR(E1264/D1264*100,"")</f>
        <v>0</v>
      </c>
      <c r="G1264" s="23">
        <f>IFERROR(INDEX(Population_by_Province_Year!$B$5:$J$29,MATCH($A1264,Population_by_Province_Year!$A$5:$A$29,0),MATCH($B1264,Population_by_Province_Year!$B$4:$J$4,0)),"")</f>
        <v>569123</v>
      </c>
      <c r="H1264" s="22">
        <f>IFERROR(D1264/G1264*100000,"")</f>
        <v>3.8655967163512983</v>
      </c>
    </row>
    <row r="1265" spans="1:8" ht="15" customHeight="1" x14ac:dyDescent="0.3">
      <c r="A1265" s="20" t="s">
        <v>26</v>
      </c>
      <c r="B1265" s="20">
        <v>2022</v>
      </c>
      <c r="C1265" s="20" t="s">
        <v>107</v>
      </c>
      <c r="D1265" s="20">
        <v>60</v>
      </c>
      <c r="E1265" s="20">
        <v>0</v>
      </c>
      <c r="F1265" s="22">
        <f>IFERROR(E1265/D1265*100,"")</f>
        <v>0</v>
      </c>
      <c r="G1265" s="23">
        <f>IFERROR(INDEX(Population_by_Province_Year!$B$5:$J$29,MATCH($A1265,Population_by_Province_Year!$A$5:$A$29,0),MATCH($B1265,Population_by_Province_Year!$B$4:$J$4,0)),"")</f>
        <v>975707</v>
      </c>
      <c r="H1265" s="22">
        <f>IFERROR(D1265/G1265*100000,"")</f>
        <v>6.1493870598448099</v>
      </c>
    </row>
    <row r="1266" spans="1:8" ht="15" customHeight="1" x14ac:dyDescent="0.3">
      <c r="A1266" s="20" t="s">
        <v>27</v>
      </c>
      <c r="B1266" s="20">
        <v>2022</v>
      </c>
      <c r="C1266" s="20" t="s">
        <v>107</v>
      </c>
      <c r="D1266" s="20">
        <v>30</v>
      </c>
      <c r="E1266" s="20">
        <v>0</v>
      </c>
      <c r="F1266" s="22">
        <f>IFERROR(E1266/D1266*100,"")</f>
        <v>0</v>
      </c>
      <c r="G1266" s="23">
        <f>IFERROR(INDEX(Population_by_Province_Year!$B$5:$J$29,MATCH($A1266,Population_by_Province_Year!$A$5:$A$29,0),MATCH($B1266,Population_by_Province_Year!$B$4:$J$4,0)),"")</f>
        <v>841333</v>
      </c>
      <c r="H1266" s="22">
        <f>IFERROR(D1266/G1266*100000,"")</f>
        <v>3.5657700339817886</v>
      </c>
    </row>
    <row r="1267" spans="1:8" ht="15" customHeight="1" x14ac:dyDescent="0.3">
      <c r="A1267" s="20" t="s">
        <v>3</v>
      </c>
      <c r="B1267" s="20">
        <v>2022</v>
      </c>
      <c r="C1267" s="20" t="s">
        <v>106</v>
      </c>
      <c r="D1267" s="20">
        <v>154</v>
      </c>
      <c r="E1267" s="20">
        <v>0</v>
      </c>
      <c r="F1267" s="22">
        <f>IFERROR(E1267/D1267*100,"")</f>
        <v>0</v>
      </c>
      <c r="G1267" s="23">
        <f>IFERROR(INDEX(Population_by_Province_Year!$B$5:$J$29,MATCH($A1267,Population_by_Province_Year!$A$5:$A$29,0),MATCH($B1267,Population_by_Province_Year!$B$4:$J$4,0)),"")</f>
        <v>933435</v>
      </c>
      <c r="H1267" s="22">
        <f>IFERROR(D1267/G1267*100000,"")</f>
        <v>16.49820287432976</v>
      </c>
    </row>
    <row r="1268" spans="1:8" ht="15" customHeight="1" x14ac:dyDescent="0.3">
      <c r="A1268" s="20" t="s">
        <v>4</v>
      </c>
      <c r="B1268" s="20">
        <v>2022</v>
      </c>
      <c r="C1268" s="20" t="s">
        <v>106</v>
      </c>
      <c r="D1268" s="20">
        <v>39</v>
      </c>
      <c r="E1268" s="20">
        <v>0</v>
      </c>
      <c r="F1268" s="22">
        <f>IFERROR(E1268/D1268*100,"")</f>
        <v>0</v>
      </c>
      <c r="G1268" s="23">
        <f>IFERROR(INDEX(Population_by_Province_Year!$B$5:$J$29,MATCH($A1268,Population_by_Province_Year!$A$5:$A$29,0),MATCH($B1268,Population_by_Province_Year!$B$4:$J$4,0)),"")</f>
        <v>1079953</v>
      </c>
      <c r="H1268" s="22">
        <f>IFERROR(D1268/G1268*100000,"")</f>
        <v>3.6112682681561137</v>
      </c>
    </row>
    <row r="1269" spans="1:8" ht="15" customHeight="1" x14ac:dyDescent="0.3">
      <c r="A1269" s="20" t="s">
        <v>5</v>
      </c>
      <c r="B1269" s="20">
        <v>2022</v>
      </c>
      <c r="C1269" s="20" t="s">
        <v>106</v>
      </c>
      <c r="D1269" s="20">
        <v>73</v>
      </c>
      <c r="E1269" s="20">
        <v>0</v>
      </c>
      <c r="F1269" s="22">
        <f>IFERROR(E1269/D1269*100,"")</f>
        <v>0</v>
      </c>
      <c r="G1269" s="23">
        <f>IFERROR(INDEX(Population_by_Province_Year!$B$5:$J$29,MATCH($A1269,Population_by_Province_Year!$A$5:$A$29,0),MATCH($B1269,Population_by_Province_Year!$B$4:$J$4,0)),"")</f>
        <v>974490</v>
      </c>
      <c r="H1269" s="22">
        <f>IFERROR(D1269/G1269*100000,"")</f>
        <v>7.4910979076234741</v>
      </c>
    </row>
    <row r="1270" spans="1:8" ht="15" customHeight="1" x14ac:dyDescent="0.3">
      <c r="A1270" s="20" t="s">
        <v>6</v>
      </c>
      <c r="B1270" s="20">
        <v>2022</v>
      </c>
      <c r="C1270" s="20" t="s">
        <v>106</v>
      </c>
      <c r="D1270" s="20">
        <v>19</v>
      </c>
      <c r="E1270" s="20">
        <v>0</v>
      </c>
      <c r="F1270" s="22">
        <f>IFERROR(E1270/D1270*100,"")</f>
        <v>0</v>
      </c>
      <c r="G1270" s="23">
        <f>IFERROR(INDEX(Population_by_Province_Year!$B$5:$J$29,MATCH($A1270,Population_by_Province_Year!$A$5:$A$29,0),MATCH($B1270,Population_by_Province_Year!$B$4:$J$4,0)),"")</f>
        <v>570780</v>
      </c>
      <c r="H1270" s="22">
        <f>IFERROR(D1270/G1270*100000,"")</f>
        <v>3.3287781632152491</v>
      </c>
    </row>
    <row r="1271" spans="1:8" ht="15" customHeight="1" x14ac:dyDescent="0.3">
      <c r="A1271" s="20" t="s">
        <v>7</v>
      </c>
      <c r="B1271" s="20">
        <v>2022</v>
      </c>
      <c r="C1271" s="20" t="s">
        <v>106</v>
      </c>
      <c r="D1271" s="20">
        <v>129</v>
      </c>
      <c r="E1271" s="20">
        <v>0</v>
      </c>
      <c r="F1271" s="22">
        <f>IFERROR(E1271/D1271*100,"")</f>
        <v>0</v>
      </c>
      <c r="G1271" s="23">
        <f>IFERROR(INDEX(Population_by_Province_Year!$B$5:$J$29,MATCH($A1271,Population_by_Province_Year!$A$5:$A$29,0),MATCH($B1271,Population_by_Province_Year!$B$4:$J$4,0)),"")</f>
        <v>950374</v>
      </c>
      <c r="H1271" s="22">
        <f>IFERROR(D1271/G1271*100000,"")</f>
        <v>13.573603654982143</v>
      </c>
    </row>
    <row r="1272" spans="1:8" ht="15" customHeight="1" x14ac:dyDescent="0.3">
      <c r="A1272" s="20" t="s">
        <v>8</v>
      </c>
      <c r="B1272" s="20">
        <v>2022</v>
      </c>
      <c r="C1272" s="20" t="s">
        <v>106</v>
      </c>
      <c r="D1272" s="20">
        <v>45</v>
      </c>
      <c r="E1272" s="20">
        <v>0</v>
      </c>
      <c r="F1272" s="22">
        <f>IFERROR(E1272/D1272*100,"")</f>
        <v>0</v>
      </c>
      <c r="G1272" s="23">
        <f>IFERROR(INDEX(Population_by_Province_Year!$B$5:$J$29,MATCH($A1272,Population_by_Province_Year!$A$5:$A$29,0),MATCH($B1272,Population_by_Province_Year!$B$4:$J$4,0)),"")</f>
        <v>738130</v>
      </c>
      <c r="H1272" s="22">
        <f>IFERROR(D1272/G1272*100000,"")</f>
        <v>6.0964870686735395</v>
      </c>
    </row>
    <row r="1273" spans="1:8" ht="15" customHeight="1" x14ac:dyDescent="0.3">
      <c r="A1273" s="20" t="s">
        <v>9</v>
      </c>
      <c r="B1273" s="20">
        <v>2022</v>
      </c>
      <c r="C1273" s="20" t="s">
        <v>106</v>
      </c>
      <c r="D1273" s="20">
        <v>73</v>
      </c>
      <c r="E1273" s="20">
        <v>0</v>
      </c>
      <c r="F1273" s="22">
        <f>IFERROR(E1273/D1273*100,"")</f>
        <v>0</v>
      </c>
      <c r="G1273" s="23">
        <f>IFERROR(INDEX(Population_by_Province_Year!$B$5:$J$29,MATCH($A1273,Population_by_Province_Year!$A$5:$A$29,0),MATCH($B1273,Population_by_Province_Year!$B$4:$J$4,0)),"")</f>
        <v>643128</v>
      </c>
      <c r="H1273" s="22">
        <f>IFERROR(D1273/G1273*100000,"")</f>
        <v>11.350773096490901</v>
      </c>
    </row>
    <row r="1274" spans="1:8" ht="15" customHeight="1" x14ac:dyDescent="0.3">
      <c r="A1274" s="20" t="s">
        <v>10</v>
      </c>
      <c r="B1274" s="20">
        <v>2022</v>
      </c>
      <c r="C1274" s="20" t="s">
        <v>106</v>
      </c>
      <c r="D1274" s="20">
        <v>290</v>
      </c>
      <c r="E1274" s="20">
        <v>0</v>
      </c>
      <c r="F1274" s="22">
        <f>IFERROR(E1274/D1274*100,"")</f>
        <v>0</v>
      </c>
      <c r="G1274" s="23">
        <f>IFERROR(INDEX(Population_by_Province_Year!$B$5:$J$29,MATCH($A1274,Population_by_Province_Year!$A$5:$A$29,0),MATCH($B1274,Population_by_Province_Year!$B$4:$J$4,0)),"")</f>
        <v>1301335</v>
      </c>
      <c r="H1274" s="22">
        <f>IFERROR(D1274/G1274*100000,"")</f>
        <v>22.284807524580525</v>
      </c>
    </row>
    <row r="1275" spans="1:8" ht="15" customHeight="1" x14ac:dyDescent="0.3">
      <c r="A1275" s="20" t="s">
        <v>11</v>
      </c>
      <c r="B1275" s="20">
        <v>2022</v>
      </c>
      <c r="C1275" s="20" t="s">
        <v>106</v>
      </c>
      <c r="D1275" s="20">
        <v>2</v>
      </c>
      <c r="E1275" s="20">
        <v>0</v>
      </c>
      <c r="F1275" s="22">
        <f>IFERROR(E1275/D1275*100,"")</f>
        <v>0</v>
      </c>
      <c r="G1275" s="23">
        <f>IFERROR(INDEX(Population_by_Province_Year!$B$5:$J$29,MATCH($A1275,Population_by_Province_Year!$A$5:$A$29,0),MATCH($B1275,Population_by_Province_Year!$B$4:$J$4,0)),"")</f>
        <v>46207</v>
      </c>
      <c r="H1275" s="22">
        <f>IFERROR(D1275/G1275*100000,"")</f>
        <v>4.3283485186227191</v>
      </c>
    </row>
    <row r="1276" spans="1:8" ht="15" customHeight="1" x14ac:dyDescent="0.3">
      <c r="A1276" s="20" t="s">
        <v>12</v>
      </c>
      <c r="B1276" s="20">
        <v>2022</v>
      </c>
      <c r="C1276" s="20" t="s">
        <v>106</v>
      </c>
      <c r="D1276" s="20">
        <v>1</v>
      </c>
      <c r="E1276" s="20">
        <v>0</v>
      </c>
      <c r="F1276" s="22">
        <f>IFERROR(E1276/D1276*100,"")</f>
        <v>0</v>
      </c>
      <c r="G1276" s="23">
        <f>IFERROR(INDEX(Population_by_Province_Year!$B$5:$J$29,MATCH($A1276,Population_by_Province_Year!$A$5:$A$29,0),MATCH($B1276,Population_by_Province_Year!$B$4:$J$4,0)),"")</f>
        <v>136354</v>
      </c>
      <c r="H1276" s="22">
        <f>IFERROR(D1276/G1276*100000,"")</f>
        <v>0.73338515921791803</v>
      </c>
    </row>
    <row r="1277" spans="1:8" ht="15" customHeight="1" x14ac:dyDescent="0.3">
      <c r="A1277" s="20" t="s">
        <v>13</v>
      </c>
      <c r="B1277" s="20">
        <v>2022</v>
      </c>
      <c r="C1277" s="20" t="s">
        <v>106</v>
      </c>
      <c r="D1277" s="20">
        <v>11</v>
      </c>
      <c r="E1277" s="20">
        <v>0</v>
      </c>
      <c r="F1277" s="22">
        <f>IFERROR(E1277/D1277*100,"")</f>
        <v>0</v>
      </c>
      <c r="G1277" s="23">
        <f>IFERROR(INDEX(Population_by_Province_Year!$B$5:$J$29,MATCH($A1277,Population_by_Province_Year!$A$5:$A$29,0),MATCH($B1277,Population_by_Province_Year!$B$4:$J$4,0)),"")</f>
        <v>405867</v>
      </c>
      <c r="H1277" s="22">
        <f>IFERROR(D1277/G1277*100000,"")</f>
        <v>2.7102474455917824</v>
      </c>
    </row>
    <row r="1278" spans="1:8" ht="15" customHeight="1" x14ac:dyDescent="0.3">
      <c r="A1278" s="20" t="s">
        <v>14</v>
      </c>
      <c r="B1278" s="20">
        <v>2022</v>
      </c>
      <c r="C1278" s="20" t="s">
        <v>106</v>
      </c>
      <c r="D1278" s="20">
        <v>4</v>
      </c>
      <c r="E1278" s="20">
        <v>0</v>
      </c>
      <c r="F1278" s="22">
        <f>IFERROR(E1278/D1278*100,"")</f>
        <v>0</v>
      </c>
      <c r="G1278" s="23">
        <f>IFERROR(INDEX(Population_by_Province_Year!$B$5:$J$29,MATCH($A1278,Population_by_Province_Year!$A$5:$A$29,0),MATCH($B1278,Population_by_Province_Year!$B$4:$J$4,0)),"")</f>
        <v>99868</v>
      </c>
      <c r="H1278" s="22">
        <f>IFERROR(D1278/G1278*100000,"")</f>
        <v>4.0052869788120322</v>
      </c>
    </row>
    <row r="1279" spans="1:8" ht="15" customHeight="1" x14ac:dyDescent="0.3">
      <c r="A1279" s="20" t="s">
        <v>15</v>
      </c>
      <c r="B1279" s="20">
        <v>2022</v>
      </c>
      <c r="C1279" s="20" t="s">
        <v>106</v>
      </c>
      <c r="D1279" s="20">
        <v>9</v>
      </c>
      <c r="E1279" s="20">
        <v>0</v>
      </c>
      <c r="F1279" s="22">
        <f>IFERROR(E1279/D1279*100,"")</f>
        <v>0</v>
      </c>
      <c r="G1279" s="23">
        <f>IFERROR(INDEX(Population_by_Province_Year!$B$5:$J$29,MATCH($A1279,Population_by_Province_Year!$A$5:$A$29,0),MATCH($B1279,Population_by_Province_Year!$B$4:$J$4,0)),"")</f>
        <v>298954</v>
      </c>
      <c r="H1279" s="22">
        <f>IFERROR(D1279/G1279*100000,"")</f>
        <v>3.0104965981388441</v>
      </c>
    </row>
    <row r="1280" spans="1:8" ht="15" customHeight="1" x14ac:dyDescent="0.3">
      <c r="A1280" s="20" t="s">
        <v>17</v>
      </c>
      <c r="B1280" s="20">
        <v>2022</v>
      </c>
      <c r="C1280" s="20" t="s">
        <v>106</v>
      </c>
      <c r="D1280" s="20">
        <v>510</v>
      </c>
      <c r="E1280" s="20">
        <v>1</v>
      </c>
      <c r="F1280" s="22">
        <f>IFERROR(E1280/D1280*100,"")</f>
        <v>0.19607843137254902</v>
      </c>
      <c r="G1280" s="23">
        <f>IFERROR(INDEX(Population_by_Province_Year!$B$5:$J$29,MATCH($A1280,Population_by_Province_Year!$A$5:$A$29,0),MATCH($B1280,Population_by_Province_Year!$B$4:$J$4,0)),"")</f>
        <v>2471395</v>
      </c>
      <c r="H1280" s="22">
        <f>IFERROR(D1280/G1280*100000,"")</f>
        <v>20.636118467505195</v>
      </c>
    </row>
    <row r="1281" spans="1:8" ht="15" customHeight="1" x14ac:dyDescent="0.3">
      <c r="A1281" s="20" t="s">
        <v>18</v>
      </c>
      <c r="B1281" s="20">
        <v>2022</v>
      </c>
      <c r="C1281" s="20" t="s">
        <v>106</v>
      </c>
      <c r="D1281" s="20">
        <v>49</v>
      </c>
      <c r="E1281" s="20">
        <v>0</v>
      </c>
      <c r="F1281" s="22">
        <f>IFERROR(E1281/D1281*100,"")</f>
        <v>0</v>
      </c>
      <c r="G1281" s="23">
        <f>IFERROR(INDEX(Population_by_Province_Year!$B$5:$J$29,MATCH($A1281,Population_by_Province_Year!$A$5:$A$29,0),MATCH($B1281,Population_by_Province_Year!$B$4:$J$4,0)),"")</f>
        <v>335814</v>
      </c>
      <c r="H1281" s="22">
        <f>IFERROR(D1281/G1281*100000,"")</f>
        <v>14.591410721411259</v>
      </c>
    </row>
    <row r="1282" spans="1:8" ht="15" customHeight="1" x14ac:dyDescent="0.3">
      <c r="A1282" s="20" t="s">
        <v>19</v>
      </c>
      <c r="B1282" s="20">
        <v>2022</v>
      </c>
      <c r="C1282" s="20" t="s">
        <v>106</v>
      </c>
      <c r="D1282" s="20">
        <v>41</v>
      </c>
      <c r="E1282" s="20">
        <v>0</v>
      </c>
      <c r="F1282" s="22">
        <f>IFERROR(E1282/D1282*100,"")</f>
        <v>0</v>
      </c>
      <c r="G1282" s="23">
        <f>IFERROR(INDEX(Population_by_Province_Year!$B$5:$J$29,MATCH($A1282,Population_by_Province_Year!$A$5:$A$29,0),MATCH($B1282,Population_by_Province_Year!$B$4:$J$4,0)),"")</f>
        <v>275982</v>
      </c>
      <c r="H1282" s="22">
        <f>IFERROR(D1282/G1282*100000,"")</f>
        <v>14.856041336029161</v>
      </c>
    </row>
    <row r="1283" spans="1:8" ht="15" customHeight="1" x14ac:dyDescent="0.3">
      <c r="A1283" s="20" t="s">
        <v>20</v>
      </c>
      <c r="B1283" s="20">
        <v>2022</v>
      </c>
      <c r="C1283" s="20" t="s">
        <v>106</v>
      </c>
      <c r="D1283" s="20">
        <v>66</v>
      </c>
      <c r="E1283" s="20">
        <v>0</v>
      </c>
      <c r="F1283" s="22">
        <f>IFERROR(E1283/D1283*100,"")</f>
        <v>0</v>
      </c>
      <c r="G1283" s="23">
        <f>IFERROR(INDEX(Population_by_Province_Year!$B$5:$J$29,MATCH($A1283,Population_by_Province_Year!$A$5:$A$29,0),MATCH($B1283,Population_by_Province_Year!$B$4:$J$4,0)),"")</f>
        <v>1145530</v>
      </c>
      <c r="H1283" s="22">
        <f>IFERROR(D1283/G1283*100000,"")</f>
        <v>5.7615252328616444</v>
      </c>
    </row>
    <row r="1284" spans="1:8" ht="15" customHeight="1" x14ac:dyDescent="0.3">
      <c r="A1284" s="20" t="s">
        <v>21</v>
      </c>
      <c r="B1284" s="20">
        <v>2022</v>
      </c>
      <c r="C1284" s="20" t="s">
        <v>106</v>
      </c>
      <c r="D1284" s="20">
        <v>49</v>
      </c>
      <c r="E1284" s="20">
        <v>0</v>
      </c>
      <c r="F1284" s="22">
        <f>IFERROR(E1284/D1284*100,"")</f>
        <v>0</v>
      </c>
      <c r="G1284" s="23">
        <f>IFERROR(INDEX(Population_by_Province_Year!$B$5:$J$29,MATCH($A1284,Population_by_Province_Year!$A$5:$A$29,0),MATCH($B1284,Population_by_Province_Year!$B$4:$J$4,0)),"")</f>
        <v>454816</v>
      </c>
      <c r="H1284" s="22">
        <f>IFERROR(D1284/G1284*100000,"")</f>
        <v>10.773587560683881</v>
      </c>
    </row>
    <row r="1285" spans="1:8" ht="15" customHeight="1" x14ac:dyDescent="0.3">
      <c r="A1285" s="20" t="s">
        <v>22</v>
      </c>
      <c r="B1285" s="20">
        <v>2022</v>
      </c>
      <c r="C1285" s="20" t="s">
        <v>106</v>
      </c>
      <c r="D1285" s="20">
        <v>3</v>
      </c>
      <c r="E1285" s="20">
        <v>0</v>
      </c>
      <c r="F1285" s="22">
        <f>IFERROR(E1285/D1285*100,"")</f>
        <v>0</v>
      </c>
      <c r="G1285" s="23">
        <f>IFERROR(INDEX(Population_by_Province_Year!$B$5:$J$29,MATCH($A1285,Population_by_Province_Year!$A$5:$A$29,0),MATCH($B1285,Population_by_Province_Year!$B$4:$J$4,0)),"")</f>
        <v>235506</v>
      </c>
      <c r="H1285" s="22">
        <f>IFERROR(D1285/G1285*100000,"")</f>
        <v>1.2738528954676314</v>
      </c>
    </row>
    <row r="1286" spans="1:8" ht="15" customHeight="1" x14ac:dyDescent="0.3">
      <c r="A1286" s="20" t="s">
        <v>23</v>
      </c>
      <c r="B1286" s="20">
        <v>2022</v>
      </c>
      <c r="C1286" s="20" t="s">
        <v>106</v>
      </c>
      <c r="D1286" s="20">
        <v>295</v>
      </c>
      <c r="E1286" s="20">
        <v>0</v>
      </c>
      <c r="F1286" s="22">
        <f>IFERROR(E1286/D1286*100,"")</f>
        <v>0</v>
      </c>
      <c r="G1286" s="23">
        <f>IFERROR(INDEX(Population_by_Province_Year!$B$5:$J$29,MATCH($A1286,Population_by_Province_Year!$A$5:$A$29,0),MATCH($B1286,Population_by_Province_Year!$B$4:$J$4,0)),"")</f>
        <v>1098434</v>
      </c>
      <c r="H1286" s="22">
        <f>IFERROR(D1286/G1286*100000,"")</f>
        <v>26.856415588009838</v>
      </c>
    </row>
    <row r="1287" spans="1:8" ht="15" customHeight="1" x14ac:dyDescent="0.3">
      <c r="A1287" s="20" t="s">
        <v>24</v>
      </c>
      <c r="B1287" s="20">
        <v>2022</v>
      </c>
      <c r="C1287" s="20" t="s">
        <v>106</v>
      </c>
      <c r="D1287" s="20">
        <v>7</v>
      </c>
      <c r="E1287" s="20">
        <v>0</v>
      </c>
      <c r="F1287" s="22">
        <f>IFERROR(E1287/D1287*100,"")</f>
        <v>0</v>
      </c>
      <c r="G1287" s="23">
        <f>IFERROR(INDEX(Population_by_Province_Year!$B$5:$J$29,MATCH($A1287,Population_by_Province_Year!$A$5:$A$29,0),MATCH($B1287,Population_by_Province_Year!$B$4:$J$4,0)),"")</f>
        <v>179470</v>
      </c>
      <c r="H1287" s="22">
        <f>IFERROR(D1287/G1287*100000,"")</f>
        <v>3.9003733214464815</v>
      </c>
    </row>
    <row r="1288" spans="1:8" ht="15" customHeight="1" x14ac:dyDescent="0.3">
      <c r="A1288" s="20" t="s">
        <v>25</v>
      </c>
      <c r="B1288" s="20">
        <v>2022</v>
      </c>
      <c r="C1288" s="20" t="s">
        <v>106</v>
      </c>
      <c r="D1288" s="20">
        <v>34</v>
      </c>
      <c r="E1288" s="20">
        <v>0</v>
      </c>
      <c r="F1288" s="22">
        <f>IFERROR(E1288/D1288*100,"")</f>
        <v>0</v>
      </c>
      <c r="G1288" s="23">
        <f>IFERROR(INDEX(Population_by_Province_Year!$B$5:$J$29,MATCH($A1288,Population_by_Province_Year!$A$5:$A$29,0),MATCH($B1288,Population_by_Province_Year!$B$4:$J$4,0)),"")</f>
        <v>569123</v>
      </c>
      <c r="H1288" s="22">
        <f>IFERROR(D1288/G1288*100000,"")</f>
        <v>5.9741040161792789</v>
      </c>
    </row>
    <row r="1289" spans="1:8" ht="15" customHeight="1" x14ac:dyDescent="0.3">
      <c r="A1289" s="20" t="s">
        <v>26</v>
      </c>
      <c r="B1289" s="20">
        <v>2022</v>
      </c>
      <c r="C1289" s="20" t="s">
        <v>106</v>
      </c>
      <c r="D1289" s="20">
        <v>63</v>
      </c>
      <c r="E1289" s="20">
        <v>0</v>
      </c>
      <c r="F1289" s="22">
        <f>IFERROR(E1289/D1289*100,"")</f>
        <v>0</v>
      </c>
      <c r="G1289" s="23">
        <f>IFERROR(INDEX(Population_by_Province_Year!$B$5:$J$29,MATCH($A1289,Population_by_Province_Year!$A$5:$A$29,0),MATCH($B1289,Population_by_Province_Year!$B$4:$J$4,0)),"")</f>
        <v>975707</v>
      </c>
      <c r="H1289" s="22">
        <f>IFERROR(D1289/G1289*100000,"")</f>
        <v>6.4568564128370509</v>
      </c>
    </row>
    <row r="1290" spans="1:8" ht="15" customHeight="1" x14ac:dyDescent="0.3">
      <c r="A1290" s="20" t="s">
        <v>27</v>
      </c>
      <c r="B1290" s="20">
        <v>2022</v>
      </c>
      <c r="C1290" s="20" t="s">
        <v>106</v>
      </c>
      <c r="D1290" s="20">
        <v>31</v>
      </c>
      <c r="E1290" s="20">
        <v>0</v>
      </c>
      <c r="F1290" s="22">
        <f>IFERROR(E1290/D1290*100,"")</f>
        <v>0</v>
      </c>
      <c r="G1290" s="23">
        <f>IFERROR(INDEX(Population_by_Province_Year!$B$5:$J$29,MATCH($A1290,Population_by_Province_Year!$A$5:$A$29,0),MATCH($B1290,Population_by_Province_Year!$B$4:$J$4,0)),"")</f>
        <v>841333</v>
      </c>
      <c r="H1290" s="22">
        <f>IFERROR(D1290/G1290*100000,"")</f>
        <v>3.6846290351145146</v>
      </c>
    </row>
    <row r="1291" spans="1:8" ht="15" customHeight="1" x14ac:dyDescent="0.3">
      <c r="A1291" s="20" t="s">
        <v>3</v>
      </c>
      <c r="B1291" s="20">
        <v>2022</v>
      </c>
      <c r="C1291" s="20" t="s">
        <v>105</v>
      </c>
      <c r="D1291" s="20">
        <v>100</v>
      </c>
      <c r="E1291" s="20">
        <v>0</v>
      </c>
      <c r="F1291" s="22">
        <f>IFERROR(E1291/D1291*100,"")</f>
        <v>0</v>
      </c>
      <c r="G1291" s="23">
        <f>IFERROR(INDEX(Population_by_Province_Year!$B$5:$J$29,MATCH($A1291,Population_by_Province_Year!$A$5:$A$29,0),MATCH($B1291,Population_by_Province_Year!$B$4:$J$4,0)),"")</f>
        <v>933435</v>
      </c>
      <c r="H1291" s="22">
        <f>IFERROR(D1291/G1291*100000,"")</f>
        <v>10.71311874956478</v>
      </c>
    </row>
    <row r="1292" spans="1:8" ht="15" customHeight="1" x14ac:dyDescent="0.3">
      <c r="A1292" s="20" t="s">
        <v>4</v>
      </c>
      <c r="B1292" s="20">
        <v>2022</v>
      </c>
      <c r="C1292" s="20" t="s">
        <v>105</v>
      </c>
      <c r="D1292" s="20">
        <v>39</v>
      </c>
      <c r="E1292" s="20">
        <v>0</v>
      </c>
      <c r="F1292" s="22">
        <f>IFERROR(E1292/D1292*100,"")</f>
        <v>0</v>
      </c>
      <c r="G1292" s="23">
        <f>IFERROR(INDEX(Population_by_Province_Year!$B$5:$J$29,MATCH($A1292,Population_by_Province_Year!$A$5:$A$29,0),MATCH($B1292,Population_by_Province_Year!$B$4:$J$4,0)),"")</f>
        <v>1079953</v>
      </c>
      <c r="H1292" s="22">
        <f>IFERROR(D1292/G1292*100000,"")</f>
        <v>3.6112682681561137</v>
      </c>
    </row>
    <row r="1293" spans="1:8" ht="15" customHeight="1" x14ac:dyDescent="0.3">
      <c r="A1293" s="20" t="s">
        <v>5</v>
      </c>
      <c r="B1293" s="20">
        <v>2022</v>
      </c>
      <c r="C1293" s="20" t="s">
        <v>105</v>
      </c>
      <c r="D1293" s="20">
        <v>53</v>
      </c>
      <c r="E1293" s="20">
        <v>0</v>
      </c>
      <c r="F1293" s="22">
        <f>IFERROR(E1293/D1293*100,"")</f>
        <v>0</v>
      </c>
      <c r="G1293" s="23">
        <f>IFERROR(INDEX(Population_by_Province_Year!$B$5:$J$29,MATCH($A1293,Population_by_Province_Year!$A$5:$A$29,0),MATCH($B1293,Population_by_Province_Year!$B$4:$J$4,0)),"")</f>
        <v>974490</v>
      </c>
      <c r="H1293" s="22">
        <f>IFERROR(D1293/G1293*100000,"")</f>
        <v>5.4387423164937561</v>
      </c>
    </row>
    <row r="1294" spans="1:8" ht="15" customHeight="1" x14ac:dyDescent="0.3">
      <c r="A1294" s="20" t="s">
        <v>6</v>
      </c>
      <c r="B1294" s="20">
        <v>2022</v>
      </c>
      <c r="C1294" s="20" t="s">
        <v>105</v>
      </c>
      <c r="D1294" s="20">
        <v>12</v>
      </c>
      <c r="E1294" s="20">
        <v>0</v>
      </c>
      <c r="F1294" s="22">
        <f>IFERROR(E1294/D1294*100,"")</f>
        <v>0</v>
      </c>
      <c r="G1294" s="23">
        <f>IFERROR(INDEX(Population_by_Province_Year!$B$5:$J$29,MATCH($A1294,Population_by_Province_Year!$A$5:$A$29,0),MATCH($B1294,Population_by_Province_Year!$B$4:$J$4,0)),"")</f>
        <v>570780</v>
      </c>
      <c r="H1294" s="22">
        <f>IFERROR(D1294/G1294*100000,"")</f>
        <v>2.1023862083464731</v>
      </c>
    </row>
    <row r="1295" spans="1:8" ht="15" customHeight="1" x14ac:dyDescent="0.3">
      <c r="A1295" s="20" t="s">
        <v>7</v>
      </c>
      <c r="B1295" s="20">
        <v>2022</v>
      </c>
      <c r="C1295" s="20" t="s">
        <v>105</v>
      </c>
      <c r="D1295" s="20">
        <v>112</v>
      </c>
      <c r="E1295" s="20">
        <v>1</v>
      </c>
      <c r="F1295" s="22">
        <f>IFERROR(E1295/D1295*100,"")</f>
        <v>0.89285714285714279</v>
      </c>
      <c r="G1295" s="23">
        <f>IFERROR(INDEX(Population_by_Province_Year!$B$5:$J$29,MATCH($A1295,Population_by_Province_Year!$A$5:$A$29,0),MATCH($B1295,Population_by_Province_Year!$B$4:$J$4,0)),"")</f>
        <v>950374</v>
      </c>
      <c r="H1295" s="22">
        <f>IFERROR(D1295/G1295*100000,"")</f>
        <v>11.784834181069767</v>
      </c>
    </row>
    <row r="1296" spans="1:8" ht="15" customHeight="1" x14ac:dyDescent="0.3">
      <c r="A1296" s="20" t="s">
        <v>8</v>
      </c>
      <c r="B1296" s="20">
        <v>2022</v>
      </c>
      <c r="C1296" s="20" t="s">
        <v>105</v>
      </c>
      <c r="D1296" s="20">
        <v>43</v>
      </c>
      <c r="E1296" s="20">
        <v>0</v>
      </c>
      <c r="F1296" s="22">
        <f>IFERROR(E1296/D1296*100,"")</f>
        <v>0</v>
      </c>
      <c r="G1296" s="23">
        <f>IFERROR(INDEX(Population_by_Province_Year!$B$5:$J$29,MATCH($A1296,Population_by_Province_Year!$A$5:$A$29,0),MATCH($B1296,Population_by_Province_Year!$B$4:$J$4,0)),"")</f>
        <v>738130</v>
      </c>
      <c r="H1296" s="22">
        <f>IFERROR(D1296/G1296*100000,"")</f>
        <v>5.8255320878436052</v>
      </c>
    </row>
    <row r="1297" spans="1:8" ht="15" customHeight="1" x14ac:dyDescent="0.3">
      <c r="A1297" s="20" t="s">
        <v>9</v>
      </c>
      <c r="B1297" s="20">
        <v>2022</v>
      </c>
      <c r="C1297" s="20" t="s">
        <v>105</v>
      </c>
      <c r="D1297" s="20">
        <v>38</v>
      </c>
      <c r="E1297" s="20">
        <v>0</v>
      </c>
      <c r="F1297" s="22">
        <f>IFERROR(E1297/D1297*100,"")</f>
        <v>0</v>
      </c>
      <c r="G1297" s="23">
        <f>IFERROR(INDEX(Population_by_Province_Year!$B$5:$J$29,MATCH($A1297,Population_by_Province_Year!$A$5:$A$29,0),MATCH($B1297,Population_by_Province_Year!$B$4:$J$4,0)),"")</f>
        <v>643128</v>
      </c>
      <c r="H1297" s="22">
        <f>IFERROR(D1297/G1297*100000,"")</f>
        <v>5.9086216118719763</v>
      </c>
    </row>
    <row r="1298" spans="1:8" ht="15" customHeight="1" x14ac:dyDescent="0.3">
      <c r="A1298" s="20" t="s">
        <v>10</v>
      </c>
      <c r="B1298" s="20">
        <v>2022</v>
      </c>
      <c r="C1298" s="20" t="s">
        <v>105</v>
      </c>
      <c r="D1298" s="20">
        <v>260</v>
      </c>
      <c r="E1298" s="20">
        <v>1</v>
      </c>
      <c r="F1298" s="22">
        <f>IFERROR(E1298/D1298*100,"")</f>
        <v>0.38461538461538464</v>
      </c>
      <c r="G1298" s="23">
        <f>IFERROR(INDEX(Population_by_Province_Year!$B$5:$J$29,MATCH($A1298,Population_by_Province_Year!$A$5:$A$29,0),MATCH($B1298,Population_by_Province_Year!$B$4:$J$4,0)),"")</f>
        <v>1301335</v>
      </c>
      <c r="H1298" s="22">
        <f>IFERROR(D1298/G1298*100000,"")</f>
        <v>19.979482608244609</v>
      </c>
    </row>
    <row r="1299" spans="1:8" ht="15" customHeight="1" x14ac:dyDescent="0.3">
      <c r="A1299" s="20" t="s">
        <v>11</v>
      </c>
      <c r="B1299" s="20">
        <v>2022</v>
      </c>
      <c r="C1299" s="20" t="s">
        <v>105</v>
      </c>
      <c r="D1299" s="20">
        <v>1</v>
      </c>
      <c r="E1299" s="20">
        <v>0</v>
      </c>
      <c r="F1299" s="22">
        <f>IFERROR(E1299/D1299*100,"")</f>
        <v>0</v>
      </c>
      <c r="G1299" s="23">
        <f>IFERROR(INDEX(Population_by_Province_Year!$B$5:$J$29,MATCH($A1299,Population_by_Province_Year!$A$5:$A$29,0),MATCH($B1299,Population_by_Province_Year!$B$4:$J$4,0)),"")</f>
        <v>46207</v>
      </c>
      <c r="H1299" s="22">
        <f>IFERROR(D1299/G1299*100000,"")</f>
        <v>2.1641742593113595</v>
      </c>
    </row>
    <row r="1300" spans="1:8" ht="15" customHeight="1" x14ac:dyDescent="0.3">
      <c r="A1300" s="20" t="s">
        <v>12</v>
      </c>
      <c r="B1300" s="20">
        <v>2022</v>
      </c>
      <c r="C1300" s="20" t="s">
        <v>105</v>
      </c>
      <c r="D1300" s="20">
        <v>4</v>
      </c>
      <c r="E1300" s="20">
        <v>0</v>
      </c>
      <c r="F1300" s="22">
        <f>IFERROR(E1300/D1300*100,"")</f>
        <v>0</v>
      </c>
      <c r="G1300" s="23">
        <f>IFERROR(INDEX(Population_by_Province_Year!$B$5:$J$29,MATCH($A1300,Population_by_Province_Year!$A$5:$A$29,0),MATCH($B1300,Population_by_Province_Year!$B$4:$J$4,0)),"")</f>
        <v>136354</v>
      </c>
      <c r="H1300" s="22">
        <f>IFERROR(D1300/G1300*100000,"")</f>
        <v>2.9335406368716721</v>
      </c>
    </row>
    <row r="1301" spans="1:8" ht="15" customHeight="1" x14ac:dyDescent="0.3">
      <c r="A1301" s="20" t="s">
        <v>13</v>
      </c>
      <c r="B1301" s="20">
        <v>2022</v>
      </c>
      <c r="C1301" s="20" t="s">
        <v>105</v>
      </c>
      <c r="D1301" s="20">
        <v>11</v>
      </c>
      <c r="E1301" s="20">
        <v>0</v>
      </c>
      <c r="F1301" s="22">
        <f>IFERROR(E1301/D1301*100,"")</f>
        <v>0</v>
      </c>
      <c r="G1301" s="23">
        <f>IFERROR(INDEX(Population_by_Province_Year!$B$5:$J$29,MATCH($A1301,Population_by_Province_Year!$A$5:$A$29,0),MATCH($B1301,Population_by_Province_Year!$B$4:$J$4,0)),"")</f>
        <v>405867</v>
      </c>
      <c r="H1301" s="22">
        <f>IFERROR(D1301/G1301*100000,"")</f>
        <v>2.7102474455917824</v>
      </c>
    </row>
    <row r="1302" spans="1:8" ht="15" customHeight="1" x14ac:dyDescent="0.3">
      <c r="A1302" s="20" t="s">
        <v>14</v>
      </c>
      <c r="B1302" s="20">
        <v>2022</v>
      </c>
      <c r="C1302" s="20" t="s">
        <v>105</v>
      </c>
      <c r="D1302" s="20">
        <v>2</v>
      </c>
      <c r="E1302" s="20">
        <v>0</v>
      </c>
      <c r="F1302" s="22">
        <f>IFERROR(E1302/D1302*100,"")</f>
        <v>0</v>
      </c>
      <c r="G1302" s="23">
        <f>IFERROR(INDEX(Population_by_Province_Year!$B$5:$J$29,MATCH($A1302,Population_by_Province_Year!$A$5:$A$29,0),MATCH($B1302,Population_by_Province_Year!$B$4:$J$4,0)),"")</f>
        <v>99868</v>
      </c>
      <c r="H1302" s="22">
        <f>IFERROR(D1302/G1302*100000,"")</f>
        <v>2.0026434894060161</v>
      </c>
    </row>
    <row r="1303" spans="1:8" ht="15" customHeight="1" x14ac:dyDescent="0.3">
      <c r="A1303" s="20" t="s">
        <v>15</v>
      </c>
      <c r="B1303" s="20">
        <v>2022</v>
      </c>
      <c r="C1303" s="20" t="s">
        <v>105</v>
      </c>
      <c r="D1303" s="20">
        <v>10</v>
      </c>
      <c r="E1303" s="20">
        <v>0</v>
      </c>
      <c r="F1303" s="22">
        <f>IFERROR(E1303/D1303*100,"")</f>
        <v>0</v>
      </c>
      <c r="G1303" s="23">
        <f>IFERROR(INDEX(Population_by_Province_Year!$B$5:$J$29,MATCH($A1303,Population_by_Province_Year!$A$5:$A$29,0),MATCH($B1303,Population_by_Province_Year!$B$4:$J$4,0)),"")</f>
        <v>298954</v>
      </c>
      <c r="H1303" s="22">
        <f>IFERROR(D1303/G1303*100000,"")</f>
        <v>3.3449962201542709</v>
      </c>
    </row>
    <row r="1304" spans="1:8" ht="15" customHeight="1" x14ac:dyDescent="0.3">
      <c r="A1304" s="20" t="s">
        <v>17</v>
      </c>
      <c r="B1304" s="20">
        <v>2022</v>
      </c>
      <c r="C1304" s="20" t="s">
        <v>105</v>
      </c>
      <c r="D1304" s="20">
        <v>413</v>
      </c>
      <c r="E1304" s="20">
        <v>0</v>
      </c>
      <c r="F1304" s="22">
        <f>IFERROR(E1304/D1304*100,"")</f>
        <v>0</v>
      </c>
      <c r="G1304" s="23">
        <f>IFERROR(INDEX(Population_by_Province_Year!$B$5:$J$29,MATCH($A1304,Population_by_Province_Year!$A$5:$A$29,0),MATCH($B1304,Population_by_Province_Year!$B$4:$J$4,0)),"")</f>
        <v>2471395</v>
      </c>
      <c r="H1304" s="22">
        <f>IFERROR(D1304/G1304*100000,"")</f>
        <v>16.711209660940479</v>
      </c>
    </row>
    <row r="1305" spans="1:8" ht="15" customHeight="1" x14ac:dyDescent="0.3">
      <c r="A1305" s="20" t="s">
        <v>18</v>
      </c>
      <c r="B1305" s="20">
        <v>2022</v>
      </c>
      <c r="C1305" s="20" t="s">
        <v>105</v>
      </c>
      <c r="D1305" s="20">
        <v>52</v>
      </c>
      <c r="E1305" s="20">
        <v>0</v>
      </c>
      <c r="F1305" s="22">
        <f>IFERROR(E1305/D1305*100,"")</f>
        <v>0</v>
      </c>
      <c r="G1305" s="23">
        <f>IFERROR(INDEX(Population_by_Province_Year!$B$5:$J$29,MATCH($A1305,Population_by_Province_Year!$A$5:$A$29,0),MATCH($B1305,Population_by_Province_Year!$B$4:$J$4,0)),"")</f>
        <v>335814</v>
      </c>
      <c r="H1305" s="22">
        <f>IFERROR(D1305/G1305*100000,"")</f>
        <v>15.484762398232355</v>
      </c>
    </row>
    <row r="1306" spans="1:8" ht="15" customHeight="1" x14ac:dyDescent="0.3">
      <c r="A1306" s="20" t="s">
        <v>19</v>
      </c>
      <c r="B1306" s="20">
        <v>2022</v>
      </c>
      <c r="C1306" s="20" t="s">
        <v>105</v>
      </c>
      <c r="D1306" s="20">
        <v>49</v>
      </c>
      <c r="E1306" s="20">
        <v>0</v>
      </c>
      <c r="F1306" s="22">
        <f>IFERROR(E1306/D1306*100,"")</f>
        <v>0</v>
      </c>
      <c r="G1306" s="23">
        <f>IFERROR(INDEX(Population_by_Province_Year!$B$5:$J$29,MATCH($A1306,Population_by_Province_Year!$A$5:$A$29,0),MATCH($B1306,Population_by_Province_Year!$B$4:$J$4,0)),"")</f>
        <v>275982</v>
      </c>
      <c r="H1306" s="22">
        <f>IFERROR(D1306/G1306*100000,"")</f>
        <v>17.754781108912901</v>
      </c>
    </row>
    <row r="1307" spans="1:8" ht="15" customHeight="1" x14ac:dyDescent="0.3">
      <c r="A1307" s="20" t="s">
        <v>20</v>
      </c>
      <c r="B1307" s="20">
        <v>2022</v>
      </c>
      <c r="C1307" s="20" t="s">
        <v>105</v>
      </c>
      <c r="D1307" s="20">
        <v>77</v>
      </c>
      <c r="E1307" s="20">
        <v>0</v>
      </c>
      <c r="F1307" s="22">
        <f>IFERROR(E1307/D1307*100,"")</f>
        <v>0</v>
      </c>
      <c r="G1307" s="23">
        <f>IFERROR(INDEX(Population_by_Province_Year!$B$5:$J$29,MATCH($A1307,Population_by_Province_Year!$A$5:$A$29,0),MATCH($B1307,Population_by_Province_Year!$B$4:$J$4,0)),"")</f>
        <v>1145530</v>
      </c>
      <c r="H1307" s="22">
        <f>IFERROR(D1307/G1307*100000,"")</f>
        <v>6.7217794383385856</v>
      </c>
    </row>
    <row r="1308" spans="1:8" ht="15" customHeight="1" x14ac:dyDescent="0.3">
      <c r="A1308" s="20" t="s">
        <v>21</v>
      </c>
      <c r="B1308" s="20">
        <v>2022</v>
      </c>
      <c r="C1308" s="20" t="s">
        <v>105</v>
      </c>
      <c r="D1308" s="20">
        <v>52</v>
      </c>
      <c r="E1308" s="20">
        <v>0</v>
      </c>
      <c r="F1308" s="22">
        <f>IFERROR(E1308/D1308*100,"")</f>
        <v>0</v>
      </c>
      <c r="G1308" s="23">
        <f>IFERROR(INDEX(Population_by_Province_Year!$B$5:$J$29,MATCH($A1308,Population_by_Province_Year!$A$5:$A$29,0),MATCH($B1308,Population_by_Province_Year!$B$4:$J$4,0)),"")</f>
        <v>454816</v>
      </c>
      <c r="H1308" s="22">
        <f>IFERROR(D1308/G1308*100000,"")</f>
        <v>11.433194962358405</v>
      </c>
    </row>
    <row r="1309" spans="1:8" ht="15" customHeight="1" x14ac:dyDescent="0.3">
      <c r="A1309" s="20" t="s">
        <v>22</v>
      </c>
      <c r="B1309" s="20">
        <v>2022</v>
      </c>
      <c r="C1309" s="20" t="s">
        <v>105</v>
      </c>
      <c r="D1309" s="20">
        <v>2</v>
      </c>
      <c r="E1309" s="20">
        <v>0</v>
      </c>
      <c r="F1309" s="22">
        <f>IFERROR(E1309/D1309*100,"")</f>
        <v>0</v>
      </c>
      <c r="G1309" s="23">
        <f>IFERROR(INDEX(Population_by_Province_Year!$B$5:$J$29,MATCH($A1309,Population_by_Province_Year!$A$5:$A$29,0),MATCH($B1309,Population_by_Province_Year!$B$4:$J$4,0)),"")</f>
        <v>235506</v>
      </c>
      <c r="H1309" s="22">
        <f>IFERROR(D1309/G1309*100000,"")</f>
        <v>0.8492352636450875</v>
      </c>
    </row>
    <row r="1310" spans="1:8" ht="15" customHeight="1" x14ac:dyDescent="0.3">
      <c r="A1310" s="20" t="s">
        <v>23</v>
      </c>
      <c r="B1310" s="20">
        <v>2022</v>
      </c>
      <c r="C1310" s="20" t="s">
        <v>105</v>
      </c>
      <c r="D1310" s="20">
        <v>212</v>
      </c>
      <c r="E1310" s="20">
        <v>0</v>
      </c>
      <c r="F1310" s="22">
        <f>IFERROR(E1310/D1310*100,"")</f>
        <v>0</v>
      </c>
      <c r="G1310" s="23">
        <f>IFERROR(INDEX(Population_by_Province_Year!$B$5:$J$29,MATCH($A1310,Population_by_Province_Year!$A$5:$A$29,0),MATCH($B1310,Population_by_Province_Year!$B$4:$J$4,0)),"")</f>
        <v>1098434</v>
      </c>
      <c r="H1310" s="22">
        <f>IFERROR(D1310/G1310*100000,"")</f>
        <v>19.300203744603682</v>
      </c>
    </row>
    <row r="1311" spans="1:8" ht="15" customHeight="1" x14ac:dyDescent="0.3">
      <c r="A1311" s="20" t="s">
        <v>24</v>
      </c>
      <c r="B1311" s="20">
        <v>2022</v>
      </c>
      <c r="C1311" s="20" t="s">
        <v>105</v>
      </c>
      <c r="D1311" s="20">
        <v>7</v>
      </c>
      <c r="E1311" s="20">
        <v>0</v>
      </c>
      <c r="F1311" s="22">
        <f>IFERROR(E1311/D1311*100,"")</f>
        <v>0</v>
      </c>
      <c r="G1311" s="23">
        <f>IFERROR(INDEX(Population_by_Province_Year!$B$5:$J$29,MATCH($A1311,Population_by_Province_Year!$A$5:$A$29,0),MATCH($B1311,Population_by_Province_Year!$B$4:$J$4,0)),"")</f>
        <v>179470</v>
      </c>
      <c r="H1311" s="22">
        <f>IFERROR(D1311/G1311*100000,"")</f>
        <v>3.9003733214464815</v>
      </c>
    </row>
    <row r="1312" spans="1:8" ht="15" customHeight="1" x14ac:dyDescent="0.3">
      <c r="A1312" s="20" t="s">
        <v>25</v>
      </c>
      <c r="B1312" s="20">
        <v>2022</v>
      </c>
      <c r="C1312" s="20" t="s">
        <v>105</v>
      </c>
      <c r="D1312" s="20">
        <v>22</v>
      </c>
      <c r="E1312" s="20">
        <v>0</v>
      </c>
      <c r="F1312" s="22">
        <f>IFERROR(E1312/D1312*100,"")</f>
        <v>0</v>
      </c>
      <c r="G1312" s="23">
        <f>IFERROR(INDEX(Population_by_Province_Year!$B$5:$J$29,MATCH($A1312,Population_by_Province_Year!$A$5:$A$29,0),MATCH($B1312,Population_by_Province_Year!$B$4:$J$4,0)),"")</f>
        <v>569123</v>
      </c>
      <c r="H1312" s="22">
        <f>IFERROR(D1312/G1312*100000,"")</f>
        <v>3.8655967163512983</v>
      </c>
    </row>
    <row r="1313" spans="1:8" ht="15" customHeight="1" x14ac:dyDescent="0.3">
      <c r="A1313" s="20" t="s">
        <v>26</v>
      </c>
      <c r="B1313" s="20">
        <v>2022</v>
      </c>
      <c r="C1313" s="20" t="s">
        <v>105</v>
      </c>
      <c r="D1313" s="20">
        <v>67</v>
      </c>
      <c r="E1313" s="20">
        <v>0</v>
      </c>
      <c r="F1313" s="22">
        <f>IFERROR(E1313/D1313*100,"")</f>
        <v>0</v>
      </c>
      <c r="G1313" s="23">
        <f>IFERROR(INDEX(Population_by_Province_Year!$B$5:$J$29,MATCH($A1313,Population_by_Province_Year!$A$5:$A$29,0),MATCH($B1313,Population_by_Province_Year!$B$4:$J$4,0)),"")</f>
        <v>975707</v>
      </c>
      <c r="H1313" s="22">
        <f>IFERROR(D1313/G1313*100000,"")</f>
        <v>6.8668155501600383</v>
      </c>
    </row>
    <row r="1314" spans="1:8" ht="15" customHeight="1" x14ac:dyDescent="0.3">
      <c r="A1314" s="20" t="s">
        <v>27</v>
      </c>
      <c r="B1314" s="20">
        <v>2022</v>
      </c>
      <c r="C1314" s="20" t="s">
        <v>105</v>
      </c>
      <c r="D1314" s="20">
        <v>27</v>
      </c>
      <c r="E1314" s="20">
        <v>0</v>
      </c>
      <c r="F1314" s="22">
        <f>IFERROR(E1314/D1314*100,"")</f>
        <v>0</v>
      </c>
      <c r="G1314" s="23">
        <f>IFERROR(INDEX(Population_by_Province_Year!$B$5:$J$29,MATCH($A1314,Population_by_Province_Year!$A$5:$A$29,0),MATCH($B1314,Population_by_Province_Year!$B$4:$J$4,0)),"")</f>
        <v>841333</v>
      </c>
      <c r="H1314" s="22">
        <f>IFERROR(D1314/G1314*100000,"")</f>
        <v>3.2091930305836098</v>
      </c>
    </row>
    <row r="1315" spans="1:8" ht="15" customHeight="1" x14ac:dyDescent="0.3">
      <c r="A1315" s="20" t="s">
        <v>3</v>
      </c>
      <c r="B1315" s="20">
        <v>2022</v>
      </c>
      <c r="C1315" s="20" t="s">
        <v>98</v>
      </c>
      <c r="D1315" s="20">
        <v>76</v>
      </c>
      <c r="E1315" s="20">
        <v>0</v>
      </c>
      <c r="F1315" s="22">
        <f>IFERROR(E1315/D1315*100,"")</f>
        <v>0</v>
      </c>
      <c r="G1315" s="23">
        <f>IFERROR(INDEX(Population_by_Province_Year!$B$5:$J$29,MATCH($A1315,Population_by_Province_Year!$A$5:$A$29,0),MATCH($B1315,Population_by_Province_Year!$B$4:$J$4,0)),"")</f>
        <v>933435</v>
      </c>
      <c r="H1315" s="22">
        <f>IFERROR(D1315/G1315*100000,"")</f>
        <v>8.1419702496692334</v>
      </c>
    </row>
    <row r="1316" spans="1:8" ht="15" customHeight="1" x14ac:dyDescent="0.3">
      <c r="A1316" s="20" t="s">
        <v>4</v>
      </c>
      <c r="B1316" s="20">
        <v>2022</v>
      </c>
      <c r="C1316" s="20" t="s">
        <v>98</v>
      </c>
      <c r="D1316" s="20">
        <v>22</v>
      </c>
      <c r="E1316" s="20">
        <v>0</v>
      </c>
      <c r="F1316" s="22">
        <f>IFERROR(E1316/D1316*100,"")</f>
        <v>0</v>
      </c>
      <c r="G1316" s="23">
        <f>IFERROR(INDEX(Population_by_Province_Year!$B$5:$J$29,MATCH($A1316,Population_by_Province_Year!$A$5:$A$29,0),MATCH($B1316,Population_by_Province_Year!$B$4:$J$4,0)),"")</f>
        <v>1079953</v>
      </c>
      <c r="H1316" s="22">
        <f>IFERROR(D1316/G1316*100000,"")</f>
        <v>2.0371256897290899</v>
      </c>
    </row>
    <row r="1317" spans="1:8" ht="15" customHeight="1" x14ac:dyDescent="0.3">
      <c r="A1317" s="20" t="s">
        <v>5</v>
      </c>
      <c r="B1317" s="20">
        <v>2022</v>
      </c>
      <c r="C1317" s="20" t="s">
        <v>98</v>
      </c>
      <c r="D1317" s="20">
        <v>27</v>
      </c>
      <c r="E1317" s="20">
        <v>0</v>
      </c>
      <c r="F1317" s="22">
        <f>IFERROR(E1317/D1317*100,"")</f>
        <v>0</v>
      </c>
      <c r="G1317" s="23">
        <f>IFERROR(INDEX(Population_by_Province_Year!$B$5:$J$29,MATCH($A1317,Population_by_Province_Year!$A$5:$A$29,0),MATCH($B1317,Population_by_Province_Year!$B$4:$J$4,0)),"")</f>
        <v>974490</v>
      </c>
      <c r="H1317" s="22">
        <f>IFERROR(D1317/G1317*100000,"")</f>
        <v>2.7706800480251208</v>
      </c>
    </row>
    <row r="1318" spans="1:8" ht="15" customHeight="1" x14ac:dyDescent="0.3">
      <c r="A1318" s="20" t="s">
        <v>6</v>
      </c>
      <c r="B1318" s="20">
        <v>2022</v>
      </c>
      <c r="C1318" s="20" t="s">
        <v>98</v>
      </c>
      <c r="D1318" s="20">
        <v>6</v>
      </c>
      <c r="E1318" s="20">
        <v>0</v>
      </c>
      <c r="F1318" s="22">
        <f>IFERROR(E1318/D1318*100,"")</f>
        <v>0</v>
      </c>
      <c r="G1318" s="23">
        <f>IFERROR(INDEX(Population_by_Province_Year!$B$5:$J$29,MATCH($A1318,Population_by_Province_Year!$A$5:$A$29,0),MATCH($B1318,Population_by_Province_Year!$B$4:$J$4,0)),"")</f>
        <v>570780</v>
      </c>
      <c r="H1318" s="22">
        <f>IFERROR(D1318/G1318*100000,"")</f>
        <v>1.0511931041732365</v>
      </c>
    </row>
    <row r="1319" spans="1:8" ht="15" customHeight="1" x14ac:dyDescent="0.3">
      <c r="A1319" s="20" t="s">
        <v>7</v>
      </c>
      <c r="B1319" s="20">
        <v>2022</v>
      </c>
      <c r="C1319" s="20" t="s">
        <v>98</v>
      </c>
      <c r="D1319" s="20">
        <v>32</v>
      </c>
      <c r="E1319" s="20">
        <v>0</v>
      </c>
      <c r="F1319" s="22">
        <f>IFERROR(E1319/D1319*100,"")</f>
        <v>0</v>
      </c>
      <c r="G1319" s="23">
        <f>IFERROR(INDEX(Population_by_Province_Year!$B$5:$J$29,MATCH($A1319,Population_by_Province_Year!$A$5:$A$29,0),MATCH($B1319,Population_by_Province_Year!$B$4:$J$4,0)),"")</f>
        <v>950374</v>
      </c>
      <c r="H1319" s="22">
        <f>IFERROR(D1319/G1319*100000,"")</f>
        <v>3.3670954803056476</v>
      </c>
    </row>
    <row r="1320" spans="1:8" ht="15" customHeight="1" x14ac:dyDescent="0.3">
      <c r="A1320" s="20" t="s">
        <v>8</v>
      </c>
      <c r="B1320" s="20">
        <v>2022</v>
      </c>
      <c r="C1320" s="20" t="s">
        <v>98</v>
      </c>
      <c r="D1320" s="20">
        <v>12</v>
      </c>
      <c r="E1320" s="20">
        <v>0</v>
      </c>
      <c r="F1320" s="22">
        <f>IFERROR(E1320/D1320*100,"")</f>
        <v>0</v>
      </c>
      <c r="G1320" s="23">
        <f>IFERROR(INDEX(Population_by_Province_Year!$B$5:$J$29,MATCH($A1320,Population_by_Province_Year!$A$5:$A$29,0),MATCH($B1320,Population_by_Province_Year!$B$4:$J$4,0)),"")</f>
        <v>738130</v>
      </c>
      <c r="H1320" s="22">
        <f>IFERROR(D1320/G1320*100000,"")</f>
        <v>1.6257298849796107</v>
      </c>
    </row>
    <row r="1321" spans="1:8" ht="15" customHeight="1" x14ac:dyDescent="0.3">
      <c r="A1321" s="20" t="s">
        <v>9</v>
      </c>
      <c r="B1321" s="20">
        <v>2022</v>
      </c>
      <c r="C1321" s="20" t="s">
        <v>98</v>
      </c>
      <c r="D1321" s="20">
        <v>15</v>
      </c>
      <c r="E1321" s="20">
        <v>0</v>
      </c>
      <c r="F1321" s="22">
        <f>IFERROR(E1321/D1321*100,"")</f>
        <v>0</v>
      </c>
      <c r="G1321" s="23">
        <f>IFERROR(INDEX(Population_by_Province_Year!$B$5:$J$29,MATCH($A1321,Population_by_Province_Year!$A$5:$A$29,0),MATCH($B1321,Population_by_Province_Year!$B$4:$J$4,0)),"")</f>
        <v>643128</v>
      </c>
      <c r="H1321" s="22">
        <f>IFERROR(D1321/G1321*100000,"")</f>
        <v>2.3323506362652537</v>
      </c>
    </row>
    <row r="1322" spans="1:8" ht="15" customHeight="1" x14ac:dyDescent="0.3">
      <c r="A1322" s="20" t="s">
        <v>10</v>
      </c>
      <c r="B1322" s="20">
        <v>2022</v>
      </c>
      <c r="C1322" s="20" t="s">
        <v>98</v>
      </c>
      <c r="D1322" s="20">
        <v>199</v>
      </c>
      <c r="E1322" s="20">
        <v>2</v>
      </c>
      <c r="F1322" s="22">
        <f>IFERROR(E1322/D1322*100,"")</f>
        <v>1.0050251256281406</v>
      </c>
      <c r="G1322" s="23">
        <f>IFERROR(INDEX(Population_by_Province_Year!$B$5:$J$29,MATCH($A1322,Population_by_Province_Year!$A$5:$A$29,0),MATCH($B1322,Population_by_Province_Year!$B$4:$J$4,0)),"")</f>
        <v>1301335</v>
      </c>
      <c r="H1322" s="22">
        <f>IFERROR(D1322/G1322*100000,"")</f>
        <v>15.291988611694913</v>
      </c>
    </row>
    <row r="1323" spans="1:8" ht="15" customHeight="1" x14ac:dyDescent="0.3">
      <c r="A1323" s="20" t="s">
        <v>12</v>
      </c>
      <c r="B1323" s="20">
        <v>2022</v>
      </c>
      <c r="C1323" s="20" t="s">
        <v>98</v>
      </c>
      <c r="D1323" s="20">
        <v>2</v>
      </c>
      <c r="E1323" s="20">
        <v>0</v>
      </c>
      <c r="F1323" s="22">
        <f>IFERROR(E1323/D1323*100,"")</f>
        <v>0</v>
      </c>
      <c r="G1323" s="23">
        <f>IFERROR(INDEX(Population_by_Province_Year!$B$5:$J$29,MATCH($A1323,Population_by_Province_Year!$A$5:$A$29,0),MATCH($B1323,Population_by_Province_Year!$B$4:$J$4,0)),"")</f>
        <v>136354</v>
      </c>
      <c r="H1323" s="22">
        <f>IFERROR(D1323/G1323*100000,"")</f>
        <v>1.4667703184358361</v>
      </c>
    </row>
    <row r="1324" spans="1:8" ht="15" customHeight="1" x14ac:dyDescent="0.3">
      <c r="A1324" s="20" t="s">
        <v>13</v>
      </c>
      <c r="B1324" s="20">
        <v>2022</v>
      </c>
      <c r="C1324" s="20" t="s">
        <v>98</v>
      </c>
      <c r="D1324" s="20">
        <v>11</v>
      </c>
      <c r="E1324" s="20">
        <v>0</v>
      </c>
      <c r="F1324" s="22">
        <f>IFERROR(E1324/D1324*100,"")</f>
        <v>0</v>
      </c>
      <c r="G1324" s="23">
        <f>IFERROR(INDEX(Population_by_Province_Year!$B$5:$J$29,MATCH($A1324,Population_by_Province_Year!$A$5:$A$29,0),MATCH($B1324,Population_by_Province_Year!$B$4:$J$4,0)),"")</f>
        <v>405867</v>
      </c>
      <c r="H1324" s="22">
        <f>IFERROR(D1324/G1324*100000,"")</f>
        <v>2.7102474455917824</v>
      </c>
    </row>
    <row r="1325" spans="1:8" ht="15" customHeight="1" x14ac:dyDescent="0.3">
      <c r="A1325" s="20" t="s">
        <v>15</v>
      </c>
      <c r="B1325" s="20">
        <v>2022</v>
      </c>
      <c r="C1325" s="20" t="s">
        <v>98</v>
      </c>
      <c r="D1325" s="20">
        <v>8</v>
      </c>
      <c r="E1325" s="20">
        <v>0</v>
      </c>
      <c r="F1325" s="22">
        <f>IFERROR(E1325/D1325*100,"")</f>
        <v>0</v>
      </c>
      <c r="G1325" s="23">
        <f>IFERROR(INDEX(Population_by_Province_Year!$B$5:$J$29,MATCH($A1325,Population_by_Province_Year!$A$5:$A$29,0),MATCH($B1325,Population_by_Province_Year!$B$4:$J$4,0)),"")</f>
        <v>298954</v>
      </c>
      <c r="H1325" s="22">
        <f>IFERROR(D1325/G1325*100000,"")</f>
        <v>2.6759969761234172</v>
      </c>
    </row>
    <row r="1326" spans="1:8" ht="15" customHeight="1" x14ac:dyDescent="0.3">
      <c r="A1326" s="20" t="s">
        <v>17</v>
      </c>
      <c r="B1326" s="20">
        <v>2022</v>
      </c>
      <c r="C1326" s="20" t="s">
        <v>98</v>
      </c>
      <c r="D1326" s="20">
        <v>290</v>
      </c>
      <c r="E1326" s="20">
        <v>0</v>
      </c>
      <c r="F1326" s="22">
        <f>IFERROR(E1326/D1326*100,"")</f>
        <v>0</v>
      </c>
      <c r="G1326" s="23">
        <f>IFERROR(INDEX(Population_by_Province_Year!$B$5:$J$29,MATCH($A1326,Population_by_Province_Year!$A$5:$A$29,0),MATCH($B1326,Population_by_Province_Year!$B$4:$J$4,0)),"")</f>
        <v>2471395</v>
      </c>
      <c r="H1326" s="22">
        <f>IFERROR(D1326/G1326*100000,"")</f>
        <v>11.734263442306876</v>
      </c>
    </row>
    <row r="1327" spans="1:8" ht="15" customHeight="1" x14ac:dyDescent="0.3">
      <c r="A1327" s="20" t="s">
        <v>18</v>
      </c>
      <c r="B1327" s="20">
        <v>2022</v>
      </c>
      <c r="C1327" s="20" t="s">
        <v>98</v>
      </c>
      <c r="D1327" s="20">
        <v>23</v>
      </c>
      <c r="E1327" s="20">
        <v>0</v>
      </c>
      <c r="F1327" s="22">
        <f>IFERROR(E1327/D1327*100,"")</f>
        <v>0</v>
      </c>
      <c r="G1327" s="23">
        <f>IFERROR(INDEX(Population_by_Province_Year!$B$5:$J$29,MATCH($A1327,Population_by_Province_Year!$A$5:$A$29,0),MATCH($B1327,Population_by_Province_Year!$B$4:$J$4,0)),"")</f>
        <v>335814</v>
      </c>
      <c r="H1327" s="22">
        <f>IFERROR(D1327/G1327*100000,"")</f>
        <v>6.8490295222950799</v>
      </c>
    </row>
    <row r="1328" spans="1:8" ht="15" customHeight="1" x14ac:dyDescent="0.3">
      <c r="A1328" s="20" t="s">
        <v>19</v>
      </c>
      <c r="B1328" s="20">
        <v>2022</v>
      </c>
      <c r="C1328" s="20" t="s">
        <v>98</v>
      </c>
      <c r="D1328" s="20">
        <v>12</v>
      </c>
      <c r="E1328" s="20">
        <v>0</v>
      </c>
      <c r="F1328" s="22">
        <f>IFERROR(E1328/D1328*100,"")</f>
        <v>0</v>
      </c>
      <c r="G1328" s="23">
        <f>IFERROR(INDEX(Population_by_Province_Year!$B$5:$J$29,MATCH($A1328,Population_by_Province_Year!$A$5:$A$29,0),MATCH($B1328,Population_by_Province_Year!$B$4:$J$4,0)),"")</f>
        <v>275982</v>
      </c>
      <c r="H1328" s="22">
        <f>IFERROR(D1328/G1328*100000,"")</f>
        <v>4.3481096593256083</v>
      </c>
    </row>
    <row r="1329" spans="1:8" ht="15" customHeight="1" x14ac:dyDescent="0.3">
      <c r="A1329" s="20" t="s">
        <v>20</v>
      </c>
      <c r="B1329" s="20">
        <v>2022</v>
      </c>
      <c r="C1329" s="20" t="s">
        <v>98</v>
      </c>
      <c r="D1329" s="20">
        <v>54</v>
      </c>
      <c r="E1329" s="20">
        <v>1</v>
      </c>
      <c r="F1329" s="22">
        <f>IFERROR(E1329/D1329*100,"")</f>
        <v>1.8518518518518516</v>
      </c>
      <c r="G1329" s="23">
        <f>IFERROR(INDEX(Population_by_Province_Year!$B$5:$J$29,MATCH($A1329,Population_by_Province_Year!$A$5:$A$29,0),MATCH($B1329,Population_by_Province_Year!$B$4:$J$4,0)),"")</f>
        <v>1145530</v>
      </c>
      <c r="H1329" s="22">
        <f>IFERROR(D1329/G1329*100000,"")</f>
        <v>4.7139751905231639</v>
      </c>
    </row>
    <row r="1330" spans="1:8" ht="15" customHeight="1" x14ac:dyDescent="0.3">
      <c r="A1330" s="20" t="s">
        <v>21</v>
      </c>
      <c r="B1330" s="20">
        <v>2022</v>
      </c>
      <c r="C1330" s="20" t="s">
        <v>98</v>
      </c>
      <c r="D1330" s="20">
        <v>6</v>
      </c>
      <c r="E1330" s="20">
        <v>0</v>
      </c>
      <c r="F1330" s="22">
        <f>IFERROR(E1330/D1330*100,"")</f>
        <v>0</v>
      </c>
      <c r="G1330" s="23">
        <f>IFERROR(INDEX(Population_by_Province_Year!$B$5:$J$29,MATCH($A1330,Population_by_Province_Year!$A$5:$A$29,0),MATCH($B1330,Population_by_Province_Year!$B$4:$J$4,0)),"")</f>
        <v>454816</v>
      </c>
      <c r="H1330" s="22">
        <f>IFERROR(D1330/G1330*100000,"")</f>
        <v>1.3192148033490467</v>
      </c>
    </row>
    <row r="1331" spans="1:8" ht="15" customHeight="1" x14ac:dyDescent="0.3">
      <c r="A1331" s="20" t="s">
        <v>22</v>
      </c>
      <c r="B1331" s="20">
        <v>2022</v>
      </c>
      <c r="C1331" s="20" t="s">
        <v>98</v>
      </c>
      <c r="D1331" s="20">
        <v>1</v>
      </c>
      <c r="E1331" s="20">
        <v>0</v>
      </c>
      <c r="F1331" s="22">
        <f>IFERROR(E1331/D1331*100,"")</f>
        <v>0</v>
      </c>
      <c r="G1331" s="23">
        <f>IFERROR(INDEX(Population_by_Province_Year!$B$5:$J$29,MATCH($A1331,Population_by_Province_Year!$A$5:$A$29,0),MATCH($B1331,Population_by_Province_Year!$B$4:$J$4,0)),"")</f>
        <v>235506</v>
      </c>
      <c r="H1331" s="22">
        <f>IFERROR(D1331/G1331*100000,"")</f>
        <v>0.42461763182254375</v>
      </c>
    </row>
    <row r="1332" spans="1:8" ht="15" customHeight="1" x14ac:dyDescent="0.3">
      <c r="A1332" s="20" t="s">
        <v>23</v>
      </c>
      <c r="B1332" s="20">
        <v>2022</v>
      </c>
      <c r="C1332" s="20" t="s">
        <v>98</v>
      </c>
      <c r="D1332" s="20">
        <v>92</v>
      </c>
      <c r="E1332" s="20">
        <v>0</v>
      </c>
      <c r="F1332" s="22">
        <f>IFERROR(E1332/D1332*100,"")</f>
        <v>0</v>
      </c>
      <c r="G1332" s="23">
        <f>IFERROR(INDEX(Population_by_Province_Year!$B$5:$J$29,MATCH($A1332,Population_by_Province_Year!$A$5:$A$29,0),MATCH($B1332,Population_by_Province_Year!$B$4:$J$4,0)),"")</f>
        <v>1098434</v>
      </c>
      <c r="H1332" s="22">
        <f>IFERROR(D1332/G1332*100000,"")</f>
        <v>8.3755601155827293</v>
      </c>
    </row>
    <row r="1333" spans="1:8" ht="15" customHeight="1" x14ac:dyDescent="0.3">
      <c r="A1333" s="20" t="s">
        <v>25</v>
      </c>
      <c r="B1333" s="20">
        <v>2022</v>
      </c>
      <c r="C1333" s="20" t="s">
        <v>98</v>
      </c>
      <c r="D1333" s="20">
        <v>16</v>
      </c>
      <c r="E1333" s="20">
        <v>0</v>
      </c>
      <c r="F1333" s="22">
        <f>IFERROR(E1333/D1333*100,"")</f>
        <v>0</v>
      </c>
      <c r="G1333" s="23">
        <f>IFERROR(INDEX(Population_by_Province_Year!$B$5:$J$29,MATCH($A1333,Population_by_Province_Year!$A$5:$A$29,0),MATCH($B1333,Population_by_Province_Year!$B$4:$J$4,0)),"")</f>
        <v>569123</v>
      </c>
      <c r="H1333" s="22">
        <f>IFERROR(D1333/G1333*100000,"")</f>
        <v>2.811343066437308</v>
      </c>
    </row>
    <row r="1334" spans="1:8" ht="15" customHeight="1" x14ac:dyDescent="0.3">
      <c r="A1334" s="20" t="s">
        <v>26</v>
      </c>
      <c r="B1334" s="20">
        <v>2022</v>
      </c>
      <c r="C1334" s="20" t="s">
        <v>98</v>
      </c>
      <c r="D1334" s="20">
        <v>27</v>
      </c>
      <c r="E1334" s="20">
        <v>0</v>
      </c>
      <c r="F1334" s="22">
        <f>IFERROR(E1334/D1334*100,"")</f>
        <v>0</v>
      </c>
      <c r="G1334" s="23">
        <f>IFERROR(INDEX(Population_by_Province_Year!$B$5:$J$29,MATCH($A1334,Population_by_Province_Year!$A$5:$A$29,0),MATCH($B1334,Population_by_Province_Year!$B$4:$J$4,0)),"")</f>
        <v>975707</v>
      </c>
      <c r="H1334" s="22">
        <f>IFERROR(D1334/G1334*100000,"")</f>
        <v>2.7672241769301644</v>
      </c>
    </row>
    <row r="1335" spans="1:8" ht="15" customHeight="1" x14ac:dyDescent="0.3">
      <c r="A1335" s="20" t="s">
        <v>27</v>
      </c>
      <c r="B1335" s="20">
        <v>2022</v>
      </c>
      <c r="C1335" s="20" t="s">
        <v>98</v>
      </c>
      <c r="D1335" s="20">
        <v>20</v>
      </c>
      <c r="E1335" s="20">
        <v>0</v>
      </c>
      <c r="F1335" s="22">
        <f>IFERROR(E1335/D1335*100,"")</f>
        <v>0</v>
      </c>
      <c r="G1335" s="23">
        <f>IFERROR(INDEX(Population_by_Province_Year!$B$5:$J$29,MATCH($A1335,Population_by_Province_Year!$A$5:$A$29,0),MATCH($B1335,Population_by_Province_Year!$B$4:$J$4,0)),"")</f>
        <v>841333</v>
      </c>
      <c r="H1335" s="22">
        <f>IFERROR(D1335/G1335*100000,"")</f>
        <v>2.3771800226545254</v>
      </c>
    </row>
    <row r="1336" spans="1:8" ht="15" customHeight="1" x14ac:dyDescent="0.3">
      <c r="A1336" s="20" t="s">
        <v>3</v>
      </c>
      <c r="B1336" s="20">
        <v>2023</v>
      </c>
      <c r="C1336" s="20" t="s">
        <v>100</v>
      </c>
      <c r="D1336" s="20">
        <v>47</v>
      </c>
      <c r="E1336" s="20">
        <v>0</v>
      </c>
      <c r="F1336" s="22">
        <f>IFERROR(E1336/D1336*100,"")</f>
        <v>0</v>
      </c>
      <c r="G1336" s="23">
        <f>IFERROR(INDEX(Population_by_Province_Year!$B$5:$J$29,MATCH($A1336,Population_by_Province_Year!$A$5:$A$29,0),MATCH($B1336,Population_by_Province_Year!$B$4:$J$4,0)),"")</f>
        <v>947186</v>
      </c>
      <c r="H1336" s="22">
        <f>IFERROR(D1336/G1336*100000,"")</f>
        <v>4.962066584599012</v>
      </c>
    </row>
    <row r="1337" spans="1:8" ht="15" customHeight="1" x14ac:dyDescent="0.3">
      <c r="A1337" s="20" t="s">
        <v>4</v>
      </c>
      <c r="B1337" s="20">
        <v>2023</v>
      </c>
      <c r="C1337" s="20" t="s">
        <v>100</v>
      </c>
      <c r="D1337" s="20">
        <v>6</v>
      </c>
      <c r="E1337" s="20">
        <v>0</v>
      </c>
      <c r="F1337" s="22">
        <f>IFERROR(E1337/D1337*100,"")</f>
        <v>0</v>
      </c>
      <c r="G1337" s="23">
        <f>IFERROR(INDEX(Population_by_Province_Year!$B$5:$J$29,MATCH($A1337,Population_by_Province_Year!$A$5:$A$29,0),MATCH($B1337,Population_by_Province_Year!$B$4:$J$4,0)),"")</f>
        <v>1095862</v>
      </c>
      <c r="H1337" s="22">
        <f>IFERROR(D1337/G1337*100000,"")</f>
        <v>0.54751419430548742</v>
      </c>
    </row>
    <row r="1338" spans="1:8" ht="15" customHeight="1" x14ac:dyDescent="0.3">
      <c r="A1338" s="20" t="s">
        <v>5</v>
      </c>
      <c r="B1338" s="20">
        <v>2023</v>
      </c>
      <c r="C1338" s="20" t="s">
        <v>100</v>
      </c>
      <c r="D1338" s="20">
        <v>32</v>
      </c>
      <c r="E1338" s="20">
        <v>0</v>
      </c>
      <c r="F1338" s="22">
        <f>IFERROR(E1338/D1338*100,"")</f>
        <v>0</v>
      </c>
      <c r="G1338" s="23">
        <f>IFERROR(INDEX(Population_by_Province_Year!$B$5:$J$29,MATCH($A1338,Population_by_Province_Year!$A$5:$A$29,0),MATCH($B1338,Population_by_Province_Year!$B$4:$J$4,0)),"")</f>
        <v>988846</v>
      </c>
      <c r="H1338" s="22">
        <f>IFERROR(D1338/G1338*100000,"")</f>
        <v>3.2360954081828721</v>
      </c>
    </row>
    <row r="1339" spans="1:8" ht="15" customHeight="1" x14ac:dyDescent="0.3">
      <c r="A1339" s="20" t="s">
        <v>6</v>
      </c>
      <c r="B1339" s="20">
        <v>2023</v>
      </c>
      <c r="C1339" s="20" t="s">
        <v>100</v>
      </c>
      <c r="D1339" s="20">
        <v>11</v>
      </c>
      <c r="E1339" s="20">
        <v>0</v>
      </c>
      <c r="F1339" s="22">
        <f>IFERROR(E1339/D1339*100,"")</f>
        <v>0</v>
      </c>
      <c r="G1339" s="23">
        <f>IFERROR(INDEX(Population_by_Province_Year!$B$5:$J$29,MATCH($A1339,Population_by_Province_Year!$A$5:$A$29,0),MATCH($B1339,Population_by_Province_Year!$B$4:$J$4,0)),"")</f>
        <v>579189</v>
      </c>
      <c r="H1339" s="22">
        <f>IFERROR(D1339/G1339*100000,"")</f>
        <v>1.8992073399184033</v>
      </c>
    </row>
    <row r="1340" spans="1:8" ht="15" customHeight="1" x14ac:dyDescent="0.3">
      <c r="A1340" s="20" t="s">
        <v>7</v>
      </c>
      <c r="B1340" s="20">
        <v>2023</v>
      </c>
      <c r="C1340" s="20" t="s">
        <v>100</v>
      </c>
      <c r="D1340" s="20">
        <v>19</v>
      </c>
      <c r="E1340" s="20">
        <v>0</v>
      </c>
      <c r="F1340" s="22">
        <f>IFERROR(E1340/D1340*100,"")</f>
        <v>0</v>
      </c>
      <c r="G1340" s="23">
        <f>IFERROR(INDEX(Population_by_Province_Year!$B$5:$J$29,MATCH($A1340,Population_by_Province_Year!$A$5:$A$29,0),MATCH($B1340,Population_by_Province_Year!$B$4:$J$4,0)),"")</f>
        <v>964374</v>
      </c>
      <c r="H1340" s="22">
        <f>IFERROR(D1340/G1340*100000,"")</f>
        <v>1.9701899885314205</v>
      </c>
    </row>
    <row r="1341" spans="1:8" ht="15" customHeight="1" x14ac:dyDescent="0.3">
      <c r="A1341" s="20" t="s">
        <v>8</v>
      </c>
      <c r="B1341" s="20">
        <v>2023</v>
      </c>
      <c r="C1341" s="20" t="s">
        <v>100</v>
      </c>
      <c r="D1341" s="20">
        <v>20</v>
      </c>
      <c r="E1341" s="20">
        <v>0</v>
      </c>
      <c r="F1341" s="22">
        <f>IFERROR(E1341/D1341*100,"")</f>
        <v>0</v>
      </c>
      <c r="G1341" s="23">
        <f>IFERROR(INDEX(Population_by_Province_Year!$B$5:$J$29,MATCH($A1341,Population_by_Province_Year!$A$5:$A$29,0),MATCH($B1341,Population_by_Province_Year!$B$4:$J$4,0)),"")</f>
        <v>749004</v>
      </c>
      <c r="H1341" s="22">
        <f>IFERROR(D1341/G1341*100000,"")</f>
        <v>2.6702127091444106</v>
      </c>
    </row>
    <row r="1342" spans="1:8" ht="15" customHeight="1" x14ac:dyDescent="0.3">
      <c r="A1342" s="20" t="s">
        <v>9</v>
      </c>
      <c r="B1342" s="20">
        <v>2023</v>
      </c>
      <c r="C1342" s="20" t="s">
        <v>100</v>
      </c>
      <c r="D1342" s="20">
        <v>2</v>
      </c>
      <c r="E1342" s="20">
        <v>0</v>
      </c>
      <c r="F1342" s="22">
        <f>IFERROR(E1342/D1342*100,"")</f>
        <v>0</v>
      </c>
      <c r="G1342" s="23">
        <f>IFERROR(INDEX(Population_by_Province_Year!$B$5:$J$29,MATCH($A1342,Population_by_Province_Year!$A$5:$A$29,0),MATCH($B1342,Population_by_Province_Year!$B$4:$J$4,0)),"")</f>
        <v>652602</v>
      </c>
      <c r="H1342" s="22">
        <f>IFERROR(D1342/G1342*100000,"")</f>
        <v>0.30646550271068734</v>
      </c>
    </row>
    <row r="1343" spans="1:8" ht="15" customHeight="1" x14ac:dyDescent="0.3">
      <c r="A1343" s="20" t="s">
        <v>10</v>
      </c>
      <c r="B1343" s="20">
        <v>2023</v>
      </c>
      <c r="C1343" s="20" t="s">
        <v>100</v>
      </c>
      <c r="D1343" s="20">
        <v>121</v>
      </c>
      <c r="E1343" s="20">
        <v>0</v>
      </c>
      <c r="F1343" s="22">
        <f>IFERROR(E1343/D1343*100,"")</f>
        <v>0</v>
      </c>
      <c r="G1343" s="23">
        <f>IFERROR(INDEX(Population_by_Province_Year!$B$5:$J$29,MATCH($A1343,Population_by_Province_Year!$A$5:$A$29,0),MATCH($B1343,Population_by_Province_Year!$B$4:$J$4,0)),"")</f>
        <v>1320505</v>
      </c>
      <c r="H1343" s="22">
        <f>IFERROR(D1343/G1343*100000,"")</f>
        <v>9.1631610633810556</v>
      </c>
    </row>
    <row r="1344" spans="1:8" ht="15" customHeight="1" x14ac:dyDescent="0.3">
      <c r="A1344" s="20" t="s">
        <v>13</v>
      </c>
      <c r="B1344" s="20">
        <v>2023</v>
      </c>
      <c r="C1344" s="20" t="s">
        <v>100</v>
      </c>
      <c r="D1344" s="20">
        <v>5</v>
      </c>
      <c r="E1344" s="20">
        <v>0</v>
      </c>
      <c r="F1344" s="22">
        <f>IFERROR(E1344/D1344*100,"")</f>
        <v>0</v>
      </c>
      <c r="G1344" s="23">
        <f>IFERROR(INDEX(Population_by_Province_Year!$B$5:$J$29,MATCH($A1344,Population_by_Province_Year!$A$5:$A$29,0),MATCH($B1344,Population_by_Province_Year!$B$4:$J$4,0)),"")</f>
        <v>411846</v>
      </c>
      <c r="H1344" s="22">
        <f>IFERROR(D1344/G1344*100000,"")</f>
        <v>1.2140460269129725</v>
      </c>
    </row>
    <row r="1345" spans="1:8" ht="15" customHeight="1" x14ac:dyDescent="0.3">
      <c r="A1345" s="20" t="s">
        <v>14</v>
      </c>
      <c r="B1345" s="20">
        <v>2023</v>
      </c>
      <c r="C1345" s="20" t="s">
        <v>100</v>
      </c>
      <c r="D1345" s="20">
        <v>1</v>
      </c>
      <c r="E1345" s="20">
        <v>0</v>
      </c>
      <c r="F1345" s="22">
        <f>IFERROR(E1345/D1345*100,"")</f>
        <v>0</v>
      </c>
      <c r="G1345" s="23">
        <f>IFERROR(INDEX(Population_by_Province_Year!$B$5:$J$29,MATCH($A1345,Population_by_Province_Year!$A$5:$A$29,0),MATCH($B1345,Population_by_Province_Year!$B$4:$J$4,0)),"")</f>
        <v>101340</v>
      </c>
      <c r="H1345" s="22">
        <f>IFERROR(D1345/G1345*100000,"")</f>
        <v>0.98677718571146633</v>
      </c>
    </row>
    <row r="1346" spans="1:8" ht="15" customHeight="1" x14ac:dyDescent="0.3">
      <c r="A1346" s="20" t="s">
        <v>15</v>
      </c>
      <c r="B1346" s="20">
        <v>2023</v>
      </c>
      <c r="C1346" s="20" t="s">
        <v>100</v>
      </c>
      <c r="D1346" s="20">
        <v>3</v>
      </c>
      <c r="E1346" s="20">
        <v>0</v>
      </c>
      <c r="F1346" s="22">
        <f>IFERROR(E1346/D1346*100,"")</f>
        <v>0</v>
      </c>
      <c r="G1346" s="23">
        <f>IFERROR(INDEX(Population_by_Province_Year!$B$5:$J$29,MATCH($A1346,Population_by_Province_Year!$A$5:$A$29,0),MATCH($B1346,Population_by_Province_Year!$B$4:$J$4,0)),"")</f>
        <v>303358</v>
      </c>
      <c r="H1346" s="22">
        <f>IFERROR(D1346/G1346*100000,"")</f>
        <v>0.98893057048108168</v>
      </c>
    </row>
    <row r="1347" spans="1:8" ht="15" customHeight="1" x14ac:dyDescent="0.3">
      <c r="A1347" s="20" t="s">
        <v>16</v>
      </c>
      <c r="B1347" s="20">
        <v>2023</v>
      </c>
      <c r="C1347" s="20" t="s">
        <v>100</v>
      </c>
      <c r="D1347" s="20">
        <v>1</v>
      </c>
      <c r="E1347" s="20">
        <v>0</v>
      </c>
      <c r="F1347" s="22">
        <f>IFERROR(E1347/D1347*100,"")</f>
        <v>0</v>
      </c>
      <c r="G1347" s="23">
        <f>IFERROR(INDEX(Population_by_Province_Year!$B$5:$J$29,MATCH($A1347,Population_by_Province_Year!$A$5:$A$29,0),MATCH($B1347,Population_by_Province_Year!$B$4:$J$4,0)),"")</f>
        <v>82546</v>
      </c>
      <c r="H1347" s="22">
        <f>IFERROR(D1347/G1347*100000,"")</f>
        <v>1.2114457393453348</v>
      </c>
    </row>
    <row r="1348" spans="1:8" ht="15" customHeight="1" x14ac:dyDescent="0.3">
      <c r="A1348" s="20" t="s">
        <v>17</v>
      </c>
      <c r="B1348" s="20">
        <v>2023</v>
      </c>
      <c r="C1348" s="20" t="s">
        <v>100</v>
      </c>
      <c r="D1348" s="20">
        <v>173</v>
      </c>
      <c r="E1348" s="20">
        <v>0</v>
      </c>
      <c r="F1348" s="22">
        <f>IFERROR(E1348/D1348*100,"")</f>
        <v>0</v>
      </c>
      <c r="G1348" s="23">
        <f>IFERROR(INDEX(Population_by_Province_Year!$B$5:$J$29,MATCH($A1348,Population_by_Province_Year!$A$5:$A$29,0),MATCH($B1348,Population_by_Province_Year!$B$4:$J$4,0)),"")</f>
        <v>2507803</v>
      </c>
      <c r="H1348" s="22">
        <f>IFERROR(D1348/G1348*100000,"")</f>
        <v>6.8984685001174331</v>
      </c>
    </row>
    <row r="1349" spans="1:8" ht="15" customHeight="1" x14ac:dyDescent="0.3">
      <c r="A1349" s="20" t="s">
        <v>18</v>
      </c>
      <c r="B1349" s="20">
        <v>2023</v>
      </c>
      <c r="C1349" s="20" t="s">
        <v>100</v>
      </c>
      <c r="D1349" s="20">
        <v>11</v>
      </c>
      <c r="E1349" s="20">
        <v>0</v>
      </c>
      <c r="F1349" s="22">
        <f>IFERROR(E1349/D1349*100,"")</f>
        <v>0</v>
      </c>
      <c r="G1349" s="23">
        <f>IFERROR(INDEX(Population_by_Province_Year!$B$5:$J$29,MATCH($A1349,Population_by_Province_Year!$A$5:$A$29,0),MATCH($B1349,Population_by_Province_Year!$B$4:$J$4,0)),"")</f>
        <v>340761</v>
      </c>
      <c r="H1349" s="22">
        <f>IFERROR(D1349/G1349*100000,"")</f>
        <v>3.2280689398141216</v>
      </c>
    </row>
    <row r="1350" spans="1:8" ht="15" customHeight="1" x14ac:dyDescent="0.3">
      <c r="A1350" s="20" t="s">
        <v>19</v>
      </c>
      <c r="B1350" s="20">
        <v>2023</v>
      </c>
      <c r="C1350" s="20" t="s">
        <v>100</v>
      </c>
      <c r="D1350" s="20">
        <v>5</v>
      </c>
      <c r="E1350" s="20">
        <v>0</v>
      </c>
      <c r="F1350" s="22">
        <f>IFERROR(E1350/D1350*100,"")</f>
        <v>0</v>
      </c>
      <c r="G1350" s="23">
        <f>IFERROR(INDEX(Population_by_Province_Year!$B$5:$J$29,MATCH($A1350,Population_by_Province_Year!$A$5:$A$29,0),MATCH($B1350,Population_by_Province_Year!$B$4:$J$4,0)),"")</f>
        <v>280048</v>
      </c>
      <c r="H1350" s="22">
        <f>IFERROR(D1350/G1350*100000,"")</f>
        <v>1.7854082157344453</v>
      </c>
    </row>
    <row r="1351" spans="1:8" ht="15" customHeight="1" x14ac:dyDescent="0.3">
      <c r="A1351" s="20" t="s">
        <v>20</v>
      </c>
      <c r="B1351" s="20">
        <v>2023</v>
      </c>
      <c r="C1351" s="20" t="s">
        <v>100</v>
      </c>
      <c r="D1351" s="20">
        <v>19</v>
      </c>
      <c r="E1351" s="20">
        <v>0</v>
      </c>
      <c r="F1351" s="22">
        <f>IFERROR(E1351/D1351*100,"")</f>
        <v>0</v>
      </c>
      <c r="G1351" s="23">
        <f>IFERROR(INDEX(Population_by_Province_Year!$B$5:$J$29,MATCH($A1351,Population_by_Province_Year!$A$5:$A$29,0),MATCH($B1351,Population_by_Province_Year!$B$4:$J$4,0)),"")</f>
        <v>1162406</v>
      </c>
      <c r="H1351" s="22">
        <f>IFERROR(D1351/G1351*100000,"")</f>
        <v>1.6345407714688329</v>
      </c>
    </row>
    <row r="1352" spans="1:8" ht="15" customHeight="1" x14ac:dyDescent="0.3">
      <c r="A1352" s="27" t="s">
        <v>21</v>
      </c>
      <c r="B1352" s="27">
        <v>2023</v>
      </c>
      <c r="C1352" s="27" t="s">
        <v>100</v>
      </c>
      <c r="D1352" s="27">
        <v>5</v>
      </c>
      <c r="E1352" s="27">
        <v>0</v>
      </c>
      <c r="F1352" s="22">
        <f>IFERROR(E1352/D1352*100,"")</f>
        <v>0</v>
      </c>
      <c r="G1352" s="23">
        <f>IFERROR(INDEX(Population_by_Province_Year!$B$5:$J$29,MATCH($A1352,Population_by_Province_Year!$A$5:$A$29,0),MATCH($B1352,Population_by_Province_Year!$B$4:$J$4,0)),"")</f>
        <v>454816</v>
      </c>
      <c r="H1352" s="22">
        <f>IFERROR(D1352/G1352*100000,"")</f>
        <v>1.099345669457539</v>
      </c>
    </row>
    <row r="1353" spans="1:8" ht="15" customHeight="1" x14ac:dyDescent="0.3">
      <c r="A1353" s="28" t="s">
        <v>22</v>
      </c>
      <c r="B1353" s="28">
        <v>2023</v>
      </c>
      <c r="C1353" s="28" t="s">
        <v>100</v>
      </c>
      <c r="D1353" s="28">
        <v>2</v>
      </c>
      <c r="E1353" s="28">
        <v>0</v>
      </c>
      <c r="F1353" s="28">
        <f>IFERROR(E1353/D1353*100,"")</f>
        <v>0</v>
      </c>
      <c r="G1353" s="29">
        <f>IFERROR(INDEX(Population_by_Province_Year!$B$5:$J$29,MATCH($A1353,Population_by_Province_Year!$A$5:$A$29,0),MATCH($B1353,Population_by_Province_Year!$B$4:$J$4,0)),"")</f>
        <v>238975</v>
      </c>
      <c r="H1353" s="28">
        <f>IFERROR(D1353/G1353*100000,"")</f>
        <v>0.83690762632074489</v>
      </c>
    </row>
    <row r="1354" spans="1:8" ht="15" customHeight="1" x14ac:dyDescent="0.3">
      <c r="A1354" s="20" t="s">
        <v>23</v>
      </c>
      <c r="B1354" s="20">
        <v>2023</v>
      </c>
      <c r="C1354" s="20" t="s">
        <v>100</v>
      </c>
      <c r="D1354" s="20">
        <v>46</v>
      </c>
      <c r="E1354" s="20">
        <v>0</v>
      </c>
      <c r="F1354" s="22">
        <f>IFERROR(E1354/D1354*100,"")</f>
        <v>0</v>
      </c>
      <c r="G1354" s="23">
        <f>IFERROR(INDEX(Population_by_Province_Year!$B$5:$J$29,MATCH($A1354,Population_by_Province_Year!$A$5:$A$29,0),MATCH($B1354,Population_by_Province_Year!$B$4:$J$4,0)),"")</f>
        <v>1114616</v>
      </c>
      <c r="H1354" s="22">
        <f>IFERROR(D1354/G1354*100000,"")</f>
        <v>4.1269818484572269</v>
      </c>
    </row>
    <row r="1355" spans="1:8" ht="15" customHeight="1" x14ac:dyDescent="0.3">
      <c r="A1355" s="20" t="s">
        <v>24</v>
      </c>
      <c r="B1355" s="20">
        <v>2023</v>
      </c>
      <c r="C1355" s="20" t="s">
        <v>100</v>
      </c>
      <c r="D1355" s="20">
        <v>1</v>
      </c>
      <c r="E1355" s="20">
        <v>0</v>
      </c>
      <c r="F1355" s="22">
        <f>IFERROR(E1355/D1355*100,"")</f>
        <v>0</v>
      </c>
      <c r="G1355" s="23">
        <f>IFERROR(INDEX(Population_by_Province_Year!$B$5:$J$29,MATCH($A1355,Population_by_Province_Year!$A$5:$A$29,0),MATCH($B1355,Population_by_Province_Year!$B$4:$J$4,0)),"")</f>
        <v>182114</v>
      </c>
      <c r="H1355" s="22">
        <f>IFERROR(D1355/G1355*100000,"")</f>
        <v>0.54910660355601437</v>
      </c>
    </row>
    <row r="1356" spans="1:8" ht="15" customHeight="1" x14ac:dyDescent="0.3">
      <c r="A1356" s="20" t="s">
        <v>25</v>
      </c>
      <c r="B1356" s="20">
        <v>2023</v>
      </c>
      <c r="C1356" s="20" t="s">
        <v>100</v>
      </c>
      <c r="D1356" s="20">
        <v>6</v>
      </c>
      <c r="E1356" s="20">
        <v>0</v>
      </c>
      <c r="F1356" s="22">
        <f>IFERROR(E1356/D1356*100,"")</f>
        <v>0</v>
      </c>
      <c r="G1356" s="23">
        <f>IFERROR(INDEX(Population_by_Province_Year!$B$5:$J$29,MATCH($A1356,Population_by_Province_Year!$A$5:$A$29,0),MATCH($B1356,Population_by_Province_Year!$B$4:$J$4,0)),"")</f>
        <v>577507</v>
      </c>
      <c r="H1356" s="22">
        <f>IFERROR(D1356/G1356*100000,"")</f>
        <v>1.0389484456465463</v>
      </c>
    </row>
    <row r="1357" spans="1:8" ht="15" customHeight="1" x14ac:dyDescent="0.3">
      <c r="A1357" s="20" t="s">
        <v>26</v>
      </c>
      <c r="B1357" s="20">
        <v>2023</v>
      </c>
      <c r="C1357" s="20" t="s">
        <v>100</v>
      </c>
      <c r="D1357" s="20">
        <v>24</v>
      </c>
      <c r="E1357" s="20">
        <v>1</v>
      </c>
      <c r="F1357" s="22">
        <f>IFERROR(E1357/D1357*100,"")</f>
        <v>4.1666666666666661</v>
      </c>
      <c r="G1357" s="23">
        <f>IFERROR(INDEX(Population_by_Province_Year!$B$5:$J$29,MATCH($A1357,Population_by_Province_Year!$A$5:$A$29,0),MATCH($B1357,Population_by_Province_Year!$B$4:$J$4,0)),"")</f>
        <v>990080</v>
      </c>
      <c r="H1357" s="22">
        <f>IFERROR(D1357/G1357*100000,"")</f>
        <v>2.4240465416936003</v>
      </c>
    </row>
    <row r="1358" spans="1:8" ht="15" customHeight="1" x14ac:dyDescent="0.3">
      <c r="A1358" s="20" t="s">
        <v>27</v>
      </c>
      <c r="B1358" s="20">
        <v>2023</v>
      </c>
      <c r="C1358" s="20" t="s">
        <v>100</v>
      </c>
      <c r="D1358" s="20">
        <v>4</v>
      </c>
      <c r="E1358" s="20">
        <v>0</v>
      </c>
      <c r="F1358" s="22">
        <f>IFERROR(E1358/D1358*100,"")</f>
        <v>0</v>
      </c>
      <c r="G1358" s="23">
        <f>IFERROR(INDEX(Population_by_Province_Year!$B$5:$J$29,MATCH($A1358,Population_by_Province_Year!$A$5:$A$29,0),MATCH($B1358,Population_by_Province_Year!$B$4:$J$4,0)),"")</f>
        <v>853727</v>
      </c>
      <c r="H1358" s="22">
        <f>IFERROR(D1358/G1358*100000,"")</f>
        <v>0.46853385215648558</v>
      </c>
    </row>
    <row r="1359" spans="1:8" ht="15" customHeight="1" x14ac:dyDescent="0.3">
      <c r="A1359" s="20" t="s">
        <v>3</v>
      </c>
      <c r="B1359" s="20">
        <v>2023</v>
      </c>
      <c r="C1359" s="20" t="s">
        <v>99</v>
      </c>
      <c r="D1359" s="20">
        <v>17</v>
      </c>
      <c r="E1359" s="20">
        <v>0</v>
      </c>
      <c r="F1359" s="22">
        <f>IFERROR(E1359/D1359*100,"")</f>
        <v>0</v>
      </c>
      <c r="G1359" s="23">
        <f>IFERROR(INDEX(Population_by_Province_Year!$B$5:$J$29,MATCH($A1359,Population_by_Province_Year!$A$5:$A$29,0),MATCH($B1359,Population_by_Province_Year!$B$4:$J$4,0)),"")</f>
        <v>947186</v>
      </c>
      <c r="H1359" s="22">
        <f>IFERROR(D1359/G1359*100000,"")</f>
        <v>1.7947900412379405</v>
      </c>
    </row>
    <row r="1360" spans="1:8" ht="15" customHeight="1" x14ac:dyDescent="0.3">
      <c r="A1360" s="20" t="s">
        <v>4</v>
      </c>
      <c r="B1360" s="20">
        <v>2023</v>
      </c>
      <c r="C1360" s="20" t="s">
        <v>99</v>
      </c>
      <c r="D1360" s="20">
        <v>1</v>
      </c>
      <c r="E1360" s="20">
        <v>0</v>
      </c>
      <c r="F1360" s="22">
        <f>IFERROR(E1360/D1360*100,"")</f>
        <v>0</v>
      </c>
      <c r="G1360" s="23">
        <f>IFERROR(INDEX(Population_by_Province_Year!$B$5:$J$29,MATCH($A1360,Population_by_Province_Year!$A$5:$A$29,0),MATCH($B1360,Population_by_Province_Year!$B$4:$J$4,0)),"")</f>
        <v>1095862</v>
      </c>
      <c r="H1360" s="22">
        <f>IFERROR(D1360/G1360*100000,"")</f>
        <v>9.1252365717581232E-2</v>
      </c>
    </row>
    <row r="1361" spans="1:8" ht="15" customHeight="1" x14ac:dyDescent="0.3">
      <c r="A1361" s="20" t="s">
        <v>5</v>
      </c>
      <c r="B1361" s="20">
        <v>2023</v>
      </c>
      <c r="C1361" s="20" t="s">
        <v>99</v>
      </c>
      <c r="D1361" s="20">
        <v>8</v>
      </c>
      <c r="E1361" s="20">
        <v>0</v>
      </c>
      <c r="F1361" s="22">
        <f>IFERROR(E1361/D1361*100,"")</f>
        <v>0</v>
      </c>
      <c r="G1361" s="23">
        <f>IFERROR(INDEX(Population_by_Province_Year!$B$5:$J$29,MATCH($A1361,Population_by_Province_Year!$A$5:$A$29,0),MATCH($B1361,Population_by_Province_Year!$B$4:$J$4,0)),"")</f>
        <v>988846</v>
      </c>
      <c r="H1361" s="22">
        <f>IFERROR(D1361/G1361*100000,"")</f>
        <v>0.80902385204571803</v>
      </c>
    </row>
    <row r="1362" spans="1:8" ht="15" customHeight="1" x14ac:dyDescent="0.3">
      <c r="A1362" s="20" t="s">
        <v>6</v>
      </c>
      <c r="B1362" s="20">
        <v>2023</v>
      </c>
      <c r="C1362" s="20" t="s">
        <v>99</v>
      </c>
      <c r="D1362" s="20">
        <v>3</v>
      </c>
      <c r="E1362" s="20">
        <v>0</v>
      </c>
      <c r="F1362" s="22">
        <f>IFERROR(E1362/D1362*100,"")</f>
        <v>0</v>
      </c>
      <c r="G1362" s="23">
        <f>IFERROR(INDEX(Population_by_Province_Year!$B$5:$J$29,MATCH($A1362,Population_by_Province_Year!$A$5:$A$29,0),MATCH($B1362,Population_by_Province_Year!$B$4:$J$4,0)),"")</f>
        <v>579189</v>
      </c>
      <c r="H1362" s="22">
        <f>IFERROR(D1362/G1362*100000,"")</f>
        <v>0.51796563815956453</v>
      </c>
    </row>
    <row r="1363" spans="1:8" ht="15" customHeight="1" x14ac:dyDescent="0.3">
      <c r="A1363" s="20" t="s">
        <v>7</v>
      </c>
      <c r="B1363" s="20">
        <v>2023</v>
      </c>
      <c r="C1363" s="20" t="s">
        <v>99</v>
      </c>
      <c r="D1363" s="20">
        <v>12</v>
      </c>
      <c r="E1363" s="20">
        <v>0</v>
      </c>
      <c r="F1363" s="22">
        <f>IFERROR(E1363/D1363*100,"")</f>
        <v>0</v>
      </c>
      <c r="G1363" s="23">
        <f>IFERROR(INDEX(Population_by_Province_Year!$B$5:$J$29,MATCH($A1363,Population_by_Province_Year!$A$5:$A$29,0),MATCH($B1363,Population_by_Province_Year!$B$4:$J$4,0)),"")</f>
        <v>964374</v>
      </c>
      <c r="H1363" s="22">
        <f>IFERROR(D1363/G1363*100000,"")</f>
        <v>1.244330519072476</v>
      </c>
    </row>
    <row r="1364" spans="1:8" ht="15" customHeight="1" x14ac:dyDescent="0.3">
      <c r="A1364" s="20" t="s">
        <v>8</v>
      </c>
      <c r="B1364" s="20">
        <v>2023</v>
      </c>
      <c r="C1364" s="20" t="s">
        <v>99</v>
      </c>
      <c r="D1364" s="20">
        <v>10</v>
      </c>
      <c r="E1364" s="20">
        <v>0</v>
      </c>
      <c r="F1364" s="22">
        <f>IFERROR(E1364/D1364*100,"")</f>
        <v>0</v>
      </c>
      <c r="G1364" s="23">
        <f>IFERROR(INDEX(Population_by_Province_Year!$B$5:$J$29,MATCH($A1364,Population_by_Province_Year!$A$5:$A$29,0),MATCH($B1364,Population_by_Province_Year!$B$4:$J$4,0)),"")</f>
        <v>749004</v>
      </c>
      <c r="H1364" s="22">
        <f>IFERROR(D1364/G1364*100000,"")</f>
        <v>1.3351063545722053</v>
      </c>
    </row>
    <row r="1365" spans="1:8" ht="15" customHeight="1" x14ac:dyDescent="0.3">
      <c r="A1365" s="20" t="s">
        <v>9</v>
      </c>
      <c r="B1365" s="20">
        <v>2023</v>
      </c>
      <c r="C1365" s="20" t="s">
        <v>99</v>
      </c>
      <c r="D1365" s="20">
        <v>5</v>
      </c>
      <c r="E1365" s="20">
        <v>0</v>
      </c>
      <c r="F1365" s="22">
        <f>IFERROR(E1365/D1365*100,"")</f>
        <v>0</v>
      </c>
      <c r="G1365" s="23">
        <f>IFERROR(INDEX(Population_by_Province_Year!$B$5:$J$29,MATCH($A1365,Population_by_Province_Year!$A$5:$A$29,0),MATCH($B1365,Population_by_Province_Year!$B$4:$J$4,0)),"")</f>
        <v>652602</v>
      </c>
      <c r="H1365" s="22">
        <f>IFERROR(D1365/G1365*100000,"")</f>
        <v>0.76616375677671844</v>
      </c>
    </row>
    <row r="1366" spans="1:8" ht="15" customHeight="1" x14ac:dyDescent="0.3">
      <c r="A1366" s="20" t="s">
        <v>10</v>
      </c>
      <c r="B1366" s="20">
        <v>2023</v>
      </c>
      <c r="C1366" s="20" t="s">
        <v>99</v>
      </c>
      <c r="D1366" s="20">
        <v>80</v>
      </c>
      <c r="E1366" s="20">
        <v>1</v>
      </c>
      <c r="F1366" s="22">
        <f>IFERROR(E1366/D1366*100,"")</f>
        <v>1.25</v>
      </c>
      <c r="G1366" s="23">
        <f>IFERROR(INDEX(Population_by_Province_Year!$B$5:$J$29,MATCH($A1366,Population_by_Province_Year!$A$5:$A$29,0),MATCH($B1366,Population_by_Province_Year!$B$4:$J$4,0)),"")</f>
        <v>1320505</v>
      </c>
      <c r="H1366" s="22">
        <f>IFERROR(D1366/G1366*100000,"")</f>
        <v>6.0582883063676398</v>
      </c>
    </row>
    <row r="1367" spans="1:8" ht="15" customHeight="1" x14ac:dyDescent="0.3">
      <c r="A1367" s="20" t="s">
        <v>13</v>
      </c>
      <c r="B1367" s="20">
        <v>2023</v>
      </c>
      <c r="C1367" s="20" t="s">
        <v>99</v>
      </c>
      <c r="D1367" s="20">
        <v>6</v>
      </c>
      <c r="E1367" s="20">
        <v>0</v>
      </c>
      <c r="F1367" s="22">
        <f>IFERROR(E1367/D1367*100,"")</f>
        <v>0</v>
      </c>
      <c r="G1367" s="23">
        <f>IFERROR(INDEX(Population_by_Province_Year!$B$5:$J$29,MATCH($A1367,Population_by_Province_Year!$A$5:$A$29,0),MATCH($B1367,Population_by_Province_Year!$B$4:$J$4,0)),"")</f>
        <v>411846</v>
      </c>
      <c r="H1367" s="22">
        <f>IFERROR(D1367/G1367*100000,"")</f>
        <v>1.4568552322955668</v>
      </c>
    </row>
    <row r="1368" spans="1:8" ht="15" customHeight="1" x14ac:dyDescent="0.3">
      <c r="A1368" s="20" t="s">
        <v>15</v>
      </c>
      <c r="B1368" s="20">
        <v>2023</v>
      </c>
      <c r="C1368" s="20" t="s">
        <v>99</v>
      </c>
      <c r="D1368" s="20">
        <v>2</v>
      </c>
      <c r="E1368" s="20">
        <v>0</v>
      </c>
      <c r="F1368" s="22">
        <f>IFERROR(E1368/D1368*100,"")</f>
        <v>0</v>
      </c>
      <c r="G1368" s="23">
        <f>IFERROR(INDEX(Population_by_Province_Year!$B$5:$J$29,MATCH($A1368,Population_by_Province_Year!$A$5:$A$29,0),MATCH($B1368,Population_by_Province_Year!$B$4:$J$4,0)),"")</f>
        <v>303358</v>
      </c>
      <c r="H1368" s="22">
        <f>IFERROR(D1368/G1368*100000,"")</f>
        <v>0.65928704698738783</v>
      </c>
    </row>
    <row r="1369" spans="1:8" ht="15" customHeight="1" x14ac:dyDescent="0.3">
      <c r="A1369" s="20" t="s">
        <v>17</v>
      </c>
      <c r="B1369" s="20">
        <v>2023</v>
      </c>
      <c r="C1369" s="20" t="s">
        <v>99</v>
      </c>
      <c r="D1369" s="20">
        <v>114</v>
      </c>
      <c r="E1369" s="20">
        <v>0</v>
      </c>
      <c r="F1369" s="22">
        <f>IFERROR(E1369/D1369*100,"")</f>
        <v>0</v>
      </c>
      <c r="G1369" s="23">
        <f>IFERROR(INDEX(Population_by_Province_Year!$B$5:$J$29,MATCH($A1369,Population_by_Province_Year!$A$5:$A$29,0),MATCH($B1369,Population_by_Province_Year!$B$4:$J$4,0)),"")</f>
        <v>2507803</v>
      </c>
      <c r="H1369" s="22">
        <f>IFERROR(D1369/G1369*100000,"")</f>
        <v>4.5458116127941466</v>
      </c>
    </row>
    <row r="1370" spans="1:8" ht="15" customHeight="1" x14ac:dyDescent="0.3">
      <c r="A1370" s="20" t="s">
        <v>18</v>
      </c>
      <c r="B1370" s="20">
        <v>2023</v>
      </c>
      <c r="C1370" s="20" t="s">
        <v>99</v>
      </c>
      <c r="D1370" s="20">
        <v>12</v>
      </c>
      <c r="E1370" s="20">
        <v>0</v>
      </c>
      <c r="F1370" s="22">
        <f>IFERROR(E1370/D1370*100,"")</f>
        <v>0</v>
      </c>
      <c r="G1370" s="23">
        <f>IFERROR(INDEX(Population_by_Province_Year!$B$5:$J$29,MATCH($A1370,Population_by_Province_Year!$A$5:$A$29,0),MATCH($B1370,Population_by_Province_Year!$B$4:$J$4,0)),"")</f>
        <v>340761</v>
      </c>
      <c r="H1370" s="22">
        <f>IFERROR(D1370/G1370*100000,"")</f>
        <v>3.5215297525244966</v>
      </c>
    </row>
    <row r="1371" spans="1:8" ht="15" customHeight="1" x14ac:dyDescent="0.3">
      <c r="A1371" s="20" t="s">
        <v>19</v>
      </c>
      <c r="B1371" s="20">
        <v>2023</v>
      </c>
      <c r="C1371" s="20" t="s">
        <v>99</v>
      </c>
      <c r="D1371" s="20">
        <v>7</v>
      </c>
      <c r="E1371" s="20">
        <v>0</v>
      </c>
      <c r="F1371" s="22">
        <f>IFERROR(E1371/D1371*100,"")</f>
        <v>0</v>
      </c>
      <c r="G1371" s="23">
        <f>IFERROR(INDEX(Population_by_Province_Year!$B$5:$J$29,MATCH($A1371,Population_by_Province_Year!$A$5:$A$29,0),MATCH($B1371,Population_by_Province_Year!$B$4:$J$4,0)),"")</f>
        <v>280048</v>
      </c>
      <c r="H1371" s="22">
        <f>IFERROR(D1371/G1371*100000,"")</f>
        <v>2.4995715020282239</v>
      </c>
    </row>
    <row r="1372" spans="1:8" ht="15" customHeight="1" x14ac:dyDescent="0.3">
      <c r="A1372" s="20" t="s">
        <v>20</v>
      </c>
      <c r="B1372" s="20">
        <v>2023</v>
      </c>
      <c r="C1372" s="20" t="s">
        <v>99</v>
      </c>
      <c r="D1372" s="20">
        <v>15</v>
      </c>
      <c r="E1372" s="20">
        <v>0</v>
      </c>
      <c r="F1372" s="22">
        <f>IFERROR(E1372/D1372*100,"")</f>
        <v>0</v>
      </c>
      <c r="G1372" s="23">
        <f>IFERROR(INDEX(Population_by_Province_Year!$B$5:$J$29,MATCH($A1372,Population_by_Province_Year!$A$5:$A$29,0),MATCH($B1372,Population_by_Province_Year!$B$4:$J$4,0)),"")</f>
        <v>1162406</v>
      </c>
      <c r="H1372" s="22">
        <f>IFERROR(D1372/G1372*100000,"")</f>
        <v>1.2904269248438154</v>
      </c>
    </row>
    <row r="1373" spans="1:8" ht="15" customHeight="1" x14ac:dyDescent="0.3">
      <c r="A1373" s="20" t="s">
        <v>21</v>
      </c>
      <c r="B1373" s="20">
        <v>2023</v>
      </c>
      <c r="C1373" s="20" t="s">
        <v>99</v>
      </c>
      <c r="D1373" s="20">
        <v>1</v>
      </c>
      <c r="E1373" s="20">
        <v>0</v>
      </c>
      <c r="F1373" s="22">
        <f>IFERROR(E1373/D1373*100,"")</f>
        <v>0</v>
      </c>
      <c r="G1373" s="23">
        <f>IFERROR(INDEX(Population_by_Province_Year!$B$5:$J$29,MATCH($A1373,Population_by_Province_Year!$A$5:$A$29,0),MATCH($B1373,Population_by_Province_Year!$B$4:$J$4,0)),"")</f>
        <v>454816</v>
      </c>
      <c r="H1373" s="22">
        <f>IFERROR(D1373/G1373*100000,"")</f>
        <v>0.21986913389150775</v>
      </c>
    </row>
    <row r="1374" spans="1:8" ht="15" customHeight="1" x14ac:dyDescent="0.3">
      <c r="A1374" s="20" t="s">
        <v>23</v>
      </c>
      <c r="B1374" s="20">
        <v>2023</v>
      </c>
      <c r="C1374" s="20" t="s">
        <v>99</v>
      </c>
      <c r="D1374" s="20">
        <v>29</v>
      </c>
      <c r="E1374" s="20">
        <v>0</v>
      </c>
      <c r="F1374" s="22">
        <f>IFERROR(E1374/D1374*100,"")</f>
        <v>0</v>
      </c>
      <c r="G1374" s="23">
        <f>IFERROR(INDEX(Population_by_Province_Year!$B$5:$J$29,MATCH($A1374,Population_by_Province_Year!$A$5:$A$29,0),MATCH($B1374,Population_by_Province_Year!$B$4:$J$4,0)),"")</f>
        <v>1114616</v>
      </c>
      <c r="H1374" s="22">
        <f>IFERROR(D1374/G1374*100000,"")</f>
        <v>2.6017929044621644</v>
      </c>
    </row>
    <row r="1375" spans="1:8" ht="15" customHeight="1" x14ac:dyDescent="0.3">
      <c r="A1375" s="20" t="s">
        <v>24</v>
      </c>
      <c r="B1375" s="20">
        <v>2023</v>
      </c>
      <c r="C1375" s="20" t="s">
        <v>99</v>
      </c>
      <c r="D1375" s="20">
        <v>2</v>
      </c>
      <c r="E1375" s="20">
        <v>0</v>
      </c>
      <c r="F1375" s="22">
        <f>IFERROR(E1375/D1375*100,"")</f>
        <v>0</v>
      </c>
      <c r="G1375" s="23">
        <f>IFERROR(INDEX(Population_by_Province_Year!$B$5:$J$29,MATCH($A1375,Population_by_Province_Year!$A$5:$A$29,0),MATCH($B1375,Population_by_Province_Year!$B$4:$J$4,0)),"")</f>
        <v>182114</v>
      </c>
      <c r="H1375" s="22">
        <f>IFERROR(D1375/G1375*100000,"")</f>
        <v>1.0982132071120287</v>
      </c>
    </row>
    <row r="1376" spans="1:8" ht="15" customHeight="1" x14ac:dyDescent="0.3">
      <c r="A1376" s="20" t="s">
        <v>25</v>
      </c>
      <c r="B1376" s="20">
        <v>2023</v>
      </c>
      <c r="C1376" s="20" t="s">
        <v>99</v>
      </c>
      <c r="D1376" s="20">
        <v>8</v>
      </c>
      <c r="E1376" s="20">
        <v>0</v>
      </c>
      <c r="F1376" s="22">
        <f>IFERROR(E1376/D1376*100,"")</f>
        <v>0</v>
      </c>
      <c r="G1376" s="23">
        <f>IFERROR(INDEX(Population_by_Province_Year!$B$5:$J$29,MATCH($A1376,Population_by_Province_Year!$A$5:$A$29,0),MATCH($B1376,Population_by_Province_Year!$B$4:$J$4,0)),"")</f>
        <v>577507</v>
      </c>
      <c r="H1376" s="22">
        <f>IFERROR(D1376/G1376*100000,"")</f>
        <v>1.3852645941953949</v>
      </c>
    </row>
    <row r="1377" spans="1:8" ht="15" customHeight="1" x14ac:dyDescent="0.3">
      <c r="A1377" s="20" t="s">
        <v>26</v>
      </c>
      <c r="B1377" s="20">
        <v>2023</v>
      </c>
      <c r="C1377" s="20" t="s">
        <v>99</v>
      </c>
      <c r="D1377" s="20">
        <v>21</v>
      </c>
      <c r="E1377" s="20">
        <v>0</v>
      </c>
      <c r="F1377" s="22">
        <f>IFERROR(E1377/D1377*100,"")</f>
        <v>0</v>
      </c>
      <c r="G1377" s="23">
        <f>IFERROR(INDEX(Population_by_Province_Year!$B$5:$J$29,MATCH($A1377,Population_by_Province_Year!$A$5:$A$29,0),MATCH($B1377,Population_by_Province_Year!$B$4:$J$4,0)),"")</f>
        <v>990080</v>
      </c>
      <c r="H1377" s="22">
        <f>IFERROR(D1377/G1377*100000,"")</f>
        <v>2.1210407239819005</v>
      </c>
    </row>
    <row r="1378" spans="1:8" ht="15" customHeight="1" x14ac:dyDescent="0.3">
      <c r="A1378" s="20" t="s">
        <v>27</v>
      </c>
      <c r="B1378" s="20">
        <v>2023</v>
      </c>
      <c r="C1378" s="20" t="s">
        <v>99</v>
      </c>
      <c r="D1378" s="20">
        <v>14</v>
      </c>
      <c r="E1378" s="20">
        <v>0</v>
      </c>
      <c r="F1378" s="22">
        <f>IFERROR(E1378/D1378*100,"")</f>
        <v>0</v>
      </c>
      <c r="G1378" s="23">
        <f>IFERROR(INDEX(Population_by_Province_Year!$B$5:$J$29,MATCH($A1378,Population_by_Province_Year!$A$5:$A$29,0),MATCH($B1378,Population_by_Province_Year!$B$4:$J$4,0)),"")</f>
        <v>853727</v>
      </c>
      <c r="H1378" s="22">
        <f>IFERROR(D1378/G1378*100000,"")</f>
        <v>1.6398684825476997</v>
      </c>
    </row>
    <row r="1379" spans="1:8" ht="15" customHeight="1" x14ac:dyDescent="0.3">
      <c r="A1379" s="20" t="s">
        <v>3</v>
      </c>
      <c r="B1379" s="20">
        <v>2023</v>
      </c>
      <c r="C1379" s="20" t="s">
        <v>103</v>
      </c>
      <c r="D1379" s="20">
        <v>40</v>
      </c>
      <c r="E1379" s="20">
        <v>0</v>
      </c>
      <c r="F1379" s="22">
        <f>IFERROR(E1379/D1379*100,"")</f>
        <v>0</v>
      </c>
      <c r="G1379" s="23">
        <f>IFERROR(INDEX(Population_by_Province_Year!$B$5:$J$29,MATCH($A1379,Population_by_Province_Year!$A$5:$A$29,0),MATCH($B1379,Population_by_Province_Year!$B$4:$J$4,0)),"")</f>
        <v>947186</v>
      </c>
      <c r="H1379" s="22">
        <f>IFERROR(D1379/G1379*100000,"")</f>
        <v>4.2230353911480956</v>
      </c>
    </row>
    <row r="1380" spans="1:8" ht="15" customHeight="1" x14ac:dyDescent="0.3">
      <c r="A1380" s="20" t="s">
        <v>4</v>
      </c>
      <c r="B1380" s="20">
        <v>2023</v>
      </c>
      <c r="C1380" s="20" t="s">
        <v>103</v>
      </c>
      <c r="D1380" s="20">
        <v>15</v>
      </c>
      <c r="E1380" s="20">
        <v>0</v>
      </c>
      <c r="F1380" s="22">
        <f>IFERROR(E1380/D1380*100,"")</f>
        <v>0</v>
      </c>
      <c r="G1380" s="23">
        <f>IFERROR(INDEX(Population_by_Province_Year!$B$5:$J$29,MATCH($A1380,Population_by_Province_Year!$A$5:$A$29,0),MATCH($B1380,Population_by_Province_Year!$B$4:$J$4,0)),"")</f>
        <v>1095862</v>
      </c>
      <c r="H1380" s="22">
        <f>IFERROR(D1380/G1380*100000,"")</f>
        <v>1.3687854857637183</v>
      </c>
    </row>
    <row r="1381" spans="1:8" ht="15" customHeight="1" x14ac:dyDescent="0.3">
      <c r="A1381" s="20" t="s">
        <v>5</v>
      </c>
      <c r="B1381" s="20">
        <v>2023</v>
      </c>
      <c r="C1381" s="20" t="s">
        <v>103</v>
      </c>
      <c r="D1381" s="20">
        <v>27</v>
      </c>
      <c r="E1381" s="20">
        <v>1</v>
      </c>
      <c r="F1381" s="22">
        <f>IFERROR(E1381/D1381*100,"")</f>
        <v>3.7037037037037033</v>
      </c>
      <c r="G1381" s="23">
        <f>IFERROR(INDEX(Population_by_Province_Year!$B$5:$J$29,MATCH($A1381,Population_by_Province_Year!$A$5:$A$29,0),MATCH($B1381,Population_by_Province_Year!$B$4:$J$4,0)),"")</f>
        <v>988846</v>
      </c>
      <c r="H1381" s="22">
        <f>IFERROR(D1381/G1381*100000,"")</f>
        <v>2.7304555006542981</v>
      </c>
    </row>
    <row r="1382" spans="1:8" ht="15" customHeight="1" x14ac:dyDescent="0.3">
      <c r="A1382" s="20" t="s">
        <v>6</v>
      </c>
      <c r="B1382" s="20">
        <v>2023</v>
      </c>
      <c r="C1382" s="20" t="s">
        <v>103</v>
      </c>
      <c r="D1382" s="20">
        <v>4</v>
      </c>
      <c r="E1382" s="20">
        <v>0</v>
      </c>
      <c r="F1382" s="22">
        <f>IFERROR(E1382/D1382*100,"")</f>
        <v>0</v>
      </c>
      <c r="G1382" s="23">
        <f>IFERROR(INDEX(Population_by_Province_Year!$B$5:$J$29,MATCH($A1382,Population_by_Province_Year!$A$5:$A$29,0),MATCH($B1382,Population_by_Province_Year!$B$4:$J$4,0)),"")</f>
        <v>579189</v>
      </c>
      <c r="H1382" s="22">
        <f>IFERROR(D1382/G1382*100000,"")</f>
        <v>0.69062085087941938</v>
      </c>
    </row>
    <row r="1383" spans="1:8" ht="15" customHeight="1" x14ac:dyDescent="0.3">
      <c r="A1383" s="20" t="s">
        <v>7</v>
      </c>
      <c r="B1383" s="20">
        <v>2023</v>
      </c>
      <c r="C1383" s="20" t="s">
        <v>103</v>
      </c>
      <c r="D1383" s="20">
        <v>25</v>
      </c>
      <c r="E1383" s="20">
        <v>0</v>
      </c>
      <c r="F1383" s="22">
        <f>IFERROR(E1383/D1383*100,"")</f>
        <v>0</v>
      </c>
      <c r="G1383" s="23">
        <f>IFERROR(INDEX(Population_by_Province_Year!$B$5:$J$29,MATCH($A1383,Population_by_Province_Year!$A$5:$A$29,0),MATCH($B1383,Population_by_Province_Year!$B$4:$J$4,0)),"")</f>
        <v>964374</v>
      </c>
      <c r="H1383" s="22">
        <f>IFERROR(D1383/G1383*100000,"")</f>
        <v>2.5923552480676584</v>
      </c>
    </row>
    <row r="1384" spans="1:8" ht="15" customHeight="1" x14ac:dyDescent="0.3">
      <c r="A1384" s="20" t="s">
        <v>8</v>
      </c>
      <c r="B1384" s="20">
        <v>2023</v>
      </c>
      <c r="C1384" s="20" t="s">
        <v>103</v>
      </c>
      <c r="D1384" s="20">
        <v>16</v>
      </c>
      <c r="E1384" s="20">
        <v>0</v>
      </c>
      <c r="F1384" s="22">
        <f>IFERROR(E1384/D1384*100,"")</f>
        <v>0</v>
      </c>
      <c r="G1384" s="23">
        <f>IFERROR(INDEX(Population_by_Province_Year!$B$5:$J$29,MATCH($A1384,Population_by_Province_Year!$A$5:$A$29,0),MATCH($B1384,Population_by_Province_Year!$B$4:$J$4,0)),"")</f>
        <v>749004</v>
      </c>
      <c r="H1384" s="22">
        <f>IFERROR(D1384/G1384*100000,"")</f>
        <v>2.1361701673155284</v>
      </c>
    </row>
    <row r="1385" spans="1:8" ht="15" customHeight="1" x14ac:dyDescent="0.3">
      <c r="A1385" s="20" t="s">
        <v>9</v>
      </c>
      <c r="B1385" s="20">
        <v>2023</v>
      </c>
      <c r="C1385" s="20" t="s">
        <v>103</v>
      </c>
      <c r="D1385" s="20">
        <v>2</v>
      </c>
      <c r="E1385" s="20">
        <v>0</v>
      </c>
      <c r="F1385" s="22">
        <f>IFERROR(E1385/D1385*100,"")</f>
        <v>0</v>
      </c>
      <c r="G1385" s="23">
        <f>IFERROR(INDEX(Population_by_Province_Year!$B$5:$J$29,MATCH($A1385,Population_by_Province_Year!$A$5:$A$29,0),MATCH($B1385,Population_by_Province_Year!$B$4:$J$4,0)),"")</f>
        <v>652602</v>
      </c>
      <c r="H1385" s="22">
        <f>IFERROR(D1385/G1385*100000,"")</f>
        <v>0.30646550271068734</v>
      </c>
    </row>
    <row r="1386" spans="1:8" ht="15" customHeight="1" x14ac:dyDescent="0.3">
      <c r="A1386" s="20" t="s">
        <v>10</v>
      </c>
      <c r="B1386" s="20">
        <v>2023</v>
      </c>
      <c r="C1386" s="20" t="s">
        <v>103</v>
      </c>
      <c r="D1386" s="20">
        <v>128</v>
      </c>
      <c r="E1386" s="20">
        <v>0</v>
      </c>
      <c r="F1386" s="22">
        <f>IFERROR(E1386/D1386*100,"")</f>
        <v>0</v>
      </c>
      <c r="G1386" s="23">
        <f>IFERROR(INDEX(Population_by_Province_Year!$B$5:$J$29,MATCH($A1386,Population_by_Province_Year!$A$5:$A$29,0),MATCH($B1386,Population_by_Province_Year!$B$4:$J$4,0)),"")</f>
        <v>1320505</v>
      </c>
      <c r="H1386" s="22">
        <f>IFERROR(D1386/G1386*100000,"")</f>
        <v>9.6932612901882234</v>
      </c>
    </row>
    <row r="1387" spans="1:8" ht="15" customHeight="1" x14ac:dyDescent="0.3">
      <c r="A1387" s="20" t="s">
        <v>13</v>
      </c>
      <c r="B1387" s="20">
        <v>2023</v>
      </c>
      <c r="C1387" s="20" t="s">
        <v>103</v>
      </c>
      <c r="D1387" s="20">
        <v>8</v>
      </c>
      <c r="E1387" s="20">
        <v>0</v>
      </c>
      <c r="F1387" s="22">
        <f>IFERROR(E1387/D1387*100,"")</f>
        <v>0</v>
      </c>
      <c r="G1387" s="23">
        <f>IFERROR(INDEX(Population_by_Province_Year!$B$5:$J$29,MATCH($A1387,Population_by_Province_Year!$A$5:$A$29,0),MATCH($B1387,Population_by_Province_Year!$B$4:$J$4,0)),"")</f>
        <v>411846</v>
      </c>
      <c r="H1387" s="22">
        <f>IFERROR(D1387/G1387*100000,"")</f>
        <v>1.9424736430607559</v>
      </c>
    </row>
    <row r="1388" spans="1:8" ht="15" customHeight="1" x14ac:dyDescent="0.3">
      <c r="A1388" s="20" t="s">
        <v>15</v>
      </c>
      <c r="B1388" s="20">
        <v>2023</v>
      </c>
      <c r="C1388" s="20" t="s">
        <v>103</v>
      </c>
      <c r="D1388" s="20">
        <v>2</v>
      </c>
      <c r="E1388" s="20">
        <v>0</v>
      </c>
      <c r="F1388" s="22">
        <f>IFERROR(E1388/D1388*100,"")</f>
        <v>0</v>
      </c>
      <c r="G1388" s="23">
        <f>IFERROR(INDEX(Population_by_Province_Year!$B$5:$J$29,MATCH($A1388,Population_by_Province_Year!$A$5:$A$29,0),MATCH($B1388,Population_by_Province_Year!$B$4:$J$4,0)),"")</f>
        <v>303358</v>
      </c>
      <c r="H1388" s="22">
        <f>IFERROR(D1388/G1388*100000,"")</f>
        <v>0.65928704698738783</v>
      </c>
    </row>
    <row r="1389" spans="1:8" ht="15" customHeight="1" x14ac:dyDescent="0.3">
      <c r="A1389" s="20" t="s">
        <v>16</v>
      </c>
      <c r="B1389" s="20">
        <v>2023</v>
      </c>
      <c r="C1389" s="20" t="s">
        <v>103</v>
      </c>
      <c r="D1389" s="20">
        <v>1</v>
      </c>
      <c r="E1389" s="20">
        <v>0</v>
      </c>
      <c r="F1389" s="22">
        <f>IFERROR(E1389/D1389*100,"")</f>
        <v>0</v>
      </c>
      <c r="G1389" s="23">
        <f>IFERROR(INDEX(Population_by_Province_Year!$B$5:$J$29,MATCH($A1389,Population_by_Province_Year!$A$5:$A$29,0),MATCH($B1389,Population_by_Province_Year!$B$4:$J$4,0)),"")</f>
        <v>82546</v>
      </c>
      <c r="H1389" s="22">
        <f>IFERROR(D1389/G1389*100000,"")</f>
        <v>1.2114457393453348</v>
      </c>
    </row>
    <row r="1390" spans="1:8" ht="15" customHeight="1" x14ac:dyDescent="0.3">
      <c r="A1390" s="20" t="s">
        <v>17</v>
      </c>
      <c r="B1390" s="20">
        <v>2023</v>
      </c>
      <c r="C1390" s="20" t="s">
        <v>103</v>
      </c>
      <c r="D1390" s="20">
        <v>117</v>
      </c>
      <c r="E1390" s="20">
        <v>0</v>
      </c>
      <c r="F1390" s="22">
        <f>IFERROR(E1390/D1390*100,"")</f>
        <v>0</v>
      </c>
      <c r="G1390" s="23">
        <f>IFERROR(INDEX(Population_by_Province_Year!$B$5:$J$29,MATCH($A1390,Population_by_Province_Year!$A$5:$A$29,0),MATCH($B1390,Population_by_Province_Year!$B$4:$J$4,0)),"")</f>
        <v>2507803</v>
      </c>
      <c r="H1390" s="22">
        <f>IFERROR(D1390/G1390*100000,"")</f>
        <v>4.6654382341834664</v>
      </c>
    </row>
    <row r="1391" spans="1:8" ht="15" customHeight="1" x14ac:dyDescent="0.3">
      <c r="A1391" s="20" t="s">
        <v>18</v>
      </c>
      <c r="B1391" s="20">
        <v>2023</v>
      </c>
      <c r="C1391" s="20" t="s">
        <v>103</v>
      </c>
      <c r="D1391" s="20">
        <v>9</v>
      </c>
      <c r="E1391" s="20">
        <v>0</v>
      </c>
      <c r="F1391" s="22">
        <f>IFERROR(E1391/D1391*100,"")</f>
        <v>0</v>
      </c>
      <c r="G1391" s="23">
        <f>IFERROR(INDEX(Population_by_Province_Year!$B$5:$J$29,MATCH($A1391,Population_by_Province_Year!$A$5:$A$29,0),MATCH($B1391,Population_by_Province_Year!$B$4:$J$4,0)),"")</f>
        <v>340761</v>
      </c>
      <c r="H1391" s="22">
        <f>IFERROR(D1391/G1391*100000,"")</f>
        <v>2.6411473143933728</v>
      </c>
    </row>
    <row r="1392" spans="1:8" ht="15" customHeight="1" x14ac:dyDescent="0.3">
      <c r="A1392" s="20" t="s">
        <v>19</v>
      </c>
      <c r="B1392" s="20">
        <v>2023</v>
      </c>
      <c r="C1392" s="20" t="s">
        <v>103</v>
      </c>
      <c r="D1392" s="20">
        <v>5</v>
      </c>
      <c r="E1392" s="20">
        <v>0</v>
      </c>
      <c r="F1392" s="22">
        <f>IFERROR(E1392/D1392*100,"")</f>
        <v>0</v>
      </c>
      <c r="G1392" s="23">
        <f>IFERROR(INDEX(Population_by_Province_Year!$B$5:$J$29,MATCH($A1392,Population_by_Province_Year!$A$5:$A$29,0),MATCH($B1392,Population_by_Province_Year!$B$4:$J$4,0)),"")</f>
        <v>280048</v>
      </c>
      <c r="H1392" s="22">
        <f>IFERROR(D1392/G1392*100000,"")</f>
        <v>1.7854082157344453</v>
      </c>
    </row>
    <row r="1393" spans="1:8" ht="15" customHeight="1" x14ac:dyDescent="0.3">
      <c r="A1393" s="20" t="s">
        <v>20</v>
      </c>
      <c r="B1393" s="20">
        <v>2023</v>
      </c>
      <c r="C1393" s="20" t="s">
        <v>103</v>
      </c>
      <c r="D1393" s="20">
        <v>9</v>
      </c>
      <c r="E1393" s="20">
        <v>0</v>
      </c>
      <c r="F1393" s="22">
        <f>IFERROR(E1393/D1393*100,"")</f>
        <v>0</v>
      </c>
      <c r="G1393" s="23">
        <f>IFERROR(INDEX(Population_by_Province_Year!$B$5:$J$29,MATCH($A1393,Population_by_Province_Year!$A$5:$A$29,0),MATCH($B1393,Population_by_Province_Year!$B$4:$J$4,0)),"")</f>
        <v>1162406</v>
      </c>
      <c r="H1393" s="22">
        <f>IFERROR(D1393/G1393*100000,"")</f>
        <v>0.77425615490628918</v>
      </c>
    </row>
    <row r="1394" spans="1:8" ht="15" customHeight="1" x14ac:dyDescent="0.3">
      <c r="A1394" s="20" t="s">
        <v>21</v>
      </c>
      <c r="B1394" s="20">
        <v>2023</v>
      </c>
      <c r="C1394" s="20" t="s">
        <v>103</v>
      </c>
      <c r="D1394" s="20">
        <v>3</v>
      </c>
      <c r="E1394" s="20">
        <v>0</v>
      </c>
      <c r="F1394" s="22">
        <f>IFERROR(E1394/D1394*100,"")</f>
        <v>0</v>
      </c>
      <c r="G1394" s="23">
        <f>IFERROR(INDEX(Population_by_Province_Year!$B$5:$J$29,MATCH($A1394,Population_by_Province_Year!$A$5:$A$29,0),MATCH($B1394,Population_by_Province_Year!$B$4:$J$4,0)),"")</f>
        <v>454816</v>
      </c>
      <c r="H1394" s="22">
        <f>IFERROR(D1394/G1394*100000,"")</f>
        <v>0.65960740167452336</v>
      </c>
    </row>
    <row r="1395" spans="1:8" ht="15" customHeight="1" x14ac:dyDescent="0.3">
      <c r="A1395" s="20" t="s">
        <v>22</v>
      </c>
      <c r="B1395" s="20">
        <v>2023</v>
      </c>
      <c r="C1395" s="20" t="s">
        <v>103</v>
      </c>
      <c r="D1395" s="20">
        <v>1</v>
      </c>
      <c r="E1395" s="20">
        <v>0</v>
      </c>
      <c r="F1395" s="22">
        <f>IFERROR(E1395/D1395*100,"")</f>
        <v>0</v>
      </c>
      <c r="G1395" s="23">
        <f>IFERROR(INDEX(Population_by_Province_Year!$B$5:$J$29,MATCH($A1395,Population_by_Province_Year!$A$5:$A$29,0),MATCH($B1395,Population_by_Province_Year!$B$4:$J$4,0)),"")</f>
        <v>238975</v>
      </c>
      <c r="H1395" s="22">
        <f>IFERROR(D1395/G1395*100000,"")</f>
        <v>0.41845381316037245</v>
      </c>
    </row>
    <row r="1396" spans="1:8" ht="15" customHeight="1" x14ac:dyDescent="0.3">
      <c r="A1396" s="20" t="s">
        <v>23</v>
      </c>
      <c r="B1396" s="20">
        <v>2023</v>
      </c>
      <c r="C1396" s="20" t="s">
        <v>103</v>
      </c>
      <c r="D1396" s="20">
        <v>33</v>
      </c>
      <c r="E1396" s="20">
        <v>0</v>
      </c>
      <c r="F1396" s="22">
        <f>IFERROR(E1396/D1396*100,"")</f>
        <v>0</v>
      </c>
      <c r="G1396" s="23">
        <f>IFERROR(INDEX(Population_by_Province_Year!$B$5:$J$29,MATCH($A1396,Population_by_Province_Year!$A$5:$A$29,0),MATCH($B1396,Population_by_Province_Year!$B$4:$J$4,0)),"")</f>
        <v>1114616</v>
      </c>
      <c r="H1396" s="22">
        <f>IFERROR(D1396/G1396*100000,"")</f>
        <v>2.9606608912845322</v>
      </c>
    </row>
    <row r="1397" spans="1:8" ht="15" customHeight="1" x14ac:dyDescent="0.3">
      <c r="A1397" s="20" t="s">
        <v>24</v>
      </c>
      <c r="B1397" s="20">
        <v>2023</v>
      </c>
      <c r="C1397" s="20" t="s">
        <v>103</v>
      </c>
      <c r="D1397" s="20">
        <v>1</v>
      </c>
      <c r="E1397" s="20">
        <v>0</v>
      </c>
      <c r="F1397" s="22">
        <f>IFERROR(E1397/D1397*100,"")</f>
        <v>0</v>
      </c>
      <c r="G1397" s="23">
        <f>IFERROR(INDEX(Population_by_Province_Year!$B$5:$J$29,MATCH($A1397,Population_by_Province_Year!$A$5:$A$29,0),MATCH($B1397,Population_by_Province_Year!$B$4:$J$4,0)),"")</f>
        <v>182114</v>
      </c>
      <c r="H1397" s="22">
        <f>IFERROR(D1397/G1397*100000,"")</f>
        <v>0.54910660355601437</v>
      </c>
    </row>
    <row r="1398" spans="1:8" ht="15" customHeight="1" x14ac:dyDescent="0.3">
      <c r="A1398" s="20" t="s">
        <v>25</v>
      </c>
      <c r="B1398" s="20">
        <v>2023</v>
      </c>
      <c r="C1398" s="20" t="s">
        <v>103</v>
      </c>
      <c r="D1398" s="20">
        <v>8</v>
      </c>
      <c r="E1398" s="20">
        <v>0</v>
      </c>
      <c r="F1398" s="22">
        <f>IFERROR(E1398/D1398*100,"")</f>
        <v>0</v>
      </c>
      <c r="G1398" s="23">
        <f>IFERROR(INDEX(Population_by_Province_Year!$B$5:$J$29,MATCH($A1398,Population_by_Province_Year!$A$5:$A$29,0),MATCH($B1398,Population_by_Province_Year!$B$4:$J$4,0)),"")</f>
        <v>577507</v>
      </c>
      <c r="H1398" s="22">
        <f>IFERROR(D1398/G1398*100000,"")</f>
        <v>1.3852645941953949</v>
      </c>
    </row>
    <row r="1399" spans="1:8" ht="15" customHeight="1" x14ac:dyDescent="0.3">
      <c r="A1399" s="20" t="s">
        <v>26</v>
      </c>
      <c r="B1399" s="20">
        <v>2023</v>
      </c>
      <c r="C1399" s="20" t="s">
        <v>103</v>
      </c>
      <c r="D1399" s="20">
        <v>21</v>
      </c>
      <c r="E1399" s="20">
        <v>0</v>
      </c>
      <c r="F1399" s="22">
        <f>IFERROR(E1399/D1399*100,"")</f>
        <v>0</v>
      </c>
      <c r="G1399" s="23">
        <f>IFERROR(INDEX(Population_by_Province_Year!$B$5:$J$29,MATCH($A1399,Population_by_Province_Year!$A$5:$A$29,0),MATCH($B1399,Population_by_Province_Year!$B$4:$J$4,0)),"")</f>
        <v>990080</v>
      </c>
      <c r="H1399" s="22">
        <f>IFERROR(D1399/G1399*100000,"")</f>
        <v>2.1210407239819005</v>
      </c>
    </row>
    <row r="1400" spans="1:8" ht="15" customHeight="1" x14ac:dyDescent="0.3">
      <c r="A1400" s="20" t="s">
        <v>27</v>
      </c>
      <c r="B1400" s="20">
        <v>2023</v>
      </c>
      <c r="C1400" s="20" t="s">
        <v>103</v>
      </c>
      <c r="D1400" s="20">
        <v>18</v>
      </c>
      <c r="E1400" s="20">
        <v>1</v>
      </c>
      <c r="F1400" s="22">
        <f>IFERROR(E1400/D1400*100,"")</f>
        <v>5.5555555555555554</v>
      </c>
      <c r="G1400" s="23">
        <f>IFERROR(INDEX(Population_by_Province_Year!$B$5:$J$29,MATCH($A1400,Population_by_Province_Year!$A$5:$A$29,0),MATCH($B1400,Population_by_Province_Year!$B$4:$J$4,0)),"")</f>
        <v>853727</v>
      </c>
      <c r="H1400" s="22">
        <f>IFERROR(D1400/G1400*100000,"")</f>
        <v>2.1084023347041851</v>
      </c>
    </row>
    <row r="1401" spans="1:8" ht="15" customHeight="1" x14ac:dyDescent="0.3">
      <c r="A1401" s="20" t="s">
        <v>3</v>
      </c>
      <c r="B1401" s="20">
        <v>2023</v>
      </c>
      <c r="C1401" s="20" t="s">
        <v>96</v>
      </c>
      <c r="D1401" s="20">
        <v>63</v>
      </c>
      <c r="E1401" s="20">
        <v>0</v>
      </c>
      <c r="F1401" s="22">
        <f>IFERROR(E1401/D1401*100,"")</f>
        <v>0</v>
      </c>
      <c r="G1401" s="23">
        <f>IFERROR(INDEX(Population_by_Province_Year!$B$5:$J$29,MATCH($A1401,Population_by_Province_Year!$A$5:$A$29,0),MATCH($B1401,Population_by_Province_Year!$B$4:$J$4,0)),"")</f>
        <v>947186</v>
      </c>
      <c r="H1401" s="22">
        <f>IFERROR(D1401/G1401*100000,"")</f>
        <v>6.6512807410582502</v>
      </c>
    </row>
    <row r="1402" spans="1:8" ht="15" customHeight="1" x14ac:dyDescent="0.3">
      <c r="A1402" s="20" t="s">
        <v>4</v>
      </c>
      <c r="B1402" s="20">
        <v>2023</v>
      </c>
      <c r="C1402" s="20" t="s">
        <v>96</v>
      </c>
      <c r="D1402" s="20">
        <v>20</v>
      </c>
      <c r="E1402" s="20">
        <v>0</v>
      </c>
      <c r="F1402" s="22">
        <f>IFERROR(E1402/D1402*100,"")</f>
        <v>0</v>
      </c>
      <c r="G1402" s="23">
        <f>IFERROR(INDEX(Population_by_Province_Year!$B$5:$J$29,MATCH($A1402,Population_by_Province_Year!$A$5:$A$29,0),MATCH($B1402,Population_by_Province_Year!$B$4:$J$4,0)),"")</f>
        <v>1095862</v>
      </c>
      <c r="H1402" s="22">
        <f>IFERROR(D1402/G1402*100000,"")</f>
        <v>1.8250473143516246</v>
      </c>
    </row>
    <row r="1403" spans="1:8" ht="15" customHeight="1" x14ac:dyDescent="0.3">
      <c r="A1403" s="20" t="s">
        <v>5</v>
      </c>
      <c r="B1403" s="20">
        <v>2023</v>
      </c>
      <c r="C1403" s="20" t="s">
        <v>96</v>
      </c>
      <c r="D1403" s="20">
        <v>43</v>
      </c>
      <c r="E1403" s="20">
        <v>0</v>
      </c>
      <c r="F1403" s="22">
        <f>IFERROR(E1403/D1403*100,"")</f>
        <v>0</v>
      </c>
      <c r="G1403" s="23">
        <f>IFERROR(INDEX(Population_by_Province_Year!$B$5:$J$29,MATCH($A1403,Population_by_Province_Year!$A$5:$A$29,0),MATCH($B1403,Population_by_Province_Year!$B$4:$J$4,0)),"")</f>
        <v>988846</v>
      </c>
      <c r="H1403" s="22">
        <f>IFERROR(D1403/G1403*100000,"")</f>
        <v>4.3485032047457342</v>
      </c>
    </row>
    <row r="1404" spans="1:8" ht="15" customHeight="1" x14ac:dyDescent="0.3">
      <c r="A1404" s="20" t="s">
        <v>6</v>
      </c>
      <c r="B1404" s="20">
        <v>2023</v>
      </c>
      <c r="C1404" s="20" t="s">
        <v>96</v>
      </c>
      <c r="D1404" s="20">
        <v>5</v>
      </c>
      <c r="E1404" s="20">
        <v>0</v>
      </c>
      <c r="F1404" s="22">
        <f>IFERROR(E1404/D1404*100,"")</f>
        <v>0</v>
      </c>
      <c r="G1404" s="23">
        <f>IFERROR(INDEX(Population_by_Province_Year!$B$5:$J$29,MATCH($A1404,Population_by_Province_Year!$A$5:$A$29,0),MATCH($B1404,Population_by_Province_Year!$B$4:$J$4,0)),"")</f>
        <v>579189</v>
      </c>
      <c r="H1404" s="22">
        <f>IFERROR(D1404/G1404*100000,"")</f>
        <v>0.86327606359927422</v>
      </c>
    </row>
    <row r="1405" spans="1:8" ht="15" customHeight="1" x14ac:dyDescent="0.3">
      <c r="A1405" s="20" t="s">
        <v>7</v>
      </c>
      <c r="B1405" s="20">
        <v>2023</v>
      </c>
      <c r="C1405" s="20" t="s">
        <v>96</v>
      </c>
      <c r="D1405" s="20">
        <v>31</v>
      </c>
      <c r="E1405" s="20">
        <v>0</v>
      </c>
      <c r="F1405" s="22">
        <f>IFERROR(E1405/D1405*100,"")</f>
        <v>0</v>
      </c>
      <c r="G1405" s="23">
        <f>IFERROR(INDEX(Population_by_Province_Year!$B$5:$J$29,MATCH($A1405,Population_by_Province_Year!$A$5:$A$29,0),MATCH($B1405,Population_by_Province_Year!$B$4:$J$4,0)),"")</f>
        <v>964374</v>
      </c>
      <c r="H1405" s="22">
        <f>IFERROR(D1405/G1405*100000,"")</f>
        <v>3.2145205076038965</v>
      </c>
    </row>
    <row r="1406" spans="1:8" ht="15" customHeight="1" x14ac:dyDescent="0.3">
      <c r="A1406" s="20" t="s">
        <v>8</v>
      </c>
      <c r="B1406" s="20">
        <v>2023</v>
      </c>
      <c r="C1406" s="20" t="s">
        <v>96</v>
      </c>
      <c r="D1406" s="20">
        <v>17</v>
      </c>
      <c r="E1406" s="20">
        <v>0</v>
      </c>
      <c r="F1406" s="22">
        <f>IFERROR(E1406/D1406*100,"")</f>
        <v>0</v>
      </c>
      <c r="G1406" s="23">
        <f>IFERROR(INDEX(Population_by_Province_Year!$B$5:$J$29,MATCH($A1406,Population_by_Province_Year!$A$5:$A$29,0),MATCH($B1406,Population_by_Province_Year!$B$4:$J$4,0)),"")</f>
        <v>749004</v>
      </c>
      <c r="H1406" s="22">
        <f>IFERROR(D1406/G1406*100000,"")</f>
        <v>2.2696808027727489</v>
      </c>
    </row>
    <row r="1407" spans="1:8" ht="15" customHeight="1" x14ac:dyDescent="0.3">
      <c r="A1407" s="20" t="s">
        <v>9</v>
      </c>
      <c r="B1407" s="20">
        <v>2023</v>
      </c>
      <c r="C1407" s="20" t="s">
        <v>96</v>
      </c>
      <c r="D1407" s="20">
        <v>6</v>
      </c>
      <c r="E1407" s="20">
        <v>0</v>
      </c>
      <c r="F1407" s="22">
        <f>IFERROR(E1407/D1407*100,"")</f>
        <v>0</v>
      </c>
      <c r="G1407" s="23">
        <f>IFERROR(INDEX(Population_by_Province_Year!$B$5:$J$29,MATCH($A1407,Population_by_Province_Year!$A$5:$A$29,0),MATCH($B1407,Population_by_Province_Year!$B$4:$J$4,0)),"")</f>
        <v>652602</v>
      </c>
      <c r="H1407" s="22">
        <f>IFERROR(D1407/G1407*100000,"")</f>
        <v>0.91939650813206208</v>
      </c>
    </row>
    <row r="1408" spans="1:8" ht="15" customHeight="1" x14ac:dyDescent="0.3">
      <c r="A1408" s="20" t="s">
        <v>10</v>
      </c>
      <c r="B1408" s="20">
        <v>2023</v>
      </c>
      <c r="C1408" s="20" t="s">
        <v>96</v>
      </c>
      <c r="D1408" s="20">
        <v>145</v>
      </c>
      <c r="E1408" s="20">
        <v>0</v>
      </c>
      <c r="F1408" s="22">
        <f>IFERROR(E1408/D1408*100,"")</f>
        <v>0</v>
      </c>
      <c r="G1408" s="23">
        <f>IFERROR(INDEX(Population_by_Province_Year!$B$5:$J$29,MATCH($A1408,Population_by_Province_Year!$A$5:$A$29,0),MATCH($B1408,Population_by_Province_Year!$B$4:$J$4,0)),"")</f>
        <v>1320505</v>
      </c>
      <c r="H1408" s="22">
        <f>IFERROR(D1408/G1408*100000,"")</f>
        <v>10.980647555291347</v>
      </c>
    </row>
    <row r="1409" spans="1:8" ht="15" customHeight="1" x14ac:dyDescent="0.3">
      <c r="A1409" s="20" t="s">
        <v>11</v>
      </c>
      <c r="B1409" s="20">
        <v>2023</v>
      </c>
      <c r="C1409" s="20" t="s">
        <v>96</v>
      </c>
      <c r="D1409" s="20">
        <v>2</v>
      </c>
      <c r="E1409" s="20">
        <v>0</v>
      </c>
      <c r="F1409" s="22">
        <f>IFERROR(E1409/D1409*100,"")</f>
        <v>0</v>
      </c>
      <c r="G1409" s="23">
        <f>IFERROR(INDEX(Population_by_Province_Year!$B$5:$J$29,MATCH($A1409,Population_by_Province_Year!$A$5:$A$29,0),MATCH($B1409,Population_by_Province_Year!$B$4:$J$4,0)),"")</f>
        <v>46888</v>
      </c>
      <c r="H1409" s="22">
        <f>IFERROR(D1409/G1409*100000,"")</f>
        <v>4.2654837058522439</v>
      </c>
    </row>
    <row r="1410" spans="1:8" ht="15" customHeight="1" x14ac:dyDescent="0.3">
      <c r="A1410" s="20" t="s">
        <v>13</v>
      </c>
      <c r="B1410" s="20">
        <v>2023</v>
      </c>
      <c r="C1410" s="20" t="s">
        <v>96</v>
      </c>
      <c r="D1410" s="20">
        <v>13</v>
      </c>
      <c r="E1410" s="20">
        <v>0</v>
      </c>
      <c r="F1410" s="22">
        <f>IFERROR(E1410/D1410*100,"")</f>
        <v>0</v>
      </c>
      <c r="G1410" s="23">
        <f>IFERROR(INDEX(Population_by_Province_Year!$B$5:$J$29,MATCH($A1410,Population_by_Province_Year!$A$5:$A$29,0),MATCH($B1410,Population_by_Province_Year!$B$4:$J$4,0)),"")</f>
        <v>411846</v>
      </c>
      <c r="H1410" s="22">
        <f>IFERROR(D1410/G1410*100000,"")</f>
        <v>3.1565196699737283</v>
      </c>
    </row>
    <row r="1411" spans="1:8" ht="15" customHeight="1" x14ac:dyDescent="0.3">
      <c r="A1411" s="20" t="s">
        <v>15</v>
      </c>
      <c r="B1411" s="20">
        <v>2023</v>
      </c>
      <c r="C1411" s="20" t="s">
        <v>96</v>
      </c>
      <c r="D1411" s="20">
        <v>1</v>
      </c>
      <c r="E1411" s="20">
        <v>0</v>
      </c>
      <c r="F1411" s="22">
        <f>IFERROR(E1411/D1411*100,"")</f>
        <v>0</v>
      </c>
      <c r="G1411" s="23">
        <f>IFERROR(INDEX(Population_by_Province_Year!$B$5:$J$29,MATCH($A1411,Population_by_Province_Year!$A$5:$A$29,0),MATCH($B1411,Population_by_Province_Year!$B$4:$J$4,0)),"")</f>
        <v>303358</v>
      </c>
      <c r="H1411" s="22">
        <f>IFERROR(D1411/G1411*100000,"")</f>
        <v>0.32964352349369391</v>
      </c>
    </row>
    <row r="1412" spans="1:8" ht="15" customHeight="1" x14ac:dyDescent="0.3">
      <c r="A1412" s="20" t="s">
        <v>17</v>
      </c>
      <c r="B1412" s="20">
        <v>2023</v>
      </c>
      <c r="C1412" s="20" t="s">
        <v>96</v>
      </c>
      <c r="D1412" s="20">
        <v>145</v>
      </c>
      <c r="E1412" s="20">
        <v>0</v>
      </c>
      <c r="F1412" s="22">
        <f>IFERROR(E1412/D1412*100,"")</f>
        <v>0</v>
      </c>
      <c r="G1412" s="23">
        <f>IFERROR(INDEX(Population_by_Province_Year!$B$5:$J$29,MATCH($A1412,Population_by_Province_Year!$A$5:$A$29,0),MATCH($B1412,Population_by_Province_Year!$B$4:$J$4,0)),"")</f>
        <v>2507803</v>
      </c>
      <c r="H1412" s="22">
        <f>IFERROR(D1412/G1412*100000,"")</f>
        <v>5.7819533671504502</v>
      </c>
    </row>
    <row r="1413" spans="1:8" ht="15" customHeight="1" x14ac:dyDescent="0.3">
      <c r="A1413" s="20" t="s">
        <v>18</v>
      </c>
      <c r="B1413" s="20">
        <v>2023</v>
      </c>
      <c r="C1413" s="20" t="s">
        <v>96</v>
      </c>
      <c r="D1413" s="20">
        <v>12</v>
      </c>
      <c r="E1413" s="20">
        <v>0</v>
      </c>
      <c r="F1413" s="22">
        <f>IFERROR(E1413/D1413*100,"")</f>
        <v>0</v>
      </c>
      <c r="G1413" s="23">
        <f>IFERROR(INDEX(Population_by_Province_Year!$B$5:$J$29,MATCH($A1413,Population_by_Province_Year!$A$5:$A$29,0),MATCH($B1413,Population_by_Province_Year!$B$4:$J$4,0)),"")</f>
        <v>340761</v>
      </c>
      <c r="H1413" s="22">
        <f>IFERROR(D1413/G1413*100000,"")</f>
        <v>3.5215297525244966</v>
      </c>
    </row>
    <row r="1414" spans="1:8" ht="15" customHeight="1" x14ac:dyDescent="0.3">
      <c r="A1414" s="20" t="s">
        <v>19</v>
      </c>
      <c r="B1414" s="20">
        <v>2023</v>
      </c>
      <c r="C1414" s="20" t="s">
        <v>96</v>
      </c>
      <c r="D1414" s="20">
        <v>24</v>
      </c>
      <c r="E1414" s="20">
        <v>0</v>
      </c>
      <c r="F1414" s="22">
        <f>IFERROR(E1414/D1414*100,"")</f>
        <v>0</v>
      </c>
      <c r="G1414" s="23">
        <f>IFERROR(INDEX(Population_by_Province_Year!$B$5:$J$29,MATCH($A1414,Population_by_Province_Year!$A$5:$A$29,0),MATCH($B1414,Population_by_Province_Year!$B$4:$J$4,0)),"")</f>
        <v>280048</v>
      </c>
      <c r="H1414" s="22">
        <f>IFERROR(D1414/G1414*100000,"")</f>
        <v>8.5699594355253392</v>
      </c>
    </row>
    <row r="1415" spans="1:8" ht="15" customHeight="1" x14ac:dyDescent="0.3">
      <c r="A1415" s="20" t="s">
        <v>20</v>
      </c>
      <c r="B1415" s="20">
        <v>2023</v>
      </c>
      <c r="C1415" s="20" t="s">
        <v>96</v>
      </c>
      <c r="D1415" s="20">
        <v>6</v>
      </c>
      <c r="E1415" s="20">
        <v>0</v>
      </c>
      <c r="F1415" s="22">
        <f>IFERROR(E1415/D1415*100,"")</f>
        <v>0</v>
      </c>
      <c r="G1415" s="23">
        <f>IFERROR(INDEX(Population_by_Province_Year!$B$5:$J$29,MATCH($A1415,Population_by_Province_Year!$A$5:$A$29,0),MATCH($B1415,Population_by_Province_Year!$B$4:$J$4,0)),"")</f>
        <v>1162406</v>
      </c>
      <c r="H1415" s="22">
        <f>IFERROR(D1415/G1415*100000,"")</f>
        <v>0.51617076993752609</v>
      </c>
    </row>
    <row r="1416" spans="1:8" ht="15" customHeight="1" x14ac:dyDescent="0.3">
      <c r="A1416" s="20" t="s">
        <v>21</v>
      </c>
      <c r="B1416" s="20">
        <v>2023</v>
      </c>
      <c r="C1416" s="20" t="s">
        <v>96</v>
      </c>
      <c r="D1416" s="20">
        <v>1</v>
      </c>
      <c r="E1416" s="20">
        <v>0</v>
      </c>
      <c r="F1416" s="22">
        <f>IFERROR(E1416/D1416*100,"")</f>
        <v>0</v>
      </c>
      <c r="G1416" s="23">
        <f>IFERROR(INDEX(Population_by_Province_Year!$B$5:$J$29,MATCH($A1416,Population_by_Province_Year!$A$5:$A$29,0),MATCH($B1416,Population_by_Province_Year!$B$4:$J$4,0)),"")</f>
        <v>454816</v>
      </c>
      <c r="H1416" s="22">
        <f>IFERROR(D1416/G1416*100000,"")</f>
        <v>0.21986913389150775</v>
      </c>
    </row>
    <row r="1417" spans="1:8" ht="15" customHeight="1" x14ac:dyDescent="0.3">
      <c r="A1417" s="20" t="s">
        <v>22</v>
      </c>
      <c r="B1417" s="20">
        <v>2023</v>
      </c>
      <c r="C1417" s="20" t="s">
        <v>96</v>
      </c>
      <c r="D1417" s="20">
        <v>1</v>
      </c>
      <c r="E1417" s="20">
        <v>0</v>
      </c>
      <c r="F1417" s="22">
        <f>IFERROR(E1417/D1417*100,"")</f>
        <v>0</v>
      </c>
      <c r="G1417" s="23">
        <f>IFERROR(INDEX(Population_by_Province_Year!$B$5:$J$29,MATCH($A1417,Population_by_Province_Year!$A$5:$A$29,0),MATCH($B1417,Population_by_Province_Year!$B$4:$J$4,0)),"")</f>
        <v>238975</v>
      </c>
      <c r="H1417" s="22">
        <f>IFERROR(D1417/G1417*100000,"")</f>
        <v>0.41845381316037245</v>
      </c>
    </row>
    <row r="1418" spans="1:8" ht="15" customHeight="1" x14ac:dyDescent="0.3">
      <c r="A1418" s="20" t="s">
        <v>23</v>
      </c>
      <c r="B1418" s="20">
        <v>2023</v>
      </c>
      <c r="C1418" s="20" t="s">
        <v>96</v>
      </c>
      <c r="D1418" s="20">
        <v>60</v>
      </c>
      <c r="E1418" s="20">
        <v>0</v>
      </c>
      <c r="F1418" s="22">
        <f>IFERROR(E1418/D1418*100,"")</f>
        <v>0</v>
      </c>
      <c r="G1418" s="23">
        <f>IFERROR(INDEX(Population_by_Province_Year!$B$5:$J$29,MATCH($A1418,Population_by_Province_Year!$A$5:$A$29,0),MATCH($B1418,Population_by_Province_Year!$B$4:$J$4,0)),"")</f>
        <v>1114616</v>
      </c>
      <c r="H1418" s="22">
        <f>IFERROR(D1418/G1418*100000,"")</f>
        <v>5.3830198023355127</v>
      </c>
    </row>
    <row r="1419" spans="1:8" ht="15" customHeight="1" x14ac:dyDescent="0.3">
      <c r="A1419" s="20" t="s">
        <v>25</v>
      </c>
      <c r="B1419" s="20">
        <v>2023</v>
      </c>
      <c r="C1419" s="20" t="s">
        <v>96</v>
      </c>
      <c r="D1419" s="20">
        <v>17</v>
      </c>
      <c r="E1419" s="20">
        <v>0</v>
      </c>
      <c r="F1419" s="22">
        <f>IFERROR(E1419/D1419*100,"")</f>
        <v>0</v>
      </c>
      <c r="G1419" s="23">
        <f>IFERROR(INDEX(Population_by_Province_Year!$B$5:$J$29,MATCH($A1419,Population_by_Province_Year!$A$5:$A$29,0),MATCH($B1419,Population_by_Province_Year!$B$4:$J$4,0)),"")</f>
        <v>577507</v>
      </c>
      <c r="H1419" s="22">
        <f>IFERROR(D1419/G1419*100000,"")</f>
        <v>2.9436872626652146</v>
      </c>
    </row>
    <row r="1420" spans="1:8" ht="15" customHeight="1" x14ac:dyDescent="0.3">
      <c r="A1420" s="20" t="s">
        <v>26</v>
      </c>
      <c r="B1420" s="20">
        <v>2023</v>
      </c>
      <c r="C1420" s="20" t="s">
        <v>96</v>
      </c>
      <c r="D1420" s="20">
        <v>33</v>
      </c>
      <c r="E1420" s="20">
        <v>0</v>
      </c>
      <c r="F1420" s="22">
        <f>IFERROR(E1420/D1420*100,"")</f>
        <v>0</v>
      </c>
      <c r="G1420" s="23">
        <f>IFERROR(INDEX(Population_by_Province_Year!$B$5:$J$29,MATCH($A1420,Population_by_Province_Year!$A$5:$A$29,0),MATCH($B1420,Population_by_Province_Year!$B$4:$J$4,0)),"")</f>
        <v>990080</v>
      </c>
      <c r="H1420" s="22">
        <f>IFERROR(D1420/G1420*100000,"")</f>
        <v>3.3330639948287004</v>
      </c>
    </row>
    <row r="1421" spans="1:8" ht="15" customHeight="1" x14ac:dyDescent="0.3">
      <c r="A1421" s="20" t="s">
        <v>27</v>
      </c>
      <c r="B1421" s="20">
        <v>2023</v>
      </c>
      <c r="C1421" s="20" t="s">
        <v>96</v>
      </c>
      <c r="D1421" s="20">
        <v>36</v>
      </c>
      <c r="E1421" s="20">
        <v>0</v>
      </c>
      <c r="F1421" s="22">
        <f>IFERROR(E1421/D1421*100,"")</f>
        <v>0</v>
      </c>
      <c r="G1421" s="23">
        <f>IFERROR(INDEX(Population_by_Province_Year!$B$5:$J$29,MATCH($A1421,Population_by_Province_Year!$A$5:$A$29,0),MATCH($B1421,Population_by_Province_Year!$B$4:$J$4,0)),"")</f>
        <v>853727</v>
      </c>
      <c r="H1421" s="22">
        <f>IFERROR(D1421/G1421*100000,"")</f>
        <v>4.2168046694083703</v>
      </c>
    </row>
    <row r="1422" spans="1:8" ht="15" customHeight="1" x14ac:dyDescent="0.3">
      <c r="A1422" s="20" t="s">
        <v>3</v>
      </c>
      <c r="B1422" s="20">
        <v>2023</v>
      </c>
      <c r="C1422" s="20" t="s">
        <v>104</v>
      </c>
      <c r="D1422" s="20">
        <v>121</v>
      </c>
      <c r="E1422" s="20">
        <v>0</v>
      </c>
      <c r="F1422" s="22">
        <f>IFERROR(E1422/D1422*100,"")</f>
        <v>0</v>
      </c>
      <c r="G1422" s="23">
        <f>IFERROR(INDEX(Population_by_Province_Year!$B$5:$J$29,MATCH($A1422,Population_by_Province_Year!$A$5:$A$29,0),MATCH($B1422,Population_by_Province_Year!$B$4:$J$4,0)),"")</f>
        <v>947186</v>
      </c>
      <c r="H1422" s="22">
        <f>IFERROR(D1422/G1422*100000,"")</f>
        <v>12.774682058222988</v>
      </c>
    </row>
    <row r="1423" spans="1:8" ht="15" customHeight="1" x14ac:dyDescent="0.3">
      <c r="A1423" s="20" t="s">
        <v>4</v>
      </c>
      <c r="B1423" s="20">
        <v>2023</v>
      </c>
      <c r="C1423" s="20" t="s">
        <v>104</v>
      </c>
      <c r="D1423" s="20">
        <v>43</v>
      </c>
      <c r="E1423" s="20">
        <v>0</v>
      </c>
      <c r="F1423" s="22">
        <f>IFERROR(E1423/D1423*100,"")</f>
        <v>0</v>
      </c>
      <c r="G1423" s="23">
        <f>IFERROR(INDEX(Population_by_Province_Year!$B$5:$J$29,MATCH($A1423,Population_by_Province_Year!$A$5:$A$29,0),MATCH($B1423,Population_by_Province_Year!$B$4:$J$4,0)),"")</f>
        <v>1095862</v>
      </c>
      <c r="H1423" s="22">
        <f>IFERROR(D1423/G1423*100000,"")</f>
        <v>3.9238517258559931</v>
      </c>
    </row>
    <row r="1424" spans="1:8" ht="15" customHeight="1" x14ac:dyDescent="0.3">
      <c r="A1424" s="20" t="s">
        <v>5</v>
      </c>
      <c r="B1424" s="20">
        <v>2023</v>
      </c>
      <c r="C1424" s="20" t="s">
        <v>104</v>
      </c>
      <c r="D1424" s="20">
        <v>83</v>
      </c>
      <c r="E1424" s="20">
        <v>0</v>
      </c>
      <c r="F1424" s="22">
        <f>IFERROR(E1424/D1424*100,"")</f>
        <v>0</v>
      </c>
      <c r="G1424" s="23">
        <f>IFERROR(INDEX(Population_by_Province_Year!$B$5:$J$29,MATCH($A1424,Population_by_Province_Year!$A$5:$A$29,0),MATCH($B1424,Population_by_Province_Year!$B$4:$J$4,0)),"")</f>
        <v>988846</v>
      </c>
      <c r="H1424" s="22">
        <f>IFERROR(D1424/G1424*100000,"")</f>
        <v>8.3936224649743227</v>
      </c>
    </row>
    <row r="1425" spans="1:8" ht="15" customHeight="1" x14ac:dyDescent="0.3">
      <c r="A1425" s="20" t="s">
        <v>6</v>
      </c>
      <c r="B1425" s="20">
        <v>2023</v>
      </c>
      <c r="C1425" s="20" t="s">
        <v>104</v>
      </c>
      <c r="D1425" s="20">
        <v>18</v>
      </c>
      <c r="E1425" s="20">
        <v>0</v>
      </c>
      <c r="F1425" s="22">
        <f>IFERROR(E1425/D1425*100,"")</f>
        <v>0</v>
      </c>
      <c r="G1425" s="23">
        <f>IFERROR(INDEX(Population_by_Province_Year!$B$5:$J$29,MATCH($A1425,Population_by_Province_Year!$A$5:$A$29,0),MATCH($B1425,Population_by_Province_Year!$B$4:$J$4,0)),"")</f>
        <v>579189</v>
      </c>
      <c r="H1425" s="22">
        <f>IFERROR(D1425/G1425*100000,"")</f>
        <v>3.1077938289573872</v>
      </c>
    </row>
    <row r="1426" spans="1:8" ht="15" customHeight="1" x14ac:dyDescent="0.3">
      <c r="A1426" s="20" t="s">
        <v>7</v>
      </c>
      <c r="B1426" s="20">
        <v>2023</v>
      </c>
      <c r="C1426" s="20" t="s">
        <v>104</v>
      </c>
      <c r="D1426" s="20">
        <v>60</v>
      </c>
      <c r="E1426" s="20">
        <v>0</v>
      </c>
      <c r="F1426" s="22">
        <f>IFERROR(E1426/D1426*100,"")</f>
        <v>0</v>
      </c>
      <c r="G1426" s="23">
        <f>IFERROR(INDEX(Population_by_Province_Year!$B$5:$J$29,MATCH($A1426,Population_by_Province_Year!$A$5:$A$29,0),MATCH($B1426,Population_by_Province_Year!$B$4:$J$4,0)),"")</f>
        <v>964374</v>
      </c>
      <c r="H1426" s="22">
        <f>IFERROR(D1426/G1426*100000,"")</f>
        <v>6.2216525953623796</v>
      </c>
    </row>
    <row r="1427" spans="1:8" ht="15" customHeight="1" x14ac:dyDescent="0.3">
      <c r="A1427" s="20" t="s">
        <v>8</v>
      </c>
      <c r="B1427" s="20">
        <v>2023</v>
      </c>
      <c r="C1427" s="20" t="s">
        <v>104</v>
      </c>
      <c r="D1427" s="20">
        <v>51</v>
      </c>
      <c r="E1427" s="20">
        <v>0</v>
      </c>
      <c r="F1427" s="22">
        <f>IFERROR(E1427/D1427*100,"")</f>
        <v>0</v>
      </c>
      <c r="G1427" s="23">
        <f>IFERROR(INDEX(Population_by_Province_Year!$B$5:$J$29,MATCH($A1427,Population_by_Province_Year!$A$5:$A$29,0),MATCH($B1427,Population_by_Province_Year!$B$4:$J$4,0)),"")</f>
        <v>749004</v>
      </c>
      <c r="H1427" s="22">
        <f>IFERROR(D1427/G1427*100000,"")</f>
        <v>6.8090424083182466</v>
      </c>
    </row>
    <row r="1428" spans="1:8" ht="15" customHeight="1" x14ac:dyDescent="0.3">
      <c r="A1428" s="20" t="s">
        <v>9</v>
      </c>
      <c r="B1428" s="20">
        <v>2023</v>
      </c>
      <c r="C1428" s="20" t="s">
        <v>104</v>
      </c>
      <c r="D1428" s="20">
        <v>14</v>
      </c>
      <c r="E1428" s="20">
        <v>0</v>
      </c>
      <c r="F1428" s="22">
        <f>IFERROR(E1428/D1428*100,"")</f>
        <v>0</v>
      </c>
      <c r="G1428" s="23">
        <f>IFERROR(INDEX(Population_by_Province_Year!$B$5:$J$29,MATCH($A1428,Population_by_Province_Year!$A$5:$A$29,0),MATCH($B1428,Population_by_Province_Year!$B$4:$J$4,0)),"")</f>
        <v>652602</v>
      </c>
      <c r="H1428" s="22">
        <f>IFERROR(D1428/G1428*100000,"")</f>
        <v>2.1452585189748117</v>
      </c>
    </row>
    <row r="1429" spans="1:8" ht="15" customHeight="1" x14ac:dyDescent="0.3">
      <c r="A1429" s="20" t="s">
        <v>10</v>
      </c>
      <c r="B1429" s="20">
        <v>2023</v>
      </c>
      <c r="C1429" s="20" t="s">
        <v>104</v>
      </c>
      <c r="D1429" s="20">
        <v>176</v>
      </c>
      <c r="E1429" s="20">
        <v>1</v>
      </c>
      <c r="F1429" s="22">
        <f>IFERROR(E1429/D1429*100,"")</f>
        <v>0.56818181818181823</v>
      </c>
      <c r="G1429" s="23">
        <f>IFERROR(INDEX(Population_by_Province_Year!$B$5:$J$29,MATCH($A1429,Population_by_Province_Year!$A$5:$A$29,0),MATCH($B1429,Population_by_Province_Year!$B$4:$J$4,0)),"")</f>
        <v>1320505</v>
      </c>
      <c r="H1429" s="22">
        <f>IFERROR(D1429/G1429*100000,"")</f>
        <v>13.328234274008807</v>
      </c>
    </row>
    <row r="1430" spans="1:8" ht="15" customHeight="1" x14ac:dyDescent="0.3">
      <c r="A1430" s="20" t="s">
        <v>12</v>
      </c>
      <c r="B1430" s="20">
        <v>2023</v>
      </c>
      <c r="C1430" s="20" t="s">
        <v>104</v>
      </c>
      <c r="D1430" s="20">
        <v>1</v>
      </c>
      <c r="E1430" s="20">
        <v>0</v>
      </c>
      <c r="F1430" s="22">
        <f>IFERROR(E1430/D1430*100,"")</f>
        <v>0</v>
      </c>
      <c r="G1430" s="23">
        <f>IFERROR(INDEX(Population_by_Province_Year!$B$5:$J$29,MATCH($A1430,Population_by_Province_Year!$A$5:$A$29,0),MATCH($B1430,Population_by_Province_Year!$B$4:$J$4,0)),"")</f>
        <v>138363</v>
      </c>
      <c r="H1430" s="22">
        <f>IFERROR(D1430/G1430*100000,"")</f>
        <v>0.72273656974769274</v>
      </c>
    </row>
    <row r="1431" spans="1:8" ht="15" customHeight="1" x14ac:dyDescent="0.3">
      <c r="A1431" s="20" t="s">
        <v>13</v>
      </c>
      <c r="B1431" s="20">
        <v>2023</v>
      </c>
      <c r="C1431" s="20" t="s">
        <v>104</v>
      </c>
      <c r="D1431" s="20">
        <v>22</v>
      </c>
      <c r="E1431" s="20">
        <v>0</v>
      </c>
      <c r="F1431" s="22">
        <f>IFERROR(E1431/D1431*100,"")</f>
        <v>0</v>
      </c>
      <c r="G1431" s="23">
        <f>IFERROR(INDEX(Population_by_Province_Year!$B$5:$J$29,MATCH($A1431,Population_by_Province_Year!$A$5:$A$29,0),MATCH($B1431,Population_by_Province_Year!$B$4:$J$4,0)),"")</f>
        <v>411846</v>
      </c>
      <c r="H1431" s="22">
        <f>IFERROR(D1431/G1431*100000,"")</f>
        <v>5.3418025184170785</v>
      </c>
    </row>
    <row r="1432" spans="1:8" ht="15" customHeight="1" x14ac:dyDescent="0.3">
      <c r="A1432" s="20" t="s">
        <v>14</v>
      </c>
      <c r="B1432" s="20">
        <v>2023</v>
      </c>
      <c r="C1432" s="20" t="s">
        <v>104</v>
      </c>
      <c r="D1432" s="20">
        <v>8</v>
      </c>
      <c r="E1432" s="20">
        <v>0</v>
      </c>
      <c r="F1432" s="22">
        <f>IFERROR(E1432/D1432*100,"")</f>
        <v>0</v>
      </c>
      <c r="G1432" s="23">
        <f>IFERROR(INDEX(Population_by_Province_Year!$B$5:$J$29,MATCH($A1432,Population_by_Province_Year!$A$5:$A$29,0),MATCH($B1432,Population_by_Province_Year!$B$4:$J$4,0)),"")</f>
        <v>101340</v>
      </c>
      <c r="H1432" s="22">
        <f>IFERROR(D1432/G1432*100000,"")</f>
        <v>7.8942174856917307</v>
      </c>
    </row>
    <row r="1433" spans="1:8" ht="15" customHeight="1" x14ac:dyDescent="0.3">
      <c r="A1433" s="20" t="s">
        <v>15</v>
      </c>
      <c r="B1433" s="20">
        <v>2023</v>
      </c>
      <c r="C1433" s="20" t="s">
        <v>104</v>
      </c>
      <c r="D1433" s="20">
        <v>6</v>
      </c>
      <c r="E1433" s="20">
        <v>0</v>
      </c>
      <c r="F1433" s="22">
        <f>IFERROR(E1433/D1433*100,"")</f>
        <v>0</v>
      </c>
      <c r="G1433" s="23">
        <f>IFERROR(INDEX(Population_by_Province_Year!$B$5:$J$29,MATCH($A1433,Population_by_Province_Year!$A$5:$A$29,0),MATCH($B1433,Population_by_Province_Year!$B$4:$J$4,0)),"")</f>
        <v>303358</v>
      </c>
      <c r="H1433" s="22">
        <f>IFERROR(D1433/G1433*100000,"")</f>
        <v>1.9778611409621634</v>
      </c>
    </row>
    <row r="1434" spans="1:8" ht="15" customHeight="1" x14ac:dyDescent="0.3">
      <c r="A1434" s="20" t="s">
        <v>16</v>
      </c>
      <c r="B1434" s="20">
        <v>2023</v>
      </c>
      <c r="C1434" s="20" t="s">
        <v>104</v>
      </c>
      <c r="D1434" s="20">
        <v>5</v>
      </c>
      <c r="E1434" s="20">
        <v>0</v>
      </c>
      <c r="F1434" s="22">
        <f>IFERROR(E1434/D1434*100,"")</f>
        <v>0</v>
      </c>
      <c r="G1434" s="23">
        <f>IFERROR(INDEX(Population_by_Province_Year!$B$5:$J$29,MATCH($A1434,Population_by_Province_Year!$A$5:$A$29,0),MATCH($B1434,Population_by_Province_Year!$B$4:$J$4,0)),"")</f>
        <v>82546</v>
      </c>
      <c r="H1434" s="22">
        <f>IFERROR(D1434/G1434*100000,"")</f>
        <v>6.057228696726674</v>
      </c>
    </row>
    <row r="1435" spans="1:8" ht="15" customHeight="1" x14ac:dyDescent="0.3">
      <c r="A1435" s="20" t="s">
        <v>17</v>
      </c>
      <c r="B1435" s="20">
        <v>2023</v>
      </c>
      <c r="C1435" s="20" t="s">
        <v>104</v>
      </c>
      <c r="D1435" s="20">
        <v>219</v>
      </c>
      <c r="E1435" s="20">
        <v>0</v>
      </c>
      <c r="F1435" s="22">
        <f>IFERROR(E1435/D1435*100,"")</f>
        <v>0</v>
      </c>
      <c r="G1435" s="23">
        <f>IFERROR(INDEX(Population_by_Province_Year!$B$5:$J$29,MATCH($A1435,Population_by_Province_Year!$A$5:$A$29,0),MATCH($B1435,Population_by_Province_Year!$B$4:$J$4,0)),"")</f>
        <v>2507803</v>
      </c>
      <c r="H1435" s="22">
        <f>IFERROR(D1435/G1435*100000,"")</f>
        <v>8.7327433614203347</v>
      </c>
    </row>
    <row r="1436" spans="1:8" ht="15" customHeight="1" x14ac:dyDescent="0.3">
      <c r="A1436" s="20" t="s">
        <v>18</v>
      </c>
      <c r="B1436" s="20">
        <v>2023</v>
      </c>
      <c r="C1436" s="20" t="s">
        <v>104</v>
      </c>
      <c r="D1436" s="20">
        <v>18</v>
      </c>
      <c r="E1436" s="20">
        <v>0</v>
      </c>
      <c r="F1436" s="22">
        <f>IFERROR(E1436/D1436*100,"")</f>
        <v>0</v>
      </c>
      <c r="G1436" s="23">
        <f>IFERROR(INDEX(Population_by_Province_Year!$B$5:$J$29,MATCH($A1436,Population_by_Province_Year!$A$5:$A$29,0),MATCH($B1436,Population_by_Province_Year!$B$4:$J$4,0)),"")</f>
        <v>340761</v>
      </c>
      <c r="H1436" s="22">
        <f>IFERROR(D1436/G1436*100000,"")</f>
        <v>5.2822946287867456</v>
      </c>
    </row>
    <row r="1437" spans="1:8" ht="15" customHeight="1" x14ac:dyDescent="0.3">
      <c r="A1437" s="20" t="s">
        <v>19</v>
      </c>
      <c r="B1437" s="20">
        <v>2023</v>
      </c>
      <c r="C1437" s="20" t="s">
        <v>104</v>
      </c>
      <c r="D1437" s="20">
        <v>93</v>
      </c>
      <c r="E1437" s="20">
        <v>0</v>
      </c>
      <c r="F1437" s="22">
        <f>IFERROR(E1437/D1437*100,"")</f>
        <v>0</v>
      </c>
      <c r="G1437" s="23">
        <f>IFERROR(INDEX(Population_by_Province_Year!$B$5:$J$29,MATCH($A1437,Population_by_Province_Year!$A$5:$A$29,0),MATCH($B1437,Population_by_Province_Year!$B$4:$J$4,0)),"")</f>
        <v>280048</v>
      </c>
      <c r="H1437" s="22">
        <f>IFERROR(D1437/G1437*100000,"")</f>
        <v>33.208592812660683</v>
      </c>
    </row>
    <row r="1438" spans="1:8" ht="15" customHeight="1" x14ac:dyDescent="0.3">
      <c r="A1438" s="20" t="s">
        <v>20</v>
      </c>
      <c r="B1438" s="20">
        <v>2023</v>
      </c>
      <c r="C1438" s="20" t="s">
        <v>104</v>
      </c>
      <c r="D1438" s="20">
        <v>46</v>
      </c>
      <c r="E1438" s="20">
        <v>0</v>
      </c>
      <c r="F1438" s="22">
        <f>IFERROR(E1438/D1438*100,"")</f>
        <v>0</v>
      </c>
      <c r="G1438" s="23">
        <f>IFERROR(INDEX(Population_by_Province_Year!$B$5:$J$29,MATCH($A1438,Population_by_Province_Year!$A$5:$A$29,0),MATCH($B1438,Population_by_Province_Year!$B$4:$J$4,0)),"")</f>
        <v>1162406</v>
      </c>
      <c r="H1438" s="22">
        <f>IFERROR(D1438/G1438*100000,"")</f>
        <v>3.9573092361877005</v>
      </c>
    </row>
    <row r="1439" spans="1:8" ht="15" customHeight="1" x14ac:dyDescent="0.3">
      <c r="A1439" s="20" t="s">
        <v>21</v>
      </c>
      <c r="B1439" s="20">
        <v>2023</v>
      </c>
      <c r="C1439" s="20" t="s">
        <v>104</v>
      </c>
      <c r="D1439" s="20">
        <v>3</v>
      </c>
      <c r="E1439" s="20">
        <v>0</v>
      </c>
      <c r="F1439" s="22">
        <f>IFERROR(E1439/D1439*100,"")</f>
        <v>0</v>
      </c>
      <c r="G1439" s="23">
        <f>IFERROR(INDEX(Population_by_Province_Year!$B$5:$J$29,MATCH($A1439,Population_by_Province_Year!$A$5:$A$29,0),MATCH($B1439,Population_by_Province_Year!$B$4:$J$4,0)),"")</f>
        <v>454816</v>
      </c>
      <c r="H1439" s="22">
        <f>IFERROR(D1439/G1439*100000,"")</f>
        <v>0.65960740167452336</v>
      </c>
    </row>
    <row r="1440" spans="1:8" ht="15" customHeight="1" x14ac:dyDescent="0.3">
      <c r="A1440" s="20" t="s">
        <v>23</v>
      </c>
      <c r="B1440" s="20">
        <v>2023</v>
      </c>
      <c r="C1440" s="20" t="s">
        <v>104</v>
      </c>
      <c r="D1440" s="20">
        <v>139</v>
      </c>
      <c r="E1440" s="20">
        <v>0</v>
      </c>
      <c r="F1440" s="22">
        <f>IFERROR(E1440/D1440*100,"")</f>
        <v>0</v>
      </c>
      <c r="G1440" s="23">
        <f>IFERROR(INDEX(Population_by_Province_Year!$B$5:$J$29,MATCH($A1440,Population_by_Province_Year!$A$5:$A$29,0),MATCH($B1440,Population_by_Province_Year!$B$4:$J$4,0)),"")</f>
        <v>1114616</v>
      </c>
      <c r="H1440" s="22">
        <f>IFERROR(D1440/G1440*100000,"")</f>
        <v>12.470662542077271</v>
      </c>
    </row>
    <row r="1441" spans="1:8" ht="15" customHeight="1" x14ac:dyDescent="0.3">
      <c r="A1441" s="20" t="s">
        <v>24</v>
      </c>
      <c r="B1441" s="20">
        <v>2023</v>
      </c>
      <c r="C1441" s="20" t="s">
        <v>104</v>
      </c>
      <c r="D1441" s="20">
        <v>6</v>
      </c>
      <c r="E1441" s="20">
        <v>0</v>
      </c>
      <c r="F1441" s="22">
        <f>IFERROR(E1441/D1441*100,"")</f>
        <v>0</v>
      </c>
      <c r="G1441" s="23">
        <f>IFERROR(INDEX(Population_by_Province_Year!$B$5:$J$29,MATCH($A1441,Population_by_Province_Year!$A$5:$A$29,0),MATCH($B1441,Population_by_Province_Year!$B$4:$J$4,0)),"")</f>
        <v>182114</v>
      </c>
      <c r="H1441" s="22">
        <f>IFERROR(D1441/G1441*100000,"")</f>
        <v>3.2946396213360858</v>
      </c>
    </row>
    <row r="1442" spans="1:8" ht="15" customHeight="1" x14ac:dyDescent="0.3">
      <c r="A1442" s="20" t="s">
        <v>25</v>
      </c>
      <c r="B1442" s="20">
        <v>2023</v>
      </c>
      <c r="C1442" s="20" t="s">
        <v>104</v>
      </c>
      <c r="D1442" s="20">
        <v>21</v>
      </c>
      <c r="E1442" s="20">
        <v>0</v>
      </c>
      <c r="F1442" s="22">
        <f>IFERROR(E1442/D1442*100,"")</f>
        <v>0</v>
      </c>
      <c r="G1442" s="23">
        <f>IFERROR(INDEX(Population_by_Province_Year!$B$5:$J$29,MATCH($A1442,Population_by_Province_Year!$A$5:$A$29,0),MATCH($B1442,Population_by_Province_Year!$B$4:$J$4,0)),"")</f>
        <v>577507</v>
      </c>
      <c r="H1442" s="22">
        <f>IFERROR(D1442/G1442*100000,"")</f>
        <v>3.6363195597629123</v>
      </c>
    </row>
    <row r="1443" spans="1:8" ht="15" customHeight="1" x14ac:dyDescent="0.3">
      <c r="A1443" s="20" t="s">
        <v>26</v>
      </c>
      <c r="B1443" s="20">
        <v>2023</v>
      </c>
      <c r="C1443" s="20" t="s">
        <v>104</v>
      </c>
      <c r="D1443" s="20">
        <v>86</v>
      </c>
      <c r="E1443" s="20">
        <v>0</v>
      </c>
      <c r="F1443" s="22">
        <f>IFERROR(E1443/D1443*100,"")</f>
        <v>0</v>
      </c>
      <c r="G1443" s="23">
        <f>IFERROR(INDEX(Population_by_Province_Year!$B$5:$J$29,MATCH($A1443,Population_by_Province_Year!$A$5:$A$29,0),MATCH($B1443,Population_by_Province_Year!$B$4:$J$4,0)),"")</f>
        <v>990080</v>
      </c>
      <c r="H1443" s="22">
        <f>IFERROR(D1443/G1443*100000,"")</f>
        <v>8.6861667744020696</v>
      </c>
    </row>
    <row r="1444" spans="1:8" ht="15" customHeight="1" x14ac:dyDescent="0.3">
      <c r="A1444" s="20" t="s">
        <v>27</v>
      </c>
      <c r="B1444" s="20">
        <v>2023</v>
      </c>
      <c r="C1444" s="20" t="s">
        <v>104</v>
      </c>
      <c r="D1444" s="20">
        <v>111</v>
      </c>
      <c r="E1444" s="20">
        <v>0</v>
      </c>
      <c r="F1444" s="22">
        <f>IFERROR(E1444/D1444*100,"")</f>
        <v>0</v>
      </c>
      <c r="G1444" s="23">
        <f>IFERROR(INDEX(Population_by_Province_Year!$B$5:$J$29,MATCH($A1444,Population_by_Province_Year!$A$5:$A$29,0),MATCH($B1444,Population_by_Province_Year!$B$4:$J$4,0)),"")</f>
        <v>853727</v>
      </c>
      <c r="H1444" s="22">
        <f>IFERROR(D1444/G1444*100000,"")</f>
        <v>13.001814397342477</v>
      </c>
    </row>
    <row r="1445" spans="1:8" ht="15" customHeight="1" x14ac:dyDescent="0.3">
      <c r="A1445" s="20" t="s">
        <v>3</v>
      </c>
      <c r="B1445" s="20">
        <v>2023</v>
      </c>
      <c r="C1445" s="20" t="s">
        <v>102</v>
      </c>
      <c r="D1445" s="20">
        <v>325</v>
      </c>
      <c r="E1445" s="20">
        <v>1</v>
      </c>
      <c r="F1445" s="22">
        <f>IFERROR(E1445/D1445*100,"")</f>
        <v>0.30769230769230771</v>
      </c>
      <c r="G1445" s="23">
        <f>IFERROR(INDEX(Population_by_Province_Year!$B$5:$J$29,MATCH($A1445,Population_by_Province_Year!$A$5:$A$29,0),MATCH($B1445,Population_by_Province_Year!$B$4:$J$4,0)),"")</f>
        <v>947186</v>
      </c>
      <c r="H1445" s="22">
        <f>IFERROR(D1445/G1445*100000,"")</f>
        <v>34.312162553078274</v>
      </c>
    </row>
    <row r="1446" spans="1:8" ht="15" customHeight="1" x14ac:dyDescent="0.3">
      <c r="A1446" s="20" t="s">
        <v>4</v>
      </c>
      <c r="B1446" s="20">
        <v>2023</v>
      </c>
      <c r="C1446" s="20" t="s">
        <v>102</v>
      </c>
      <c r="D1446" s="20">
        <v>114</v>
      </c>
      <c r="E1446" s="20">
        <v>0</v>
      </c>
      <c r="F1446" s="22">
        <f>IFERROR(E1446/D1446*100,"")</f>
        <v>0</v>
      </c>
      <c r="G1446" s="23">
        <f>IFERROR(INDEX(Population_by_Province_Year!$B$5:$J$29,MATCH($A1446,Population_by_Province_Year!$A$5:$A$29,0),MATCH($B1446,Population_by_Province_Year!$B$4:$J$4,0)),"")</f>
        <v>1095862</v>
      </c>
      <c r="H1446" s="22">
        <f>IFERROR(D1446/G1446*100000,"")</f>
        <v>10.402769691804259</v>
      </c>
    </row>
    <row r="1447" spans="1:8" ht="15" customHeight="1" x14ac:dyDescent="0.3">
      <c r="A1447" s="20" t="s">
        <v>5</v>
      </c>
      <c r="B1447" s="20">
        <v>2023</v>
      </c>
      <c r="C1447" s="20" t="s">
        <v>102</v>
      </c>
      <c r="D1447" s="20">
        <v>137</v>
      </c>
      <c r="E1447" s="20">
        <v>1</v>
      </c>
      <c r="F1447" s="22">
        <f>IFERROR(E1447/D1447*100,"")</f>
        <v>0.72992700729927007</v>
      </c>
      <c r="G1447" s="23">
        <f>IFERROR(INDEX(Population_by_Province_Year!$B$5:$J$29,MATCH($A1447,Population_by_Province_Year!$A$5:$A$29,0),MATCH($B1447,Population_by_Province_Year!$B$4:$J$4,0)),"")</f>
        <v>988846</v>
      </c>
      <c r="H1447" s="22">
        <f>IFERROR(D1447/G1447*100000,"")</f>
        <v>13.85453346628292</v>
      </c>
    </row>
    <row r="1448" spans="1:8" ht="15" customHeight="1" x14ac:dyDescent="0.3">
      <c r="A1448" s="20" t="s">
        <v>6</v>
      </c>
      <c r="B1448" s="20">
        <v>2023</v>
      </c>
      <c r="C1448" s="20" t="s">
        <v>102</v>
      </c>
      <c r="D1448" s="20">
        <v>55</v>
      </c>
      <c r="E1448" s="20">
        <v>0</v>
      </c>
      <c r="F1448" s="22">
        <f>IFERROR(E1448/D1448*100,"")</f>
        <v>0</v>
      </c>
      <c r="G1448" s="23">
        <f>IFERROR(INDEX(Population_by_Province_Year!$B$5:$J$29,MATCH($A1448,Population_by_Province_Year!$A$5:$A$29,0),MATCH($B1448,Population_by_Province_Year!$B$4:$J$4,0)),"")</f>
        <v>579189</v>
      </c>
      <c r="H1448" s="22">
        <f>IFERROR(D1448/G1448*100000,"")</f>
        <v>9.4960366995920165</v>
      </c>
    </row>
    <row r="1449" spans="1:8" ht="15" customHeight="1" x14ac:dyDescent="0.3">
      <c r="A1449" s="20" t="s">
        <v>7</v>
      </c>
      <c r="B1449" s="20">
        <v>2023</v>
      </c>
      <c r="C1449" s="20" t="s">
        <v>102</v>
      </c>
      <c r="D1449" s="20">
        <v>155</v>
      </c>
      <c r="E1449" s="20">
        <v>1</v>
      </c>
      <c r="F1449" s="22">
        <f>IFERROR(E1449/D1449*100,"")</f>
        <v>0.64516129032258063</v>
      </c>
      <c r="G1449" s="23">
        <f>IFERROR(INDEX(Population_by_Province_Year!$B$5:$J$29,MATCH($A1449,Population_by_Province_Year!$A$5:$A$29,0),MATCH($B1449,Population_by_Province_Year!$B$4:$J$4,0)),"")</f>
        <v>964374</v>
      </c>
      <c r="H1449" s="22">
        <f>IFERROR(D1449/G1449*100000,"")</f>
        <v>16.072602538019485</v>
      </c>
    </row>
    <row r="1450" spans="1:8" ht="15" customHeight="1" x14ac:dyDescent="0.3">
      <c r="A1450" s="20" t="s">
        <v>8</v>
      </c>
      <c r="B1450" s="20">
        <v>2023</v>
      </c>
      <c r="C1450" s="20" t="s">
        <v>102</v>
      </c>
      <c r="D1450" s="20">
        <v>204</v>
      </c>
      <c r="E1450" s="20">
        <v>0</v>
      </c>
      <c r="F1450" s="22">
        <f>IFERROR(E1450/D1450*100,"")</f>
        <v>0</v>
      </c>
      <c r="G1450" s="23">
        <f>IFERROR(INDEX(Population_by_Province_Year!$B$5:$J$29,MATCH($A1450,Population_by_Province_Year!$A$5:$A$29,0),MATCH($B1450,Population_by_Province_Year!$B$4:$J$4,0)),"")</f>
        <v>749004</v>
      </c>
      <c r="H1450" s="22">
        <f>IFERROR(D1450/G1450*100000,"")</f>
        <v>27.236169633272986</v>
      </c>
    </row>
    <row r="1451" spans="1:8" ht="15" customHeight="1" x14ac:dyDescent="0.3">
      <c r="A1451" s="20" t="s">
        <v>9</v>
      </c>
      <c r="B1451" s="20">
        <v>2023</v>
      </c>
      <c r="C1451" s="20" t="s">
        <v>102</v>
      </c>
      <c r="D1451" s="20">
        <v>45</v>
      </c>
      <c r="E1451" s="20">
        <v>0</v>
      </c>
      <c r="F1451" s="22">
        <f>IFERROR(E1451/D1451*100,"")</f>
        <v>0</v>
      </c>
      <c r="G1451" s="23">
        <f>IFERROR(INDEX(Population_by_Province_Year!$B$5:$J$29,MATCH($A1451,Population_by_Province_Year!$A$5:$A$29,0),MATCH($B1451,Population_by_Province_Year!$B$4:$J$4,0)),"")</f>
        <v>652602</v>
      </c>
      <c r="H1451" s="22">
        <f>IFERROR(D1451/G1451*100000,"")</f>
        <v>6.8954738109904659</v>
      </c>
    </row>
    <row r="1452" spans="1:8" ht="15" customHeight="1" x14ac:dyDescent="0.3">
      <c r="A1452" s="20" t="s">
        <v>10</v>
      </c>
      <c r="B1452" s="20">
        <v>2023</v>
      </c>
      <c r="C1452" s="20" t="s">
        <v>102</v>
      </c>
      <c r="D1452" s="20">
        <v>409</v>
      </c>
      <c r="E1452" s="20">
        <v>1</v>
      </c>
      <c r="F1452" s="22">
        <f>IFERROR(E1452/D1452*100,"")</f>
        <v>0.24449877750611246</v>
      </c>
      <c r="G1452" s="23">
        <f>IFERROR(INDEX(Population_by_Province_Year!$B$5:$J$29,MATCH($A1452,Population_by_Province_Year!$A$5:$A$29,0),MATCH($B1452,Population_by_Province_Year!$B$4:$J$4,0)),"")</f>
        <v>1320505</v>
      </c>
      <c r="H1452" s="22">
        <f>IFERROR(D1452/G1452*100000,"")</f>
        <v>30.972998966304559</v>
      </c>
    </row>
    <row r="1453" spans="1:8" ht="15" customHeight="1" x14ac:dyDescent="0.3">
      <c r="A1453" s="20" t="s">
        <v>12</v>
      </c>
      <c r="B1453" s="20">
        <v>2023</v>
      </c>
      <c r="C1453" s="20" t="s">
        <v>102</v>
      </c>
      <c r="D1453" s="20">
        <v>11</v>
      </c>
      <c r="E1453" s="20">
        <v>0</v>
      </c>
      <c r="F1453" s="22">
        <f>IFERROR(E1453/D1453*100,"")</f>
        <v>0</v>
      </c>
      <c r="G1453" s="23">
        <f>IFERROR(INDEX(Population_by_Province_Year!$B$5:$J$29,MATCH($A1453,Population_by_Province_Year!$A$5:$A$29,0),MATCH($B1453,Population_by_Province_Year!$B$4:$J$4,0)),"")</f>
        <v>138363</v>
      </c>
      <c r="H1453" s="22">
        <f>IFERROR(D1453/G1453*100000,"")</f>
        <v>7.9501022672246195</v>
      </c>
    </row>
    <row r="1454" spans="1:8" ht="15" customHeight="1" x14ac:dyDescent="0.3">
      <c r="A1454" s="20" t="s">
        <v>13</v>
      </c>
      <c r="B1454" s="20">
        <v>2023</v>
      </c>
      <c r="C1454" s="20" t="s">
        <v>102</v>
      </c>
      <c r="D1454" s="20">
        <v>88</v>
      </c>
      <c r="E1454" s="20">
        <v>1</v>
      </c>
      <c r="F1454" s="22">
        <f>IFERROR(E1454/D1454*100,"")</f>
        <v>1.1363636363636365</v>
      </c>
      <c r="G1454" s="23">
        <f>IFERROR(INDEX(Population_by_Province_Year!$B$5:$J$29,MATCH($A1454,Population_by_Province_Year!$A$5:$A$29,0),MATCH($B1454,Population_by_Province_Year!$B$4:$J$4,0)),"")</f>
        <v>411846</v>
      </c>
      <c r="H1454" s="22">
        <f>IFERROR(D1454/G1454*100000,"")</f>
        <v>21.367210073668314</v>
      </c>
    </row>
    <row r="1455" spans="1:8" ht="15" customHeight="1" x14ac:dyDescent="0.3">
      <c r="A1455" s="20" t="s">
        <v>14</v>
      </c>
      <c r="B1455" s="20">
        <v>2023</v>
      </c>
      <c r="C1455" s="20" t="s">
        <v>102</v>
      </c>
      <c r="D1455" s="20">
        <v>16</v>
      </c>
      <c r="E1455" s="20">
        <v>0</v>
      </c>
      <c r="F1455" s="22">
        <f>IFERROR(E1455/D1455*100,"")</f>
        <v>0</v>
      </c>
      <c r="G1455" s="23">
        <f>IFERROR(INDEX(Population_by_Province_Year!$B$5:$J$29,MATCH($A1455,Population_by_Province_Year!$A$5:$A$29,0),MATCH($B1455,Population_by_Province_Year!$B$4:$J$4,0)),"")</f>
        <v>101340</v>
      </c>
      <c r="H1455" s="22">
        <f>IFERROR(D1455/G1455*100000,"")</f>
        <v>15.788434971383461</v>
      </c>
    </row>
    <row r="1456" spans="1:8" ht="15" customHeight="1" x14ac:dyDescent="0.3">
      <c r="A1456" s="20" t="s">
        <v>15</v>
      </c>
      <c r="B1456" s="20">
        <v>2023</v>
      </c>
      <c r="C1456" s="20" t="s">
        <v>102</v>
      </c>
      <c r="D1456" s="20">
        <v>18</v>
      </c>
      <c r="E1456" s="20">
        <v>0</v>
      </c>
      <c r="F1456" s="22">
        <f>IFERROR(E1456/D1456*100,"")</f>
        <v>0</v>
      </c>
      <c r="G1456" s="23">
        <f>IFERROR(INDEX(Population_by_Province_Year!$B$5:$J$29,MATCH($A1456,Population_by_Province_Year!$A$5:$A$29,0),MATCH($B1456,Population_by_Province_Year!$B$4:$J$4,0)),"")</f>
        <v>303358</v>
      </c>
      <c r="H1456" s="22">
        <f>IFERROR(D1456/G1456*100000,"")</f>
        <v>5.9335834228864899</v>
      </c>
    </row>
    <row r="1457" spans="1:8" ht="15" customHeight="1" x14ac:dyDescent="0.3">
      <c r="A1457" s="20" t="s">
        <v>16</v>
      </c>
      <c r="B1457" s="20">
        <v>2023</v>
      </c>
      <c r="C1457" s="20" t="s">
        <v>102</v>
      </c>
      <c r="D1457" s="20">
        <v>16</v>
      </c>
      <c r="E1457" s="20">
        <v>0</v>
      </c>
      <c r="F1457" s="22">
        <f>IFERROR(E1457/D1457*100,"")</f>
        <v>0</v>
      </c>
      <c r="G1457" s="23">
        <f>IFERROR(INDEX(Population_by_Province_Year!$B$5:$J$29,MATCH($A1457,Population_by_Province_Year!$A$5:$A$29,0),MATCH($B1457,Population_by_Province_Year!$B$4:$J$4,0)),"")</f>
        <v>82546</v>
      </c>
      <c r="H1457" s="22">
        <f>IFERROR(D1457/G1457*100000,"")</f>
        <v>19.383131829525357</v>
      </c>
    </row>
    <row r="1458" spans="1:8" ht="15" customHeight="1" x14ac:dyDescent="0.3">
      <c r="A1458" s="20" t="s">
        <v>17</v>
      </c>
      <c r="B1458" s="20">
        <v>2023</v>
      </c>
      <c r="C1458" s="20" t="s">
        <v>102</v>
      </c>
      <c r="D1458" s="20">
        <v>403</v>
      </c>
      <c r="E1458" s="20">
        <v>0</v>
      </c>
      <c r="F1458" s="22">
        <f>IFERROR(E1458/D1458*100,"")</f>
        <v>0</v>
      </c>
      <c r="G1458" s="23">
        <f>IFERROR(INDEX(Population_by_Province_Year!$B$5:$J$29,MATCH($A1458,Population_by_Province_Year!$A$5:$A$29,0),MATCH($B1458,Population_by_Province_Year!$B$4:$J$4,0)),"")</f>
        <v>2507803</v>
      </c>
      <c r="H1458" s="22">
        <f>IFERROR(D1458/G1458*100000,"")</f>
        <v>16.069842806631939</v>
      </c>
    </row>
    <row r="1459" spans="1:8" ht="15" customHeight="1" x14ac:dyDescent="0.3">
      <c r="A1459" s="20" t="s">
        <v>18</v>
      </c>
      <c r="B1459" s="20">
        <v>2023</v>
      </c>
      <c r="C1459" s="20" t="s">
        <v>102</v>
      </c>
      <c r="D1459" s="20">
        <v>29</v>
      </c>
      <c r="E1459" s="20">
        <v>0</v>
      </c>
      <c r="F1459" s="22">
        <f>IFERROR(E1459/D1459*100,"")</f>
        <v>0</v>
      </c>
      <c r="G1459" s="23">
        <f>IFERROR(INDEX(Population_by_Province_Year!$B$5:$J$29,MATCH($A1459,Population_by_Province_Year!$A$5:$A$29,0),MATCH($B1459,Population_by_Province_Year!$B$4:$J$4,0)),"")</f>
        <v>340761</v>
      </c>
      <c r="H1459" s="22">
        <f>IFERROR(D1459/G1459*100000,"")</f>
        <v>8.5103635686008658</v>
      </c>
    </row>
    <row r="1460" spans="1:8" ht="15" customHeight="1" x14ac:dyDescent="0.3">
      <c r="A1460" s="20" t="s">
        <v>19</v>
      </c>
      <c r="B1460" s="20">
        <v>2023</v>
      </c>
      <c r="C1460" s="20" t="s">
        <v>102</v>
      </c>
      <c r="D1460" s="20">
        <v>393</v>
      </c>
      <c r="E1460" s="20">
        <v>1</v>
      </c>
      <c r="F1460" s="22">
        <f>IFERROR(E1460/D1460*100,"")</f>
        <v>0.2544529262086514</v>
      </c>
      <c r="G1460" s="23">
        <f>IFERROR(INDEX(Population_by_Province_Year!$B$5:$J$29,MATCH($A1460,Population_by_Province_Year!$A$5:$A$29,0),MATCH($B1460,Population_by_Province_Year!$B$4:$J$4,0)),"")</f>
        <v>280048</v>
      </c>
      <c r="H1460" s="22">
        <f>IFERROR(D1460/G1460*100000,"")</f>
        <v>140.3330857567274</v>
      </c>
    </row>
    <row r="1461" spans="1:8" ht="15" customHeight="1" x14ac:dyDescent="0.3">
      <c r="A1461" s="20" t="s">
        <v>20</v>
      </c>
      <c r="B1461" s="20">
        <v>2023</v>
      </c>
      <c r="C1461" s="20" t="s">
        <v>102</v>
      </c>
      <c r="D1461" s="20">
        <v>123</v>
      </c>
      <c r="E1461" s="20">
        <v>0</v>
      </c>
      <c r="F1461" s="22">
        <f>IFERROR(E1461/D1461*100,"")</f>
        <v>0</v>
      </c>
      <c r="G1461" s="23">
        <f>IFERROR(INDEX(Population_by_Province_Year!$B$5:$J$29,MATCH($A1461,Population_by_Province_Year!$A$5:$A$29,0),MATCH($B1461,Population_by_Province_Year!$B$4:$J$4,0)),"")</f>
        <v>1162406</v>
      </c>
      <c r="H1461" s="22">
        <f>IFERROR(D1461/G1461*100000,"")</f>
        <v>10.581500783719285</v>
      </c>
    </row>
    <row r="1462" spans="1:8" ht="15" customHeight="1" x14ac:dyDescent="0.3">
      <c r="A1462" s="20" t="s">
        <v>21</v>
      </c>
      <c r="B1462" s="20">
        <v>2023</v>
      </c>
      <c r="C1462" s="20" t="s">
        <v>102</v>
      </c>
      <c r="D1462" s="20">
        <v>21</v>
      </c>
      <c r="E1462" s="20">
        <v>0</v>
      </c>
      <c r="F1462" s="22">
        <f>IFERROR(E1462/D1462*100,"")</f>
        <v>0</v>
      </c>
      <c r="G1462" s="23">
        <f>IFERROR(INDEX(Population_by_Province_Year!$B$5:$J$29,MATCH($A1462,Population_by_Province_Year!$A$5:$A$29,0),MATCH($B1462,Population_by_Province_Year!$B$4:$J$4,0)),"")</f>
        <v>454816</v>
      </c>
      <c r="H1462" s="22">
        <f>IFERROR(D1462/G1462*100000,"")</f>
        <v>4.6172518117216637</v>
      </c>
    </row>
    <row r="1463" spans="1:8" ht="15" customHeight="1" x14ac:dyDescent="0.3">
      <c r="A1463" s="20" t="s">
        <v>22</v>
      </c>
      <c r="B1463" s="20">
        <v>2023</v>
      </c>
      <c r="C1463" s="20" t="s">
        <v>102</v>
      </c>
      <c r="D1463" s="20">
        <v>10</v>
      </c>
      <c r="E1463" s="20">
        <v>0</v>
      </c>
      <c r="F1463" s="22">
        <f>IFERROR(E1463/D1463*100,"")</f>
        <v>0</v>
      </c>
      <c r="G1463" s="23">
        <f>IFERROR(INDEX(Population_by_Province_Year!$B$5:$J$29,MATCH($A1463,Population_by_Province_Year!$A$5:$A$29,0),MATCH($B1463,Population_by_Province_Year!$B$4:$J$4,0)),"")</f>
        <v>238975</v>
      </c>
      <c r="H1463" s="22">
        <f>IFERROR(D1463/G1463*100000,"")</f>
        <v>4.1845381316037242</v>
      </c>
    </row>
    <row r="1464" spans="1:8" ht="15" customHeight="1" x14ac:dyDescent="0.3">
      <c r="A1464" s="20" t="s">
        <v>23</v>
      </c>
      <c r="B1464" s="20">
        <v>2023</v>
      </c>
      <c r="C1464" s="20" t="s">
        <v>102</v>
      </c>
      <c r="D1464" s="20">
        <v>556</v>
      </c>
      <c r="E1464" s="20">
        <v>2</v>
      </c>
      <c r="F1464" s="22">
        <f>IFERROR(E1464/D1464*100,"")</f>
        <v>0.35971223021582738</v>
      </c>
      <c r="G1464" s="23">
        <f>IFERROR(INDEX(Population_by_Province_Year!$B$5:$J$29,MATCH($A1464,Population_by_Province_Year!$A$5:$A$29,0),MATCH($B1464,Population_by_Province_Year!$B$4:$J$4,0)),"")</f>
        <v>1114616</v>
      </c>
      <c r="H1464" s="22">
        <f>IFERROR(D1464/G1464*100000,"")</f>
        <v>49.882650168309084</v>
      </c>
    </row>
    <row r="1465" spans="1:8" ht="15" customHeight="1" x14ac:dyDescent="0.3">
      <c r="A1465" s="20" t="s">
        <v>24</v>
      </c>
      <c r="B1465" s="20">
        <v>2023</v>
      </c>
      <c r="C1465" s="20" t="s">
        <v>102</v>
      </c>
      <c r="D1465" s="20">
        <v>6</v>
      </c>
      <c r="E1465" s="20">
        <v>0</v>
      </c>
      <c r="F1465" s="22">
        <f>IFERROR(E1465/D1465*100,"")</f>
        <v>0</v>
      </c>
      <c r="G1465" s="23">
        <f>IFERROR(INDEX(Population_by_Province_Year!$B$5:$J$29,MATCH($A1465,Population_by_Province_Year!$A$5:$A$29,0),MATCH($B1465,Population_by_Province_Year!$B$4:$J$4,0)),"")</f>
        <v>182114</v>
      </c>
      <c r="H1465" s="22">
        <f>IFERROR(D1465/G1465*100000,"")</f>
        <v>3.2946396213360858</v>
      </c>
    </row>
    <row r="1466" spans="1:8" ht="15" customHeight="1" x14ac:dyDescent="0.3">
      <c r="A1466" s="20" t="s">
        <v>25</v>
      </c>
      <c r="B1466" s="20">
        <v>2023</v>
      </c>
      <c r="C1466" s="20" t="s">
        <v>102</v>
      </c>
      <c r="D1466" s="20">
        <v>34</v>
      </c>
      <c r="E1466" s="20">
        <v>0</v>
      </c>
      <c r="F1466" s="22">
        <f>IFERROR(E1466/D1466*100,"")</f>
        <v>0</v>
      </c>
      <c r="G1466" s="23">
        <f>IFERROR(INDEX(Population_by_Province_Year!$B$5:$J$29,MATCH($A1466,Population_by_Province_Year!$A$5:$A$29,0),MATCH($B1466,Population_by_Province_Year!$B$4:$J$4,0)),"")</f>
        <v>577507</v>
      </c>
      <c r="H1466" s="22">
        <f>IFERROR(D1466/G1466*100000,"")</f>
        <v>5.8873745253304293</v>
      </c>
    </row>
    <row r="1467" spans="1:8" ht="15" customHeight="1" x14ac:dyDescent="0.3">
      <c r="A1467" s="20" t="s">
        <v>26</v>
      </c>
      <c r="B1467" s="20">
        <v>2023</v>
      </c>
      <c r="C1467" s="20" t="s">
        <v>102</v>
      </c>
      <c r="D1467" s="20">
        <v>130</v>
      </c>
      <c r="E1467" s="20">
        <v>1</v>
      </c>
      <c r="F1467" s="22">
        <f>IFERROR(E1467/D1467*100,"")</f>
        <v>0.76923076923076927</v>
      </c>
      <c r="G1467" s="23">
        <f>IFERROR(INDEX(Population_by_Province_Year!$B$5:$J$29,MATCH($A1467,Population_by_Province_Year!$A$5:$A$29,0),MATCH($B1467,Population_by_Province_Year!$B$4:$J$4,0)),"")</f>
        <v>990080</v>
      </c>
      <c r="H1467" s="22">
        <f>IFERROR(D1467/G1467*100000,"")</f>
        <v>13.130252100840336</v>
      </c>
    </row>
    <row r="1468" spans="1:8" ht="15" customHeight="1" x14ac:dyDescent="0.3">
      <c r="A1468" s="20" t="s">
        <v>27</v>
      </c>
      <c r="B1468" s="20">
        <v>2023</v>
      </c>
      <c r="C1468" s="20" t="s">
        <v>102</v>
      </c>
      <c r="D1468" s="20">
        <v>206</v>
      </c>
      <c r="E1468" s="20">
        <v>1</v>
      </c>
      <c r="F1468" s="22">
        <f>IFERROR(E1468/D1468*100,"")</f>
        <v>0.48543689320388345</v>
      </c>
      <c r="G1468" s="23">
        <f>IFERROR(INDEX(Population_by_Province_Year!$B$5:$J$29,MATCH($A1468,Population_by_Province_Year!$A$5:$A$29,0),MATCH($B1468,Population_by_Province_Year!$B$4:$J$4,0)),"")</f>
        <v>853727</v>
      </c>
      <c r="H1468" s="22">
        <f>IFERROR(D1468/G1468*100000,"")</f>
        <v>24.129493386059011</v>
      </c>
    </row>
    <row r="1469" spans="1:8" ht="15" customHeight="1" x14ac:dyDescent="0.3">
      <c r="A1469" s="20" t="s">
        <v>3</v>
      </c>
      <c r="B1469" s="20">
        <v>2023</v>
      </c>
      <c r="C1469" s="20" t="s">
        <v>101</v>
      </c>
      <c r="D1469" s="20">
        <v>730</v>
      </c>
      <c r="E1469" s="20">
        <v>3</v>
      </c>
      <c r="F1469" s="22">
        <f>IFERROR(E1469/D1469*100,"")</f>
        <v>0.41095890410958902</v>
      </c>
      <c r="G1469" s="23">
        <f>IFERROR(INDEX(Population_by_Province_Year!$B$5:$J$29,MATCH($A1469,Population_by_Province_Year!$A$5:$A$29,0),MATCH($B1469,Population_by_Province_Year!$B$4:$J$4,0)),"")</f>
        <v>947186</v>
      </c>
      <c r="H1469" s="22">
        <f>IFERROR(D1469/G1469*100000,"")</f>
        <v>77.070395888452737</v>
      </c>
    </row>
    <row r="1470" spans="1:8" ht="15" customHeight="1" x14ac:dyDescent="0.3">
      <c r="A1470" s="20" t="s">
        <v>4</v>
      </c>
      <c r="B1470" s="20">
        <v>2023</v>
      </c>
      <c r="C1470" s="20" t="s">
        <v>101</v>
      </c>
      <c r="D1470" s="20">
        <v>180</v>
      </c>
      <c r="E1470" s="20">
        <v>0</v>
      </c>
      <c r="F1470" s="22">
        <f>IFERROR(E1470/D1470*100,"")</f>
        <v>0</v>
      </c>
      <c r="G1470" s="23">
        <f>IFERROR(INDEX(Population_by_Province_Year!$B$5:$J$29,MATCH($A1470,Population_by_Province_Year!$A$5:$A$29,0),MATCH($B1470,Population_by_Province_Year!$B$4:$J$4,0)),"")</f>
        <v>1095862</v>
      </c>
      <c r="H1470" s="22">
        <f>IFERROR(D1470/G1470*100000,"")</f>
        <v>16.42542582916462</v>
      </c>
    </row>
    <row r="1471" spans="1:8" ht="15" customHeight="1" x14ac:dyDescent="0.3">
      <c r="A1471" s="20" t="s">
        <v>5</v>
      </c>
      <c r="B1471" s="20">
        <v>2023</v>
      </c>
      <c r="C1471" s="20" t="s">
        <v>101</v>
      </c>
      <c r="D1471" s="20">
        <v>302</v>
      </c>
      <c r="E1471" s="20">
        <v>4</v>
      </c>
      <c r="F1471" s="22">
        <f>IFERROR(E1471/D1471*100,"")</f>
        <v>1.3245033112582782</v>
      </c>
      <c r="G1471" s="23">
        <f>IFERROR(INDEX(Population_by_Province_Year!$B$5:$J$29,MATCH($A1471,Population_by_Province_Year!$A$5:$A$29,0),MATCH($B1471,Population_by_Province_Year!$B$4:$J$4,0)),"")</f>
        <v>988846</v>
      </c>
      <c r="H1471" s="22">
        <f>IFERROR(D1471/G1471*100000,"")</f>
        <v>30.540650414725853</v>
      </c>
    </row>
    <row r="1472" spans="1:8" ht="15" customHeight="1" x14ac:dyDescent="0.3">
      <c r="A1472" s="20" t="s">
        <v>6</v>
      </c>
      <c r="B1472" s="20">
        <v>2023</v>
      </c>
      <c r="C1472" s="20" t="s">
        <v>101</v>
      </c>
      <c r="D1472" s="20">
        <v>145</v>
      </c>
      <c r="E1472" s="20">
        <v>1</v>
      </c>
      <c r="F1472" s="22">
        <f>IFERROR(E1472/D1472*100,"")</f>
        <v>0.68965517241379315</v>
      </c>
      <c r="G1472" s="23">
        <f>IFERROR(INDEX(Population_by_Province_Year!$B$5:$J$29,MATCH($A1472,Population_by_Province_Year!$A$5:$A$29,0),MATCH($B1472,Population_by_Province_Year!$B$4:$J$4,0)),"")</f>
        <v>579189</v>
      </c>
      <c r="H1472" s="22">
        <f>IFERROR(D1472/G1472*100000,"")</f>
        <v>25.035005844378951</v>
      </c>
    </row>
    <row r="1473" spans="1:8" ht="15" customHeight="1" x14ac:dyDescent="0.3">
      <c r="A1473" s="20" t="s">
        <v>7</v>
      </c>
      <c r="B1473" s="20">
        <v>2023</v>
      </c>
      <c r="C1473" s="20" t="s">
        <v>101</v>
      </c>
      <c r="D1473" s="20">
        <v>213</v>
      </c>
      <c r="E1473" s="20">
        <v>1</v>
      </c>
      <c r="F1473" s="22">
        <f>IFERROR(E1473/D1473*100,"")</f>
        <v>0.46948356807511737</v>
      </c>
      <c r="G1473" s="23">
        <f>IFERROR(INDEX(Population_by_Province_Year!$B$5:$J$29,MATCH($A1473,Population_by_Province_Year!$A$5:$A$29,0),MATCH($B1473,Population_by_Province_Year!$B$4:$J$4,0)),"")</f>
        <v>964374</v>
      </c>
      <c r="H1473" s="22">
        <f>IFERROR(D1473/G1473*100000,"")</f>
        <v>22.086866713536448</v>
      </c>
    </row>
    <row r="1474" spans="1:8" ht="15" customHeight="1" x14ac:dyDescent="0.3">
      <c r="A1474" s="20" t="s">
        <v>8</v>
      </c>
      <c r="B1474" s="20">
        <v>2023</v>
      </c>
      <c r="C1474" s="20" t="s">
        <v>101</v>
      </c>
      <c r="D1474" s="20">
        <v>354</v>
      </c>
      <c r="E1474" s="20">
        <v>1</v>
      </c>
      <c r="F1474" s="22">
        <f>IFERROR(E1474/D1474*100,"")</f>
        <v>0.2824858757062147</v>
      </c>
      <c r="G1474" s="23">
        <f>IFERROR(INDEX(Population_by_Province_Year!$B$5:$J$29,MATCH($A1474,Population_by_Province_Year!$A$5:$A$29,0),MATCH($B1474,Population_by_Province_Year!$B$4:$J$4,0)),"")</f>
        <v>749004</v>
      </c>
      <c r="H1474" s="22">
        <f>IFERROR(D1474/G1474*100000,"")</f>
        <v>47.26276495185607</v>
      </c>
    </row>
    <row r="1475" spans="1:8" ht="15" customHeight="1" x14ac:dyDescent="0.3">
      <c r="A1475" s="20" t="s">
        <v>9</v>
      </c>
      <c r="B1475" s="20">
        <v>2023</v>
      </c>
      <c r="C1475" s="20" t="s">
        <v>101</v>
      </c>
      <c r="D1475" s="20">
        <v>55</v>
      </c>
      <c r="E1475" s="20">
        <v>0</v>
      </c>
      <c r="F1475" s="22">
        <f>IFERROR(E1475/D1475*100,"")</f>
        <v>0</v>
      </c>
      <c r="G1475" s="23">
        <f>IFERROR(INDEX(Population_by_Province_Year!$B$5:$J$29,MATCH($A1475,Population_by_Province_Year!$A$5:$A$29,0),MATCH($B1475,Population_by_Province_Year!$B$4:$J$4,0)),"")</f>
        <v>652602</v>
      </c>
      <c r="H1475" s="22">
        <f>IFERROR(D1475/G1475*100000,"")</f>
        <v>8.4278013245439034</v>
      </c>
    </row>
    <row r="1476" spans="1:8" ht="15" customHeight="1" x14ac:dyDescent="0.3">
      <c r="A1476" s="20" t="s">
        <v>10</v>
      </c>
      <c r="B1476" s="20">
        <v>2023</v>
      </c>
      <c r="C1476" s="20" t="s">
        <v>101</v>
      </c>
      <c r="D1476" s="20">
        <v>515</v>
      </c>
      <c r="E1476" s="20">
        <v>1</v>
      </c>
      <c r="F1476" s="22">
        <f>IFERROR(E1476/D1476*100,"")</f>
        <v>0.1941747572815534</v>
      </c>
      <c r="G1476" s="23">
        <f>IFERROR(INDEX(Population_by_Province_Year!$B$5:$J$29,MATCH($A1476,Population_by_Province_Year!$A$5:$A$29,0),MATCH($B1476,Population_by_Province_Year!$B$4:$J$4,0)),"")</f>
        <v>1320505</v>
      </c>
      <c r="H1476" s="22">
        <f>IFERROR(D1476/G1476*100000,"")</f>
        <v>39.000230972241681</v>
      </c>
    </row>
    <row r="1477" spans="1:8" ht="15" customHeight="1" x14ac:dyDescent="0.3">
      <c r="A1477" s="20" t="s">
        <v>12</v>
      </c>
      <c r="B1477" s="20">
        <v>2023</v>
      </c>
      <c r="C1477" s="20" t="s">
        <v>101</v>
      </c>
      <c r="D1477" s="20">
        <v>3</v>
      </c>
      <c r="E1477" s="20">
        <v>0</v>
      </c>
      <c r="F1477" s="22">
        <f>IFERROR(E1477/D1477*100,"")</f>
        <v>0</v>
      </c>
      <c r="G1477" s="23">
        <f>IFERROR(INDEX(Population_by_Province_Year!$B$5:$J$29,MATCH($A1477,Population_by_Province_Year!$A$5:$A$29,0),MATCH($B1477,Population_by_Province_Year!$B$4:$J$4,0)),"")</f>
        <v>138363</v>
      </c>
      <c r="H1477" s="22">
        <f>IFERROR(D1477/G1477*100000,"")</f>
        <v>2.1682097092430777</v>
      </c>
    </row>
    <row r="1478" spans="1:8" ht="15" customHeight="1" x14ac:dyDescent="0.3">
      <c r="A1478" s="20" t="s">
        <v>13</v>
      </c>
      <c r="B1478" s="20">
        <v>2023</v>
      </c>
      <c r="C1478" s="20" t="s">
        <v>101</v>
      </c>
      <c r="D1478" s="20">
        <v>140</v>
      </c>
      <c r="E1478" s="20">
        <v>1</v>
      </c>
      <c r="F1478" s="22">
        <f>IFERROR(E1478/D1478*100,"")</f>
        <v>0.7142857142857143</v>
      </c>
      <c r="G1478" s="23">
        <f>IFERROR(INDEX(Population_by_Province_Year!$B$5:$J$29,MATCH($A1478,Population_by_Province_Year!$A$5:$A$29,0),MATCH($B1478,Population_by_Province_Year!$B$4:$J$4,0)),"")</f>
        <v>411846</v>
      </c>
      <c r="H1478" s="22">
        <f>IFERROR(D1478/G1478*100000,"")</f>
        <v>33.993288753563228</v>
      </c>
    </row>
    <row r="1479" spans="1:8" ht="15" customHeight="1" x14ac:dyDescent="0.3">
      <c r="A1479" s="20" t="s">
        <v>14</v>
      </c>
      <c r="B1479" s="20">
        <v>2023</v>
      </c>
      <c r="C1479" s="20" t="s">
        <v>101</v>
      </c>
      <c r="D1479" s="20">
        <v>19</v>
      </c>
      <c r="E1479" s="20">
        <v>0</v>
      </c>
      <c r="F1479" s="22">
        <f>IFERROR(E1479/D1479*100,"")</f>
        <v>0</v>
      </c>
      <c r="G1479" s="23">
        <f>IFERROR(INDEX(Population_by_Province_Year!$B$5:$J$29,MATCH($A1479,Population_by_Province_Year!$A$5:$A$29,0),MATCH($B1479,Population_by_Province_Year!$B$4:$J$4,0)),"")</f>
        <v>101340</v>
      </c>
      <c r="H1479" s="22">
        <f>IFERROR(D1479/G1479*100000,"")</f>
        <v>18.748766528517862</v>
      </c>
    </row>
    <row r="1480" spans="1:8" ht="15" customHeight="1" x14ac:dyDescent="0.3">
      <c r="A1480" s="20" t="s">
        <v>15</v>
      </c>
      <c r="B1480" s="20">
        <v>2023</v>
      </c>
      <c r="C1480" s="20" t="s">
        <v>101</v>
      </c>
      <c r="D1480" s="20">
        <v>46</v>
      </c>
      <c r="E1480" s="20">
        <v>0</v>
      </c>
      <c r="F1480" s="22">
        <f>IFERROR(E1480/D1480*100,"")</f>
        <v>0</v>
      </c>
      <c r="G1480" s="23">
        <f>IFERROR(INDEX(Population_by_Province_Year!$B$5:$J$29,MATCH($A1480,Population_by_Province_Year!$A$5:$A$29,0),MATCH($B1480,Population_by_Province_Year!$B$4:$J$4,0)),"")</f>
        <v>303358</v>
      </c>
      <c r="H1480" s="22">
        <f>IFERROR(D1480/G1480*100000,"")</f>
        <v>15.16360208070992</v>
      </c>
    </row>
    <row r="1481" spans="1:8" ht="15" customHeight="1" x14ac:dyDescent="0.3">
      <c r="A1481" s="20" t="s">
        <v>16</v>
      </c>
      <c r="B1481" s="20">
        <v>2023</v>
      </c>
      <c r="C1481" s="20" t="s">
        <v>101</v>
      </c>
      <c r="D1481" s="20">
        <v>39</v>
      </c>
      <c r="E1481" s="20">
        <v>1</v>
      </c>
      <c r="F1481" s="22">
        <f>IFERROR(E1481/D1481*100,"")</f>
        <v>2.5641025641025639</v>
      </c>
      <c r="G1481" s="23">
        <f>IFERROR(INDEX(Population_by_Province_Year!$B$5:$J$29,MATCH($A1481,Population_by_Province_Year!$A$5:$A$29,0),MATCH($B1481,Population_by_Province_Year!$B$4:$J$4,0)),"")</f>
        <v>82546</v>
      </c>
      <c r="H1481" s="22">
        <f>IFERROR(D1481/G1481*100000,"")</f>
        <v>47.246383834468055</v>
      </c>
    </row>
    <row r="1482" spans="1:8" ht="15" customHeight="1" x14ac:dyDescent="0.3">
      <c r="A1482" s="20" t="s">
        <v>17</v>
      </c>
      <c r="B1482" s="20">
        <v>2023</v>
      </c>
      <c r="C1482" s="20" t="s">
        <v>101</v>
      </c>
      <c r="D1482" s="20">
        <v>408</v>
      </c>
      <c r="E1482" s="20">
        <v>2</v>
      </c>
      <c r="F1482" s="22">
        <f>IFERROR(E1482/D1482*100,"")</f>
        <v>0.49019607843137253</v>
      </c>
      <c r="G1482" s="23">
        <f>IFERROR(INDEX(Population_by_Province_Year!$B$5:$J$29,MATCH($A1482,Population_by_Province_Year!$A$5:$A$29,0),MATCH($B1482,Population_by_Province_Year!$B$4:$J$4,0)),"")</f>
        <v>2507803</v>
      </c>
      <c r="H1482" s="22">
        <f>IFERROR(D1482/G1482*100000,"")</f>
        <v>16.269220508947473</v>
      </c>
    </row>
    <row r="1483" spans="1:8" ht="15" customHeight="1" x14ac:dyDescent="0.3">
      <c r="A1483" s="20" t="s">
        <v>18</v>
      </c>
      <c r="B1483" s="20">
        <v>2023</v>
      </c>
      <c r="C1483" s="20" t="s">
        <v>101</v>
      </c>
      <c r="D1483" s="20">
        <v>39</v>
      </c>
      <c r="E1483" s="20">
        <v>0</v>
      </c>
      <c r="F1483" s="22">
        <f>IFERROR(E1483/D1483*100,"")</f>
        <v>0</v>
      </c>
      <c r="G1483" s="23">
        <f>IFERROR(INDEX(Population_by_Province_Year!$B$5:$J$29,MATCH($A1483,Population_by_Province_Year!$A$5:$A$29,0),MATCH($B1483,Population_by_Province_Year!$B$4:$J$4,0)),"")</f>
        <v>340761</v>
      </c>
      <c r="H1483" s="22">
        <f>IFERROR(D1483/G1483*100000,"")</f>
        <v>11.444971695704615</v>
      </c>
    </row>
    <row r="1484" spans="1:8" ht="15" customHeight="1" x14ac:dyDescent="0.3">
      <c r="A1484" s="20" t="s">
        <v>19</v>
      </c>
      <c r="B1484" s="20">
        <v>2023</v>
      </c>
      <c r="C1484" s="20" t="s">
        <v>101</v>
      </c>
      <c r="D1484" s="20">
        <v>685</v>
      </c>
      <c r="E1484" s="20">
        <v>0</v>
      </c>
      <c r="F1484" s="22">
        <f>IFERROR(E1484/D1484*100,"")</f>
        <v>0</v>
      </c>
      <c r="G1484" s="23">
        <f>IFERROR(INDEX(Population_by_Province_Year!$B$5:$J$29,MATCH($A1484,Population_by_Province_Year!$A$5:$A$29,0),MATCH($B1484,Population_by_Province_Year!$B$4:$J$4,0)),"")</f>
        <v>280048</v>
      </c>
      <c r="H1484" s="22">
        <f>IFERROR(D1484/G1484*100000,"")</f>
        <v>244.60092555561903</v>
      </c>
    </row>
    <row r="1485" spans="1:8" ht="15" customHeight="1" x14ac:dyDescent="0.3">
      <c r="A1485" s="20" t="s">
        <v>20</v>
      </c>
      <c r="B1485" s="20">
        <v>2023</v>
      </c>
      <c r="C1485" s="20" t="s">
        <v>101</v>
      </c>
      <c r="D1485" s="20">
        <v>109</v>
      </c>
      <c r="E1485" s="20">
        <v>0</v>
      </c>
      <c r="F1485" s="22">
        <f>IFERROR(E1485/D1485*100,"")</f>
        <v>0</v>
      </c>
      <c r="G1485" s="23">
        <f>IFERROR(INDEX(Population_by_Province_Year!$B$5:$J$29,MATCH($A1485,Population_by_Province_Year!$A$5:$A$29,0),MATCH($B1485,Population_by_Province_Year!$B$4:$J$4,0)),"")</f>
        <v>1162406</v>
      </c>
      <c r="H1485" s="22">
        <f>IFERROR(D1485/G1485*100000,"")</f>
        <v>9.3771023205317245</v>
      </c>
    </row>
    <row r="1486" spans="1:8" ht="15" customHeight="1" x14ac:dyDescent="0.3">
      <c r="A1486" s="20" t="s">
        <v>21</v>
      </c>
      <c r="B1486" s="20">
        <v>2023</v>
      </c>
      <c r="C1486" s="20" t="s">
        <v>101</v>
      </c>
      <c r="D1486" s="20">
        <v>69</v>
      </c>
      <c r="E1486" s="20">
        <v>0</v>
      </c>
      <c r="F1486" s="22">
        <f>IFERROR(E1486/D1486*100,"")</f>
        <v>0</v>
      </c>
      <c r="G1486" s="23">
        <f>IFERROR(INDEX(Population_by_Province_Year!$B$5:$J$29,MATCH($A1486,Population_by_Province_Year!$A$5:$A$29,0),MATCH($B1486,Population_by_Province_Year!$B$4:$J$4,0)),"")</f>
        <v>454816</v>
      </c>
      <c r="H1486" s="22">
        <f>IFERROR(D1486/G1486*100000,"")</f>
        <v>15.170970238514037</v>
      </c>
    </row>
    <row r="1487" spans="1:8" ht="15" customHeight="1" x14ac:dyDescent="0.3">
      <c r="A1487" s="20" t="s">
        <v>22</v>
      </c>
      <c r="B1487" s="20">
        <v>2023</v>
      </c>
      <c r="C1487" s="20" t="s">
        <v>101</v>
      </c>
      <c r="D1487" s="20">
        <v>18</v>
      </c>
      <c r="E1487" s="20">
        <v>0</v>
      </c>
      <c r="F1487" s="22">
        <f>IFERROR(E1487/D1487*100,"")</f>
        <v>0</v>
      </c>
      <c r="G1487" s="23">
        <f>IFERROR(INDEX(Population_by_Province_Year!$B$5:$J$29,MATCH($A1487,Population_by_Province_Year!$A$5:$A$29,0),MATCH($B1487,Population_by_Province_Year!$B$4:$J$4,0)),"")</f>
        <v>238975</v>
      </c>
      <c r="H1487" s="22">
        <f>IFERROR(D1487/G1487*100000,"")</f>
        <v>7.5321686368867038</v>
      </c>
    </row>
    <row r="1488" spans="1:8" ht="15" customHeight="1" x14ac:dyDescent="0.3">
      <c r="A1488" s="20" t="s">
        <v>23</v>
      </c>
      <c r="B1488" s="20">
        <v>2023</v>
      </c>
      <c r="C1488" s="20" t="s">
        <v>101</v>
      </c>
      <c r="D1488" s="20">
        <v>1109</v>
      </c>
      <c r="E1488" s="20">
        <v>2</v>
      </c>
      <c r="F1488" s="22">
        <f>IFERROR(E1488/D1488*100,"")</f>
        <v>0.18034265103697023</v>
      </c>
      <c r="G1488" s="23">
        <f>IFERROR(INDEX(Population_by_Province_Year!$B$5:$J$29,MATCH($A1488,Population_by_Province_Year!$A$5:$A$29,0),MATCH($B1488,Population_by_Province_Year!$B$4:$J$4,0)),"")</f>
        <v>1114616</v>
      </c>
      <c r="H1488" s="22">
        <f>IFERROR(D1488/G1488*100000,"")</f>
        <v>99.496149346501397</v>
      </c>
    </row>
    <row r="1489" spans="1:8" ht="15" customHeight="1" x14ac:dyDescent="0.3">
      <c r="A1489" s="20" t="s">
        <v>24</v>
      </c>
      <c r="B1489" s="20">
        <v>2023</v>
      </c>
      <c r="C1489" s="20" t="s">
        <v>101</v>
      </c>
      <c r="D1489" s="20">
        <v>16</v>
      </c>
      <c r="E1489" s="20">
        <v>0</v>
      </c>
      <c r="F1489" s="22">
        <f>IFERROR(E1489/D1489*100,"")</f>
        <v>0</v>
      </c>
      <c r="G1489" s="23">
        <f>IFERROR(INDEX(Population_by_Province_Year!$B$5:$J$29,MATCH($A1489,Population_by_Province_Year!$A$5:$A$29,0),MATCH($B1489,Population_by_Province_Year!$B$4:$J$4,0)),"")</f>
        <v>182114</v>
      </c>
      <c r="H1489" s="22">
        <f>IFERROR(D1489/G1489*100000,"")</f>
        <v>8.78570565689623</v>
      </c>
    </row>
    <row r="1490" spans="1:8" ht="15" customHeight="1" x14ac:dyDescent="0.3">
      <c r="A1490" s="20" t="s">
        <v>25</v>
      </c>
      <c r="B1490" s="20">
        <v>2023</v>
      </c>
      <c r="C1490" s="20" t="s">
        <v>101</v>
      </c>
      <c r="D1490" s="20">
        <v>59</v>
      </c>
      <c r="E1490" s="20">
        <v>0</v>
      </c>
      <c r="F1490" s="22">
        <f>IFERROR(E1490/D1490*100,"")</f>
        <v>0</v>
      </c>
      <c r="G1490" s="23">
        <f>IFERROR(INDEX(Population_by_Province_Year!$B$5:$J$29,MATCH($A1490,Population_by_Province_Year!$A$5:$A$29,0),MATCH($B1490,Population_by_Province_Year!$B$4:$J$4,0)),"")</f>
        <v>577507</v>
      </c>
      <c r="H1490" s="22">
        <f>IFERROR(D1490/G1490*100000,"")</f>
        <v>10.216326382191038</v>
      </c>
    </row>
    <row r="1491" spans="1:8" ht="15" customHeight="1" x14ac:dyDescent="0.3">
      <c r="A1491" s="20" t="s">
        <v>26</v>
      </c>
      <c r="B1491" s="20">
        <v>2023</v>
      </c>
      <c r="C1491" s="20" t="s">
        <v>101</v>
      </c>
      <c r="D1491" s="20">
        <v>158</v>
      </c>
      <c r="E1491" s="20">
        <v>0</v>
      </c>
      <c r="F1491" s="22">
        <f>IFERROR(E1491/D1491*100,"")</f>
        <v>0</v>
      </c>
      <c r="G1491" s="23">
        <f>IFERROR(INDEX(Population_by_Province_Year!$B$5:$J$29,MATCH($A1491,Population_by_Province_Year!$A$5:$A$29,0),MATCH($B1491,Population_by_Province_Year!$B$4:$J$4,0)),"")</f>
        <v>990080</v>
      </c>
      <c r="H1491" s="22">
        <f>IFERROR(D1491/G1491*100000,"")</f>
        <v>15.95830639948287</v>
      </c>
    </row>
    <row r="1492" spans="1:8" ht="15" customHeight="1" x14ac:dyDescent="0.3">
      <c r="A1492" s="20" t="s">
        <v>27</v>
      </c>
      <c r="B1492" s="20">
        <v>2023</v>
      </c>
      <c r="C1492" s="20" t="s">
        <v>101</v>
      </c>
      <c r="D1492" s="20">
        <v>319</v>
      </c>
      <c r="E1492" s="20">
        <v>1</v>
      </c>
      <c r="F1492" s="22">
        <f>IFERROR(E1492/D1492*100,"")</f>
        <v>0.31347962382445138</v>
      </c>
      <c r="G1492" s="23">
        <f>IFERROR(INDEX(Population_by_Province_Year!$B$5:$J$29,MATCH($A1492,Population_by_Province_Year!$A$5:$A$29,0),MATCH($B1492,Population_by_Province_Year!$B$4:$J$4,0)),"")</f>
        <v>853727</v>
      </c>
      <c r="H1492" s="22">
        <f>IFERROR(D1492/G1492*100000,"")</f>
        <v>37.365574709479731</v>
      </c>
    </row>
    <row r="1493" spans="1:8" ht="15" customHeight="1" x14ac:dyDescent="0.3">
      <c r="A1493" s="20" t="s">
        <v>3</v>
      </c>
      <c r="B1493" s="20">
        <v>2023</v>
      </c>
      <c r="C1493" s="20" t="s">
        <v>97</v>
      </c>
      <c r="D1493" s="20">
        <v>1034</v>
      </c>
      <c r="E1493" s="20">
        <v>3</v>
      </c>
      <c r="F1493" s="22">
        <f>IFERROR(E1493/D1493*100,"")</f>
        <v>0.29013539651837528</v>
      </c>
      <c r="G1493" s="23">
        <f>IFERROR(INDEX(Population_by_Province_Year!$B$5:$J$29,MATCH($A1493,Population_by_Province_Year!$A$5:$A$29,0),MATCH($B1493,Population_by_Province_Year!$B$4:$J$4,0)),"")</f>
        <v>947186</v>
      </c>
      <c r="H1493" s="22">
        <f>IFERROR(D1493/G1493*100000,"")</f>
        <v>109.16546486117826</v>
      </c>
    </row>
    <row r="1494" spans="1:8" ht="15" customHeight="1" x14ac:dyDescent="0.3">
      <c r="A1494" s="20" t="s">
        <v>4</v>
      </c>
      <c r="B1494" s="20">
        <v>2023</v>
      </c>
      <c r="C1494" s="20" t="s">
        <v>97</v>
      </c>
      <c r="D1494" s="20">
        <v>265</v>
      </c>
      <c r="E1494" s="20">
        <v>0</v>
      </c>
      <c r="F1494" s="22">
        <f>IFERROR(E1494/D1494*100,"")</f>
        <v>0</v>
      </c>
      <c r="G1494" s="23">
        <f>IFERROR(INDEX(Population_by_Province_Year!$B$5:$J$29,MATCH($A1494,Population_by_Province_Year!$A$5:$A$29,0),MATCH($B1494,Population_by_Province_Year!$B$4:$J$4,0)),"")</f>
        <v>1095862</v>
      </c>
      <c r="H1494" s="22">
        <f>IFERROR(D1494/G1494*100000,"")</f>
        <v>24.181876915159023</v>
      </c>
    </row>
    <row r="1495" spans="1:8" ht="15" customHeight="1" x14ac:dyDescent="0.3">
      <c r="A1495" s="20" t="s">
        <v>5</v>
      </c>
      <c r="B1495" s="20">
        <v>2023</v>
      </c>
      <c r="C1495" s="20" t="s">
        <v>97</v>
      </c>
      <c r="D1495" s="20">
        <v>275</v>
      </c>
      <c r="E1495" s="20">
        <v>3</v>
      </c>
      <c r="F1495" s="22">
        <f>IFERROR(E1495/D1495*100,"")</f>
        <v>1.0909090909090911</v>
      </c>
      <c r="G1495" s="23">
        <f>IFERROR(INDEX(Population_by_Province_Year!$B$5:$J$29,MATCH($A1495,Population_by_Province_Year!$A$5:$A$29,0),MATCH($B1495,Population_by_Province_Year!$B$4:$J$4,0)),"")</f>
        <v>988846</v>
      </c>
      <c r="H1495" s="22">
        <f>IFERROR(D1495/G1495*100000,"")</f>
        <v>27.810194914071555</v>
      </c>
    </row>
    <row r="1496" spans="1:8" ht="15" customHeight="1" x14ac:dyDescent="0.3">
      <c r="A1496" s="20" t="s">
        <v>6</v>
      </c>
      <c r="B1496" s="20">
        <v>2023</v>
      </c>
      <c r="C1496" s="20" t="s">
        <v>97</v>
      </c>
      <c r="D1496" s="20">
        <v>163</v>
      </c>
      <c r="E1496" s="20">
        <v>0</v>
      </c>
      <c r="F1496" s="22">
        <f>IFERROR(E1496/D1496*100,"")</f>
        <v>0</v>
      </c>
      <c r="G1496" s="23">
        <f>IFERROR(INDEX(Population_by_Province_Year!$B$5:$J$29,MATCH($A1496,Population_by_Province_Year!$A$5:$A$29,0),MATCH($B1496,Population_by_Province_Year!$B$4:$J$4,0)),"")</f>
        <v>579189</v>
      </c>
      <c r="H1496" s="22">
        <f>IFERROR(D1496/G1496*100000,"")</f>
        <v>28.142799673336338</v>
      </c>
    </row>
    <row r="1497" spans="1:8" ht="15" customHeight="1" x14ac:dyDescent="0.3">
      <c r="A1497" s="20" t="s">
        <v>7</v>
      </c>
      <c r="B1497" s="20">
        <v>2023</v>
      </c>
      <c r="C1497" s="20" t="s">
        <v>97</v>
      </c>
      <c r="D1497" s="20">
        <v>323</v>
      </c>
      <c r="E1497" s="20">
        <v>1</v>
      </c>
      <c r="F1497" s="22">
        <f>IFERROR(E1497/D1497*100,"")</f>
        <v>0.30959752321981426</v>
      </c>
      <c r="G1497" s="23">
        <f>IFERROR(INDEX(Population_by_Province_Year!$B$5:$J$29,MATCH($A1497,Population_by_Province_Year!$A$5:$A$29,0),MATCH($B1497,Population_by_Province_Year!$B$4:$J$4,0)),"")</f>
        <v>964374</v>
      </c>
      <c r="H1497" s="22">
        <f>IFERROR(D1497/G1497*100000,"")</f>
        <v>33.493229805034147</v>
      </c>
    </row>
    <row r="1498" spans="1:8" ht="15" customHeight="1" x14ac:dyDescent="0.3">
      <c r="A1498" s="20" t="s">
        <v>8</v>
      </c>
      <c r="B1498" s="20">
        <v>2023</v>
      </c>
      <c r="C1498" s="20" t="s">
        <v>97</v>
      </c>
      <c r="D1498" s="20">
        <v>386</v>
      </c>
      <c r="E1498" s="20">
        <v>2</v>
      </c>
      <c r="F1498" s="22">
        <f>IFERROR(E1498/D1498*100,"")</f>
        <v>0.5181347150259068</v>
      </c>
      <c r="G1498" s="23">
        <f>IFERROR(INDEX(Population_by_Province_Year!$B$5:$J$29,MATCH($A1498,Population_by_Province_Year!$A$5:$A$29,0),MATCH($B1498,Population_by_Province_Year!$B$4:$J$4,0)),"")</f>
        <v>749004</v>
      </c>
      <c r="H1498" s="22">
        <f>IFERROR(D1498/G1498*100000,"")</f>
        <v>51.535105286487116</v>
      </c>
    </row>
    <row r="1499" spans="1:8" ht="15" customHeight="1" x14ac:dyDescent="0.3">
      <c r="A1499" s="20" t="s">
        <v>9</v>
      </c>
      <c r="B1499" s="20">
        <v>2023</v>
      </c>
      <c r="C1499" s="20" t="s">
        <v>97</v>
      </c>
      <c r="D1499" s="20">
        <v>73</v>
      </c>
      <c r="E1499" s="20">
        <v>0</v>
      </c>
      <c r="F1499" s="22">
        <f>IFERROR(E1499/D1499*100,"")</f>
        <v>0</v>
      </c>
      <c r="G1499" s="23">
        <f>IFERROR(INDEX(Population_by_Province_Year!$B$5:$J$29,MATCH($A1499,Population_by_Province_Year!$A$5:$A$29,0),MATCH($B1499,Population_by_Province_Year!$B$4:$J$4,0)),"")</f>
        <v>652602</v>
      </c>
      <c r="H1499" s="22">
        <f>IFERROR(D1499/G1499*100000,"")</f>
        <v>11.18599084894009</v>
      </c>
    </row>
    <row r="1500" spans="1:8" ht="15" customHeight="1" x14ac:dyDescent="0.3">
      <c r="A1500" s="20" t="s">
        <v>10</v>
      </c>
      <c r="B1500" s="20">
        <v>2023</v>
      </c>
      <c r="C1500" s="20" t="s">
        <v>97</v>
      </c>
      <c r="D1500" s="20">
        <v>583</v>
      </c>
      <c r="E1500" s="20">
        <v>0</v>
      </c>
      <c r="F1500" s="22">
        <f>IFERROR(E1500/D1500*100,"")</f>
        <v>0</v>
      </c>
      <c r="G1500" s="23">
        <f>IFERROR(INDEX(Population_by_Province_Year!$B$5:$J$29,MATCH($A1500,Population_by_Province_Year!$A$5:$A$29,0),MATCH($B1500,Population_by_Province_Year!$B$4:$J$4,0)),"")</f>
        <v>1320505</v>
      </c>
      <c r="H1500" s="22">
        <f>IFERROR(D1500/G1500*100000,"")</f>
        <v>44.149776032654174</v>
      </c>
    </row>
    <row r="1501" spans="1:8" ht="15" customHeight="1" x14ac:dyDescent="0.3">
      <c r="A1501" s="20" t="s">
        <v>11</v>
      </c>
      <c r="B1501" s="20">
        <v>2023</v>
      </c>
      <c r="C1501" s="20" t="s">
        <v>97</v>
      </c>
      <c r="D1501" s="20">
        <v>3</v>
      </c>
      <c r="E1501" s="20">
        <v>0</v>
      </c>
      <c r="F1501" s="22">
        <f>IFERROR(E1501/D1501*100,"")</f>
        <v>0</v>
      </c>
      <c r="G1501" s="23">
        <f>IFERROR(INDEX(Population_by_Province_Year!$B$5:$J$29,MATCH($A1501,Population_by_Province_Year!$A$5:$A$29,0),MATCH($B1501,Population_by_Province_Year!$B$4:$J$4,0)),"")</f>
        <v>46888</v>
      </c>
      <c r="H1501" s="22">
        <f>IFERROR(D1501/G1501*100000,"")</f>
        <v>6.3982255587783659</v>
      </c>
    </row>
    <row r="1502" spans="1:8" ht="15" customHeight="1" x14ac:dyDescent="0.3">
      <c r="A1502" s="20" t="s">
        <v>12</v>
      </c>
      <c r="B1502" s="20">
        <v>2023</v>
      </c>
      <c r="C1502" s="20" t="s">
        <v>97</v>
      </c>
      <c r="D1502" s="20">
        <v>5</v>
      </c>
      <c r="E1502" s="20">
        <v>0</v>
      </c>
      <c r="F1502" s="22">
        <f>IFERROR(E1502/D1502*100,"")</f>
        <v>0</v>
      </c>
      <c r="G1502" s="23">
        <f>IFERROR(INDEX(Population_by_Province_Year!$B$5:$J$29,MATCH($A1502,Population_by_Province_Year!$A$5:$A$29,0),MATCH($B1502,Population_by_Province_Year!$B$4:$J$4,0)),"")</f>
        <v>138363</v>
      </c>
      <c r="H1502" s="22">
        <f>IFERROR(D1502/G1502*100000,"")</f>
        <v>3.6136828487384633</v>
      </c>
    </row>
    <row r="1503" spans="1:8" ht="15" customHeight="1" x14ac:dyDescent="0.3">
      <c r="A1503" s="20" t="s">
        <v>13</v>
      </c>
      <c r="B1503" s="20">
        <v>2023</v>
      </c>
      <c r="C1503" s="20" t="s">
        <v>97</v>
      </c>
      <c r="D1503" s="20">
        <v>135</v>
      </c>
      <c r="E1503" s="20">
        <v>0</v>
      </c>
      <c r="F1503" s="22">
        <f>IFERROR(E1503/D1503*100,"")</f>
        <v>0</v>
      </c>
      <c r="G1503" s="23">
        <f>IFERROR(INDEX(Population_by_Province_Year!$B$5:$J$29,MATCH($A1503,Population_by_Province_Year!$A$5:$A$29,0),MATCH($B1503,Population_by_Province_Year!$B$4:$J$4,0)),"")</f>
        <v>411846</v>
      </c>
      <c r="H1503" s="22">
        <f>IFERROR(D1503/G1503*100000,"")</f>
        <v>32.779242726650253</v>
      </c>
    </row>
    <row r="1504" spans="1:8" ht="15" customHeight="1" x14ac:dyDescent="0.3">
      <c r="A1504" s="20" t="s">
        <v>14</v>
      </c>
      <c r="B1504" s="20">
        <v>2023</v>
      </c>
      <c r="C1504" s="20" t="s">
        <v>97</v>
      </c>
      <c r="D1504" s="20">
        <v>30</v>
      </c>
      <c r="E1504" s="20">
        <v>1</v>
      </c>
      <c r="F1504" s="22">
        <f>IFERROR(E1504/D1504*100,"")</f>
        <v>3.3333333333333335</v>
      </c>
      <c r="G1504" s="23">
        <f>IFERROR(INDEX(Population_by_Province_Year!$B$5:$J$29,MATCH($A1504,Population_by_Province_Year!$A$5:$A$29,0),MATCH($B1504,Population_by_Province_Year!$B$4:$J$4,0)),"")</f>
        <v>101340</v>
      </c>
      <c r="H1504" s="22">
        <f>IFERROR(D1504/G1504*100000,"")</f>
        <v>29.603315571343988</v>
      </c>
    </row>
    <row r="1505" spans="1:8" ht="15" customHeight="1" x14ac:dyDescent="0.3">
      <c r="A1505" s="20" t="s">
        <v>15</v>
      </c>
      <c r="B1505" s="20">
        <v>2023</v>
      </c>
      <c r="C1505" s="20" t="s">
        <v>97</v>
      </c>
      <c r="D1505" s="20">
        <v>79</v>
      </c>
      <c r="E1505" s="20">
        <v>0</v>
      </c>
      <c r="F1505" s="22">
        <f>IFERROR(E1505/D1505*100,"")</f>
        <v>0</v>
      </c>
      <c r="G1505" s="23">
        <f>IFERROR(INDEX(Population_by_Province_Year!$B$5:$J$29,MATCH($A1505,Population_by_Province_Year!$A$5:$A$29,0),MATCH($B1505,Population_by_Province_Year!$B$4:$J$4,0)),"")</f>
        <v>303358</v>
      </c>
      <c r="H1505" s="22">
        <f>IFERROR(D1505/G1505*100000,"")</f>
        <v>26.041838356001822</v>
      </c>
    </row>
    <row r="1506" spans="1:8" ht="15" customHeight="1" x14ac:dyDescent="0.3">
      <c r="A1506" s="20" t="s">
        <v>16</v>
      </c>
      <c r="B1506" s="20">
        <v>2023</v>
      </c>
      <c r="C1506" s="20" t="s">
        <v>97</v>
      </c>
      <c r="D1506" s="20">
        <v>53</v>
      </c>
      <c r="E1506" s="20">
        <v>0</v>
      </c>
      <c r="F1506" s="22">
        <f>IFERROR(E1506/D1506*100,"")</f>
        <v>0</v>
      </c>
      <c r="G1506" s="23">
        <f>IFERROR(INDEX(Population_by_Province_Year!$B$5:$J$29,MATCH($A1506,Population_by_Province_Year!$A$5:$A$29,0),MATCH($B1506,Population_by_Province_Year!$B$4:$J$4,0)),"")</f>
        <v>82546</v>
      </c>
      <c r="H1506" s="22">
        <f>IFERROR(D1506/G1506*100000,"")</f>
        <v>64.206624185302729</v>
      </c>
    </row>
    <row r="1507" spans="1:8" ht="15" customHeight="1" x14ac:dyDescent="0.3">
      <c r="A1507" s="20" t="s">
        <v>17</v>
      </c>
      <c r="B1507" s="20">
        <v>2023</v>
      </c>
      <c r="C1507" s="20" t="s">
        <v>97</v>
      </c>
      <c r="D1507" s="20">
        <v>455</v>
      </c>
      <c r="E1507" s="20">
        <v>0</v>
      </c>
      <c r="F1507" s="22">
        <f>IFERROR(E1507/D1507*100,"")</f>
        <v>0</v>
      </c>
      <c r="G1507" s="23">
        <f>IFERROR(INDEX(Population_by_Province_Year!$B$5:$J$29,MATCH($A1507,Population_by_Province_Year!$A$5:$A$29,0),MATCH($B1507,Population_by_Province_Year!$B$4:$J$4,0)),"")</f>
        <v>2507803</v>
      </c>
      <c r="H1507" s="22">
        <f>IFERROR(D1507/G1507*100000,"")</f>
        <v>18.143370910713482</v>
      </c>
    </row>
    <row r="1508" spans="1:8" ht="15" customHeight="1" x14ac:dyDescent="0.3">
      <c r="A1508" s="20" t="s">
        <v>18</v>
      </c>
      <c r="B1508" s="20">
        <v>2023</v>
      </c>
      <c r="C1508" s="20" t="s">
        <v>97</v>
      </c>
      <c r="D1508" s="20">
        <v>40</v>
      </c>
      <c r="E1508" s="20">
        <v>1</v>
      </c>
      <c r="F1508" s="22">
        <f>IFERROR(E1508/D1508*100,"")</f>
        <v>2.5</v>
      </c>
      <c r="G1508" s="23">
        <f>IFERROR(INDEX(Population_by_Province_Year!$B$5:$J$29,MATCH($A1508,Population_by_Province_Year!$A$5:$A$29,0),MATCH($B1508,Population_by_Province_Year!$B$4:$J$4,0)),"")</f>
        <v>340761</v>
      </c>
      <c r="H1508" s="22">
        <f>IFERROR(D1508/G1508*100000,"")</f>
        <v>11.73843250841499</v>
      </c>
    </row>
    <row r="1509" spans="1:8" ht="15" customHeight="1" x14ac:dyDescent="0.3">
      <c r="A1509" s="20" t="s">
        <v>19</v>
      </c>
      <c r="B1509" s="20">
        <v>2023</v>
      </c>
      <c r="C1509" s="20" t="s">
        <v>97</v>
      </c>
      <c r="D1509" s="20">
        <v>341</v>
      </c>
      <c r="E1509" s="20">
        <v>0</v>
      </c>
      <c r="F1509" s="22">
        <f>IFERROR(E1509/D1509*100,"")</f>
        <v>0</v>
      </c>
      <c r="G1509" s="23">
        <f>IFERROR(INDEX(Population_by_Province_Year!$B$5:$J$29,MATCH($A1509,Population_by_Province_Year!$A$5:$A$29,0),MATCH($B1509,Population_by_Province_Year!$B$4:$J$4,0)),"")</f>
        <v>280048</v>
      </c>
      <c r="H1509" s="22">
        <f>IFERROR(D1509/G1509*100000,"")</f>
        <v>121.76484031308919</v>
      </c>
    </row>
    <row r="1510" spans="1:8" ht="15" customHeight="1" x14ac:dyDescent="0.3">
      <c r="A1510" s="20" t="s">
        <v>20</v>
      </c>
      <c r="B1510" s="20">
        <v>2023</v>
      </c>
      <c r="C1510" s="20" t="s">
        <v>97</v>
      </c>
      <c r="D1510" s="20">
        <v>167</v>
      </c>
      <c r="E1510" s="20">
        <v>0</v>
      </c>
      <c r="F1510" s="22">
        <f>IFERROR(E1510/D1510*100,"")</f>
        <v>0</v>
      </c>
      <c r="G1510" s="23">
        <f>IFERROR(INDEX(Population_by_Province_Year!$B$5:$J$29,MATCH($A1510,Population_by_Province_Year!$A$5:$A$29,0),MATCH($B1510,Population_by_Province_Year!$B$4:$J$4,0)),"")</f>
        <v>1162406</v>
      </c>
      <c r="H1510" s="22">
        <f>IFERROR(D1510/G1510*100000,"")</f>
        <v>14.366753096594476</v>
      </c>
    </row>
    <row r="1511" spans="1:8" ht="15" customHeight="1" x14ac:dyDescent="0.3">
      <c r="A1511" s="20" t="s">
        <v>21</v>
      </c>
      <c r="B1511" s="20">
        <v>2023</v>
      </c>
      <c r="C1511" s="20" t="s">
        <v>97</v>
      </c>
      <c r="D1511" s="20">
        <v>107</v>
      </c>
      <c r="E1511" s="20">
        <v>0</v>
      </c>
      <c r="F1511" s="22">
        <f>IFERROR(E1511/D1511*100,"")</f>
        <v>0</v>
      </c>
      <c r="G1511" s="23">
        <f>IFERROR(INDEX(Population_by_Province_Year!$B$5:$J$29,MATCH($A1511,Population_by_Province_Year!$A$5:$A$29,0),MATCH($B1511,Population_by_Province_Year!$B$4:$J$4,0)),"")</f>
        <v>454816</v>
      </c>
      <c r="H1511" s="22">
        <f>IFERROR(D1511/G1511*100000,"")</f>
        <v>23.52599732639133</v>
      </c>
    </row>
    <row r="1512" spans="1:8" ht="15" customHeight="1" x14ac:dyDescent="0.3">
      <c r="A1512" s="20" t="s">
        <v>22</v>
      </c>
      <c r="B1512" s="20">
        <v>2023</v>
      </c>
      <c r="C1512" s="20" t="s">
        <v>97</v>
      </c>
      <c r="D1512" s="20">
        <v>73</v>
      </c>
      <c r="E1512" s="20">
        <v>0</v>
      </c>
      <c r="F1512" s="22">
        <f>IFERROR(E1512/D1512*100,"")</f>
        <v>0</v>
      </c>
      <c r="G1512" s="23">
        <f>IFERROR(INDEX(Population_by_Province_Year!$B$5:$J$29,MATCH($A1512,Population_by_Province_Year!$A$5:$A$29,0),MATCH($B1512,Population_by_Province_Year!$B$4:$J$4,0)),"")</f>
        <v>238975</v>
      </c>
      <c r="H1512" s="22">
        <f>IFERROR(D1512/G1512*100000,"")</f>
        <v>30.547128360707188</v>
      </c>
    </row>
    <row r="1513" spans="1:8" ht="15" customHeight="1" x14ac:dyDescent="0.3">
      <c r="A1513" s="20" t="s">
        <v>23</v>
      </c>
      <c r="B1513" s="20">
        <v>2023</v>
      </c>
      <c r="C1513" s="20" t="s">
        <v>97</v>
      </c>
      <c r="D1513" s="20">
        <v>1314</v>
      </c>
      <c r="E1513" s="20">
        <v>5</v>
      </c>
      <c r="F1513" s="22">
        <f>IFERROR(E1513/D1513*100,"")</f>
        <v>0.38051750380517502</v>
      </c>
      <c r="G1513" s="23">
        <f>IFERROR(INDEX(Population_by_Province_Year!$B$5:$J$29,MATCH($A1513,Population_by_Province_Year!$A$5:$A$29,0),MATCH($B1513,Population_by_Province_Year!$B$4:$J$4,0)),"")</f>
        <v>1114616</v>
      </c>
      <c r="H1513" s="22">
        <f>IFERROR(D1513/G1513*100000,"")</f>
        <v>117.88813367114774</v>
      </c>
    </row>
    <row r="1514" spans="1:8" ht="15" customHeight="1" x14ac:dyDescent="0.3">
      <c r="A1514" s="20" t="s">
        <v>24</v>
      </c>
      <c r="B1514" s="20">
        <v>2023</v>
      </c>
      <c r="C1514" s="20" t="s">
        <v>97</v>
      </c>
      <c r="D1514" s="20">
        <v>18</v>
      </c>
      <c r="E1514" s="20">
        <v>0</v>
      </c>
      <c r="F1514" s="22">
        <f>IFERROR(E1514/D1514*100,"")</f>
        <v>0</v>
      </c>
      <c r="G1514" s="23">
        <f>IFERROR(INDEX(Population_by_Province_Year!$B$5:$J$29,MATCH($A1514,Population_by_Province_Year!$A$5:$A$29,0),MATCH($B1514,Population_by_Province_Year!$B$4:$J$4,0)),"")</f>
        <v>182114</v>
      </c>
      <c r="H1514" s="22">
        <f>IFERROR(D1514/G1514*100000,"")</f>
        <v>9.8839188640082583</v>
      </c>
    </row>
    <row r="1515" spans="1:8" ht="15" customHeight="1" x14ac:dyDescent="0.3">
      <c r="A1515" s="20" t="s">
        <v>25</v>
      </c>
      <c r="B1515" s="20">
        <v>2023</v>
      </c>
      <c r="C1515" s="20" t="s">
        <v>97</v>
      </c>
      <c r="D1515" s="20">
        <v>52</v>
      </c>
      <c r="E1515" s="20">
        <v>0</v>
      </c>
      <c r="F1515" s="22">
        <f>IFERROR(E1515/D1515*100,"")</f>
        <v>0</v>
      </c>
      <c r="G1515" s="23">
        <f>IFERROR(INDEX(Population_by_Province_Year!$B$5:$J$29,MATCH($A1515,Population_by_Province_Year!$A$5:$A$29,0),MATCH($B1515,Population_by_Province_Year!$B$4:$J$4,0)),"")</f>
        <v>577507</v>
      </c>
      <c r="H1515" s="22">
        <f>IFERROR(D1515/G1515*100000,"")</f>
        <v>9.0042198622700678</v>
      </c>
    </row>
    <row r="1516" spans="1:8" ht="15" customHeight="1" x14ac:dyDescent="0.3">
      <c r="A1516" s="20" t="s">
        <v>26</v>
      </c>
      <c r="B1516" s="20">
        <v>2023</v>
      </c>
      <c r="C1516" s="20" t="s">
        <v>97</v>
      </c>
      <c r="D1516" s="20">
        <v>163</v>
      </c>
      <c r="E1516" s="20">
        <v>0</v>
      </c>
      <c r="F1516" s="22">
        <f>IFERROR(E1516/D1516*100,"")</f>
        <v>0</v>
      </c>
      <c r="G1516" s="23">
        <f>IFERROR(INDEX(Population_by_Province_Year!$B$5:$J$29,MATCH($A1516,Population_by_Province_Year!$A$5:$A$29,0),MATCH($B1516,Population_by_Province_Year!$B$4:$J$4,0)),"")</f>
        <v>990080</v>
      </c>
      <c r="H1516" s="22">
        <f>IFERROR(D1516/G1516*100000,"")</f>
        <v>16.46331609566904</v>
      </c>
    </row>
    <row r="1517" spans="1:8" ht="15" customHeight="1" x14ac:dyDescent="0.3">
      <c r="A1517" s="20" t="s">
        <v>27</v>
      </c>
      <c r="B1517" s="20">
        <v>2023</v>
      </c>
      <c r="C1517" s="20" t="s">
        <v>97</v>
      </c>
      <c r="D1517" s="20">
        <v>341</v>
      </c>
      <c r="E1517" s="20">
        <v>2</v>
      </c>
      <c r="F1517" s="22">
        <f>IFERROR(E1517/D1517*100,"")</f>
        <v>0.5865102639296188</v>
      </c>
      <c r="G1517" s="23">
        <f>IFERROR(INDEX(Population_by_Province_Year!$B$5:$J$29,MATCH($A1517,Population_by_Province_Year!$A$5:$A$29,0),MATCH($B1517,Population_by_Province_Year!$B$4:$J$4,0)),"")</f>
        <v>853727</v>
      </c>
      <c r="H1517" s="22">
        <f>IFERROR(D1517/G1517*100000,"")</f>
        <v>39.942510896340394</v>
      </c>
    </row>
    <row r="1518" spans="1:8" ht="15" customHeight="1" x14ac:dyDescent="0.3">
      <c r="A1518" s="20" t="s">
        <v>3</v>
      </c>
      <c r="B1518" s="20">
        <v>2023</v>
      </c>
      <c r="C1518" s="20" t="s">
        <v>107</v>
      </c>
      <c r="D1518" s="20">
        <v>1064</v>
      </c>
      <c r="E1518" s="20">
        <v>2</v>
      </c>
      <c r="F1518" s="22">
        <f>IFERROR(E1518/D1518*100,"")</f>
        <v>0.18796992481203006</v>
      </c>
      <c r="G1518" s="23">
        <f>IFERROR(INDEX(Population_by_Province_Year!$B$5:$J$29,MATCH($A1518,Population_by_Province_Year!$A$5:$A$29,0),MATCH($B1518,Population_by_Province_Year!$B$4:$J$4,0)),"")</f>
        <v>947186</v>
      </c>
      <c r="H1518" s="22">
        <f>IFERROR(D1518/G1518*100000,"")</f>
        <v>112.33274140453933</v>
      </c>
    </row>
    <row r="1519" spans="1:8" ht="15" customHeight="1" x14ac:dyDescent="0.3">
      <c r="A1519" s="20" t="s">
        <v>4</v>
      </c>
      <c r="B1519" s="20">
        <v>2023</v>
      </c>
      <c r="C1519" s="20" t="s">
        <v>107</v>
      </c>
      <c r="D1519" s="20">
        <v>253</v>
      </c>
      <c r="E1519" s="20">
        <v>0</v>
      </c>
      <c r="F1519" s="22">
        <f>IFERROR(E1519/D1519*100,"")</f>
        <v>0</v>
      </c>
      <c r="G1519" s="23">
        <f>IFERROR(INDEX(Population_by_Province_Year!$B$5:$J$29,MATCH($A1519,Population_by_Province_Year!$A$5:$A$29,0),MATCH($B1519,Population_by_Province_Year!$B$4:$J$4,0)),"")</f>
        <v>1095862</v>
      </c>
      <c r="H1519" s="22">
        <f>IFERROR(D1519/G1519*100000,"")</f>
        <v>23.086848526548049</v>
      </c>
    </row>
    <row r="1520" spans="1:8" ht="15" customHeight="1" x14ac:dyDescent="0.3">
      <c r="A1520" s="20" t="s">
        <v>5</v>
      </c>
      <c r="B1520" s="20">
        <v>2023</v>
      </c>
      <c r="C1520" s="20" t="s">
        <v>107</v>
      </c>
      <c r="D1520" s="20">
        <v>188</v>
      </c>
      <c r="E1520" s="20">
        <v>1</v>
      </c>
      <c r="F1520" s="22">
        <f>IFERROR(E1520/D1520*100,"")</f>
        <v>0.53191489361702127</v>
      </c>
      <c r="G1520" s="23">
        <f>IFERROR(INDEX(Population_by_Province_Year!$B$5:$J$29,MATCH($A1520,Population_by_Province_Year!$A$5:$A$29,0),MATCH($B1520,Population_by_Province_Year!$B$4:$J$4,0)),"")</f>
        <v>988846</v>
      </c>
      <c r="H1520" s="22">
        <f>IFERROR(D1520/G1520*100000,"")</f>
        <v>19.012060523074371</v>
      </c>
    </row>
    <row r="1521" spans="1:8" ht="15" customHeight="1" x14ac:dyDescent="0.3">
      <c r="A1521" s="20" t="s">
        <v>6</v>
      </c>
      <c r="B1521" s="20">
        <v>2023</v>
      </c>
      <c r="C1521" s="20" t="s">
        <v>107</v>
      </c>
      <c r="D1521" s="20">
        <v>117</v>
      </c>
      <c r="E1521" s="20">
        <v>0</v>
      </c>
      <c r="F1521" s="22">
        <f>IFERROR(E1521/D1521*100,"")</f>
        <v>0</v>
      </c>
      <c r="G1521" s="23">
        <f>IFERROR(INDEX(Population_by_Province_Year!$B$5:$J$29,MATCH($A1521,Population_by_Province_Year!$A$5:$A$29,0),MATCH($B1521,Population_by_Province_Year!$B$4:$J$4,0)),"")</f>
        <v>579189</v>
      </c>
      <c r="H1521" s="22">
        <f>IFERROR(D1521/G1521*100000,"")</f>
        <v>20.200659888223015</v>
      </c>
    </row>
    <row r="1522" spans="1:8" ht="15" customHeight="1" x14ac:dyDescent="0.3">
      <c r="A1522" s="20" t="s">
        <v>7</v>
      </c>
      <c r="B1522" s="20">
        <v>2023</v>
      </c>
      <c r="C1522" s="20" t="s">
        <v>107</v>
      </c>
      <c r="D1522" s="20">
        <v>220</v>
      </c>
      <c r="E1522" s="20">
        <v>0</v>
      </c>
      <c r="F1522" s="22">
        <f>IFERROR(E1522/D1522*100,"")</f>
        <v>0</v>
      </c>
      <c r="G1522" s="23">
        <f>IFERROR(INDEX(Population_by_Province_Year!$B$5:$J$29,MATCH($A1522,Population_by_Province_Year!$A$5:$A$29,0),MATCH($B1522,Population_by_Province_Year!$B$4:$J$4,0)),"")</f>
        <v>964374</v>
      </c>
      <c r="H1522" s="22">
        <f>IFERROR(D1522/G1522*100000,"")</f>
        <v>22.812726182995394</v>
      </c>
    </row>
    <row r="1523" spans="1:8" ht="15" customHeight="1" x14ac:dyDescent="0.3">
      <c r="A1523" s="20" t="s">
        <v>8</v>
      </c>
      <c r="B1523" s="20">
        <v>2023</v>
      </c>
      <c r="C1523" s="20" t="s">
        <v>107</v>
      </c>
      <c r="D1523" s="20">
        <v>315</v>
      </c>
      <c r="E1523" s="20">
        <v>2</v>
      </c>
      <c r="F1523" s="22">
        <f>IFERROR(E1523/D1523*100,"")</f>
        <v>0.63492063492063489</v>
      </c>
      <c r="G1523" s="23">
        <f>IFERROR(INDEX(Population_by_Province_Year!$B$5:$J$29,MATCH($A1523,Population_by_Province_Year!$A$5:$A$29,0),MATCH($B1523,Population_by_Province_Year!$B$4:$J$4,0)),"")</f>
        <v>749004</v>
      </c>
      <c r="H1523" s="22">
        <f>IFERROR(D1523/G1523*100000,"")</f>
        <v>42.055850169024467</v>
      </c>
    </row>
    <row r="1524" spans="1:8" ht="15" customHeight="1" x14ac:dyDescent="0.3">
      <c r="A1524" s="20" t="s">
        <v>9</v>
      </c>
      <c r="B1524" s="20">
        <v>2023</v>
      </c>
      <c r="C1524" s="20" t="s">
        <v>107</v>
      </c>
      <c r="D1524" s="20">
        <v>73</v>
      </c>
      <c r="E1524" s="20">
        <v>0</v>
      </c>
      <c r="F1524" s="22">
        <f>IFERROR(E1524/D1524*100,"")</f>
        <v>0</v>
      </c>
      <c r="G1524" s="23">
        <f>IFERROR(INDEX(Population_by_Province_Year!$B$5:$J$29,MATCH($A1524,Population_by_Province_Year!$A$5:$A$29,0),MATCH($B1524,Population_by_Province_Year!$B$4:$J$4,0)),"")</f>
        <v>652602</v>
      </c>
      <c r="H1524" s="22">
        <f>IFERROR(D1524/G1524*100000,"")</f>
        <v>11.18599084894009</v>
      </c>
    </row>
    <row r="1525" spans="1:8" ht="15" customHeight="1" x14ac:dyDescent="0.3">
      <c r="A1525" s="20" t="s">
        <v>10</v>
      </c>
      <c r="B1525" s="20">
        <v>2023</v>
      </c>
      <c r="C1525" s="20" t="s">
        <v>107</v>
      </c>
      <c r="D1525" s="20">
        <v>417</v>
      </c>
      <c r="E1525" s="20">
        <v>1</v>
      </c>
      <c r="F1525" s="22">
        <f>IFERROR(E1525/D1525*100,"")</f>
        <v>0.23980815347721821</v>
      </c>
      <c r="G1525" s="23">
        <f>IFERROR(INDEX(Population_by_Province_Year!$B$5:$J$29,MATCH($A1525,Population_by_Province_Year!$A$5:$A$29,0),MATCH($B1525,Population_by_Province_Year!$B$4:$J$4,0)),"")</f>
        <v>1320505</v>
      </c>
      <c r="H1525" s="22">
        <f>IFERROR(D1525/G1525*100000,"")</f>
        <v>31.578827796941322</v>
      </c>
    </row>
    <row r="1526" spans="1:8" ht="15" customHeight="1" x14ac:dyDescent="0.3">
      <c r="A1526" s="20" t="s">
        <v>11</v>
      </c>
      <c r="B1526" s="20">
        <v>2023</v>
      </c>
      <c r="C1526" s="20" t="s">
        <v>107</v>
      </c>
      <c r="D1526" s="20">
        <v>8</v>
      </c>
      <c r="E1526" s="20">
        <v>0</v>
      </c>
      <c r="F1526" s="22">
        <f>IFERROR(E1526/D1526*100,"")</f>
        <v>0</v>
      </c>
      <c r="G1526" s="23">
        <f>IFERROR(INDEX(Population_by_Province_Year!$B$5:$J$29,MATCH($A1526,Population_by_Province_Year!$A$5:$A$29,0),MATCH($B1526,Population_by_Province_Year!$B$4:$J$4,0)),"")</f>
        <v>46888</v>
      </c>
      <c r="H1526" s="22">
        <f>IFERROR(D1526/G1526*100000,"")</f>
        <v>17.061934823408976</v>
      </c>
    </row>
    <row r="1527" spans="1:8" ht="15" customHeight="1" x14ac:dyDescent="0.3">
      <c r="A1527" s="20" t="s">
        <v>12</v>
      </c>
      <c r="B1527" s="20">
        <v>2023</v>
      </c>
      <c r="C1527" s="20" t="s">
        <v>107</v>
      </c>
      <c r="D1527" s="20">
        <v>3</v>
      </c>
      <c r="E1527" s="20">
        <v>0</v>
      </c>
      <c r="F1527" s="22">
        <f>IFERROR(E1527/D1527*100,"")</f>
        <v>0</v>
      </c>
      <c r="G1527" s="23">
        <f>IFERROR(INDEX(Population_by_Province_Year!$B$5:$J$29,MATCH($A1527,Population_by_Province_Year!$A$5:$A$29,0),MATCH($B1527,Population_by_Province_Year!$B$4:$J$4,0)),"")</f>
        <v>138363</v>
      </c>
      <c r="H1527" s="22">
        <f>IFERROR(D1527/G1527*100000,"")</f>
        <v>2.1682097092430777</v>
      </c>
    </row>
    <row r="1528" spans="1:8" ht="15" customHeight="1" x14ac:dyDescent="0.3">
      <c r="A1528" s="20" t="s">
        <v>13</v>
      </c>
      <c r="B1528" s="20">
        <v>2023</v>
      </c>
      <c r="C1528" s="20" t="s">
        <v>107</v>
      </c>
      <c r="D1528" s="20">
        <v>89</v>
      </c>
      <c r="E1528" s="20">
        <v>0</v>
      </c>
      <c r="F1528" s="22">
        <f>IFERROR(E1528/D1528*100,"")</f>
        <v>0</v>
      </c>
      <c r="G1528" s="23">
        <f>IFERROR(INDEX(Population_by_Province_Year!$B$5:$J$29,MATCH($A1528,Population_by_Province_Year!$A$5:$A$29,0),MATCH($B1528,Population_by_Province_Year!$B$4:$J$4,0)),"")</f>
        <v>411846</v>
      </c>
      <c r="H1528" s="22">
        <f>IFERROR(D1528/G1528*100000,"")</f>
        <v>21.61001927905091</v>
      </c>
    </row>
    <row r="1529" spans="1:8" ht="15" customHeight="1" x14ac:dyDescent="0.3">
      <c r="A1529" s="20" t="s">
        <v>14</v>
      </c>
      <c r="B1529" s="20">
        <v>2023</v>
      </c>
      <c r="C1529" s="20" t="s">
        <v>107</v>
      </c>
      <c r="D1529" s="20">
        <v>60</v>
      </c>
      <c r="E1529" s="20">
        <v>0</v>
      </c>
      <c r="F1529" s="22">
        <f>IFERROR(E1529/D1529*100,"")</f>
        <v>0</v>
      </c>
      <c r="G1529" s="23">
        <f>IFERROR(INDEX(Population_by_Province_Year!$B$5:$J$29,MATCH($A1529,Population_by_Province_Year!$A$5:$A$29,0),MATCH($B1529,Population_by_Province_Year!$B$4:$J$4,0)),"")</f>
        <v>101340</v>
      </c>
      <c r="H1529" s="22">
        <f>IFERROR(D1529/G1529*100000,"")</f>
        <v>59.206631142687975</v>
      </c>
    </row>
    <row r="1530" spans="1:8" ht="15" customHeight="1" x14ac:dyDescent="0.3">
      <c r="A1530" s="20" t="s">
        <v>15</v>
      </c>
      <c r="B1530" s="20">
        <v>2023</v>
      </c>
      <c r="C1530" s="20" t="s">
        <v>107</v>
      </c>
      <c r="D1530" s="20">
        <v>75</v>
      </c>
      <c r="E1530" s="20">
        <v>0</v>
      </c>
      <c r="F1530" s="22">
        <f>IFERROR(E1530/D1530*100,"")</f>
        <v>0</v>
      </c>
      <c r="G1530" s="23">
        <f>IFERROR(INDEX(Population_by_Province_Year!$B$5:$J$29,MATCH($A1530,Population_by_Province_Year!$A$5:$A$29,0),MATCH($B1530,Population_by_Province_Year!$B$4:$J$4,0)),"")</f>
        <v>303358</v>
      </c>
      <c r="H1530" s="22">
        <f>IFERROR(D1530/G1530*100000,"")</f>
        <v>24.723264262027044</v>
      </c>
    </row>
    <row r="1531" spans="1:8" ht="15" customHeight="1" x14ac:dyDescent="0.3">
      <c r="A1531" s="20" t="s">
        <v>16</v>
      </c>
      <c r="B1531" s="20">
        <v>2023</v>
      </c>
      <c r="C1531" s="20" t="s">
        <v>107</v>
      </c>
      <c r="D1531" s="20">
        <v>72</v>
      </c>
      <c r="E1531" s="20">
        <v>0</v>
      </c>
      <c r="F1531" s="22">
        <f>IFERROR(E1531/D1531*100,"")</f>
        <v>0</v>
      </c>
      <c r="G1531" s="23">
        <f>IFERROR(INDEX(Population_by_Province_Year!$B$5:$J$29,MATCH($A1531,Population_by_Province_Year!$A$5:$A$29,0),MATCH($B1531,Population_by_Province_Year!$B$4:$J$4,0)),"")</f>
        <v>82546</v>
      </c>
      <c r="H1531" s="22">
        <f>IFERROR(D1531/G1531*100000,"")</f>
        <v>87.224093232864092</v>
      </c>
    </row>
    <row r="1532" spans="1:8" ht="15" customHeight="1" x14ac:dyDescent="0.3">
      <c r="A1532" s="20" t="s">
        <v>17</v>
      </c>
      <c r="B1532" s="20">
        <v>2023</v>
      </c>
      <c r="C1532" s="20" t="s">
        <v>107</v>
      </c>
      <c r="D1532" s="20">
        <v>424</v>
      </c>
      <c r="E1532" s="20">
        <v>0</v>
      </c>
      <c r="F1532" s="22">
        <f>IFERROR(E1532/D1532*100,"")</f>
        <v>0</v>
      </c>
      <c r="G1532" s="23">
        <f>IFERROR(INDEX(Population_by_Province_Year!$B$5:$J$29,MATCH($A1532,Population_by_Province_Year!$A$5:$A$29,0),MATCH($B1532,Population_by_Province_Year!$B$4:$J$4,0)),"")</f>
        <v>2507803</v>
      </c>
      <c r="H1532" s="22">
        <f>IFERROR(D1532/G1532*100000,"")</f>
        <v>16.907229156357179</v>
      </c>
    </row>
    <row r="1533" spans="1:8" ht="15" customHeight="1" x14ac:dyDescent="0.3">
      <c r="A1533" s="20" t="s">
        <v>18</v>
      </c>
      <c r="B1533" s="20">
        <v>2023</v>
      </c>
      <c r="C1533" s="20" t="s">
        <v>107</v>
      </c>
      <c r="D1533" s="20">
        <v>41</v>
      </c>
      <c r="E1533" s="20">
        <v>0</v>
      </c>
      <c r="F1533" s="22">
        <f>IFERROR(E1533/D1533*100,"")</f>
        <v>0</v>
      </c>
      <c r="G1533" s="23">
        <f>IFERROR(INDEX(Population_by_Province_Year!$B$5:$J$29,MATCH($A1533,Population_by_Province_Year!$A$5:$A$29,0),MATCH($B1533,Population_by_Province_Year!$B$4:$J$4,0)),"")</f>
        <v>340761</v>
      </c>
      <c r="H1533" s="22">
        <f>IFERROR(D1533/G1533*100000,"")</f>
        <v>12.031893321125363</v>
      </c>
    </row>
    <row r="1534" spans="1:8" ht="15" customHeight="1" x14ac:dyDescent="0.3">
      <c r="A1534" s="20" t="s">
        <v>19</v>
      </c>
      <c r="B1534" s="20">
        <v>2023</v>
      </c>
      <c r="C1534" s="20" t="s">
        <v>107</v>
      </c>
      <c r="D1534" s="20">
        <v>128</v>
      </c>
      <c r="E1534" s="20">
        <v>0</v>
      </c>
      <c r="F1534" s="22">
        <f>IFERROR(E1534/D1534*100,"")</f>
        <v>0</v>
      </c>
      <c r="G1534" s="23">
        <f>IFERROR(INDEX(Population_by_Province_Year!$B$5:$J$29,MATCH($A1534,Population_by_Province_Year!$A$5:$A$29,0),MATCH($B1534,Population_by_Province_Year!$B$4:$J$4,0)),"")</f>
        <v>280048</v>
      </c>
      <c r="H1534" s="22">
        <f>IFERROR(D1534/G1534*100000,"")</f>
        <v>45.706450322801807</v>
      </c>
    </row>
    <row r="1535" spans="1:8" ht="15" customHeight="1" x14ac:dyDescent="0.3">
      <c r="A1535" s="20" t="s">
        <v>20</v>
      </c>
      <c r="B1535" s="20">
        <v>2023</v>
      </c>
      <c r="C1535" s="20" t="s">
        <v>107</v>
      </c>
      <c r="D1535" s="20">
        <v>133</v>
      </c>
      <c r="E1535" s="20">
        <v>2</v>
      </c>
      <c r="F1535" s="22">
        <f>IFERROR(E1535/D1535*100,"")</f>
        <v>1.5037593984962405</v>
      </c>
      <c r="G1535" s="23">
        <f>IFERROR(INDEX(Population_by_Province_Year!$B$5:$J$29,MATCH($A1535,Population_by_Province_Year!$A$5:$A$29,0),MATCH($B1535,Population_by_Province_Year!$B$4:$J$4,0)),"")</f>
        <v>1162406</v>
      </c>
      <c r="H1535" s="22">
        <f>IFERROR(D1535/G1535*100000,"")</f>
        <v>11.441785400281828</v>
      </c>
    </row>
    <row r="1536" spans="1:8" ht="15" customHeight="1" x14ac:dyDescent="0.3">
      <c r="A1536" s="20" t="s">
        <v>21</v>
      </c>
      <c r="B1536" s="20">
        <v>2023</v>
      </c>
      <c r="C1536" s="20" t="s">
        <v>107</v>
      </c>
      <c r="D1536" s="20">
        <v>113</v>
      </c>
      <c r="E1536" s="20">
        <v>0</v>
      </c>
      <c r="F1536" s="22">
        <f>IFERROR(E1536/D1536*100,"")</f>
        <v>0</v>
      </c>
      <c r="G1536" s="23">
        <f>IFERROR(INDEX(Population_by_Province_Year!$B$5:$J$29,MATCH($A1536,Population_by_Province_Year!$A$5:$A$29,0),MATCH($B1536,Population_by_Province_Year!$B$4:$J$4,0)),"")</f>
        <v>454816</v>
      </c>
      <c r="H1536" s="22">
        <f>IFERROR(D1536/G1536*100000,"")</f>
        <v>24.845212129740379</v>
      </c>
    </row>
    <row r="1537" spans="1:8" ht="15" customHeight="1" x14ac:dyDescent="0.3">
      <c r="A1537" s="20" t="s">
        <v>22</v>
      </c>
      <c r="B1537" s="20">
        <v>2023</v>
      </c>
      <c r="C1537" s="20" t="s">
        <v>107</v>
      </c>
      <c r="D1537" s="20">
        <v>33</v>
      </c>
      <c r="E1537" s="20">
        <v>0</v>
      </c>
      <c r="F1537" s="22">
        <f>IFERROR(E1537/D1537*100,"")</f>
        <v>0</v>
      </c>
      <c r="G1537" s="23">
        <f>IFERROR(INDEX(Population_by_Province_Year!$B$5:$J$29,MATCH($A1537,Population_by_Province_Year!$A$5:$A$29,0),MATCH($B1537,Population_by_Province_Year!$B$4:$J$4,0)),"")</f>
        <v>238975</v>
      </c>
      <c r="H1537" s="22">
        <f>IFERROR(D1537/G1537*100000,"")</f>
        <v>13.808975834292289</v>
      </c>
    </row>
    <row r="1538" spans="1:8" ht="15" customHeight="1" x14ac:dyDescent="0.3">
      <c r="A1538" s="20" t="s">
        <v>23</v>
      </c>
      <c r="B1538" s="20">
        <v>2023</v>
      </c>
      <c r="C1538" s="20" t="s">
        <v>107</v>
      </c>
      <c r="D1538" s="20">
        <v>1050</v>
      </c>
      <c r="E1538" s="20">
        <v>3</v>
      </c>
      <c r="F1538" s="22">
        <f>IFERROR(E1538/D1538*100,"")</f>
        <v>0.2857142857142857</v>
      </c>
      <c r="G1538" s="23">
        <f>IFERROR(INDEX(Population_by_Province_Year!$B$5:$J$29,MATCH($A1538,Population_by_Province_Year!$A$5:$A$29,0),MATCH($B1538,Population_by_Province_Year!$B$4:$J$4,0)),"")</f>
        <v>1114616</v>
      </c>
      <c r="H1538" s="22">
        <f>IFERROR(D1538/G1538*100000,"")</f>
        <v>94.202846540871477</v>
      </c>
    </row>
    <row r="1539" spans="1:8" ht="15" customHeight="1" x14ac:dyDescent="0.3">
      <c r="A1539" s="20" t="s">
        <v>24</v>
      </c>
      <c r="B1539" s="20">
        <v>2023</v>
      </c>
      <c r="C1539" s="20" t="s">
        <v>107</v>
      </c>
      <c r="D1539" s="20">
        <v>8</v>
      </c>
      <c r="E1539" s="20">
        <v>0</v>
      </c>
      <c r="F1539" s="22">
        <f>IFERROR(E1539/D1539*100,"")</f>
        <v>0</v>
      </c>
      <c r="G1539" s="23">
        <f>IFERROR(INDEX(Population_by_Province_Year!$B$5:$J$29,MATCH($A1539,Population_by_Province_Year!$A$5:$A$29,0),MATCH($B1539,Population_by_Province_Year!$B$4:$J$4,0)),"")</f>
        <v>182114</v>
      </c>
      <c r="H1539" s="22">
        <f>IFERROR(D1539/G1539*100000,"")</f>
        <v>4.392852828448115</v>
      </c>
    </row>
    <row r="1540" spans="1:8" ht="15" customHeight="1" x14ac:dyDescent="0.3">
      <c r="A1540" s="20" t="s">
        <v>25</v>
      </c>
      <c r="B1540" s="20">
        <v>2023</v>
      </c>
      <c r="C1540" s="20" t="s">
        <v>107</v>
      </c>
      <c r="D1540" s="20">
        <v>44</v>
      </c>
      <c r="E1540" s="20">
        <v>0</v>
      </c>
      <c r="F1540" s="22">
        <f>IFERROR(E1540/D1540*100,"")</f>
        <v>0</v>
      </c>
      <c r="G1540" s="23">
        <f>IFERROR(INDEX(Population_by_Province_Year!$B$5:$J$29,MATCH($A1540,Population_by_Province_Year!$A$5:$A$29,0),MATCH($B1540,Population_by_Province_Year!$B$4:$J$4,0)),"")</f>
        <v>577507</v>
      </c>
      <c r="H1540" s="22">
        <f>IFERROR(D1540/G1540*100000,"")</f>
        <v>7.6189552680746724</v>
      </c>
    </row>
    <row r="1541" spans="1:8" ht="15" customHeight="1" x14ac:dyDescent="0.3">
      <c r="A1541" s="20" t="s">
        <v>26</v>
      </c>
      <c r="B1541" s="20">
        <v>2023</v>
      </c>
      <c r="C1541" s="20" t="s">
        <v>107</v>
      </c>
      <c r="D1541" s="20">
        <v>117</v>
      </c>
      <c r="E1541" s="20">
        <v>0</v>
      </c>
      <c r="F1541" s="22">
        <f>IFERROR(E1541/D1541*100,"")</f>
        <v>0</v>
      </c>
      <c r="G1541" s="23">
        <f>IFERROR(INDEX(Population_by_Province_Year!$B$5:$J$29,MATCH($A1541,Population_by_Province_Year!$A$5:$A$29,0),MATCH($B1541,Population_by_Province_Year!$B$4:$J$4,0)),"")</f>
        <v>990080</v>
      </c>
      <c r="H1541" s="22">
        <f>IFERROR(D1541/G1541*100000,"")</f>
        <v>11.817226890756302</v>
      </c>
    </row>
    <row r="1542" spans="1:8" ht="15" customHeight="1" x14ac:dyDescent="0.3">
      <c r="A1542" s="20" t="s">
        <v>27</v>
      </c>
      <c r="B1542" s="20">
        <v>2023</v>
      </c>
      <c r="C1542" s="20" t="s">
        <v>107</v>
      </c>
      <c r="D1542" s="20">
        <v>145</v>
      </c>
      <c r="E1542" s="20">
        <v>0</v>
      </c>
      <c r="F1542" s="22">
        <f>IFERROR(E1542/D1542*100,"")</f>
        <v>0</v>
      </c>
      <c r="G1542" s="23">
        <f>IFERROR(INDEX(Population_by_Province_Year!$B$5:$J$29,MATCH($A1542,Population_by_Province_Year!$A$5:$A$29,0),MATCH($B1542,Population_by_Province_Year!$B$4:$J$4,0)),"")</f>
        <v>853727</v>
      </c>
      <c r="H1542" s="22">
        <f>IFERROR(D1542/G1542*100000,"")</f>
        <v>16.984352140672605</v>
      </c>
    </row>
    <row r="1543" spans="1:8" ht="15" customHeight="1" x14ac:dyDescent="0.3">
      <c r="A1543" s="20" t="s">
        <v>3</v>
      </c>
      <c r="B1543" s="20">
        <v>2023</v>
      </c>
      <c r="C1543" s="20" t="s">
        <v>106</v>
      </c>
      <c r="D1543" s="20">
        <v>864</v>
      </c>
      <c r="E1543" s="20">
        <v>1</v>
      </c>
      <c r="F1543" s="22">
        <f>IFERROR(E1543/D1543*100,"")</f>
        <v>0.11574074074074073</v>
      </c>
      <c r="G1543" s="23">
        <f>IFERROR(INDEX(Population_by_Province_Year!$B$5:$J$29,MATCH($A1543,Population_by_Province_Year!$A$5:$A$29,0),MATCH($B1543,Population_by_Province_Year!$B$4:$J$4,0)),"")</f>
        <v>947186</v>
      </c>
      <c r="H1543" s="22">
        <f>IFERROR(D1543/G1543*100000,"")</f>
        <v>91.217564448798868</v>
      </c>
    </row>
    <row r="1544" spans="1:8" ht="15" customHeight="1" x14ac:dyDescent="0.3">
      <c r="A1544" s="20" t="s">
        <v>4</v>
      </c>
      <c r="B1544" s="20">
        <v>2023</v>
      </c>
      <c r="C1544" s="20" t="s">
        <v>106</v>
      </c>
      <c r="D1544" s="20">
        <v>203</v>
      </c>
      <c r="E1544" s="20">
        <v>2</v>
      </c>
      <c r="F1544" s="22">
        <f>IFERROR(E1544/D1544*100,"")</f>
        <v>0.98522167487684731</v>
      </c>
      <c r="G1544" s="23">
        <f>IFERROR(INDEX(Population_by_Province_Year!$B$5:$J$29,MATCH($A1544,Population_by_Province_Year!$A$5:$A$29,0),MATCH($B1544,Population_by_Province_Year!$B$4:$J$4,0)),"")</f>
        <v>1095862</v>
      </c>
      <c r="H1544" s="22">
        <f>IFERROR(D1544/G1544*100000,"")</f>
        <v>18.524230240668992</v>
      </c>
    </row>
    <row r="1545" spans="1:8" ht="15" customHeight="1" x14ac:dyDescent="0.3">
      <c r="A1545" s="20" t="s">
        <v>5</v>
      </c>
      <c r="B1545" s="20">
        <v>2023</v>
      </c>
      <c r="C1545" s="20" t="s">
        <v>106</v>
      </c>
      <c r="D1545" s="20">
        <v>145</v>
      </c>
      <c r="E1545" s="20">
        <v>1</v>
      </c>
      <c r="F1545" s="22">
        <f>IFERROR(E1545/D1545*100,"")</f>
        <v>0.68965517241379315</v>
      </c>
      <c r="G1545" s="23">
        <f>IFERROR(INDEX(Population_by_Province_Year!$B$5:$J$29,MATCH($A1545,Population_by_Province_Year!$A$5:$A$29,0),MATCH($B1545,Population_by_Province_Year!$B$4:$J$4,0)),"")</f>
        <v>988846</v>
      </c>
      <c r="H1545" s="22">
        <f>IFERROR(D1545/G1545*100000,"")</f>
        <v>14.663557318328637</v>
      </c>
    </row>
    <row r="1546" spans="1:8" ht="15" customHeight="1" x14ac:dyDescent="0.3">
      <c r="A1546" s="20" t="s">
        <v>6</v>
      </c>
      <c r="B1546" s="20">
        <v>2023</v>
      </c>
      <c r="C1546" s="20" t="s">
        <v>106</v>
      </c>
      <c r="D1546" s="20">
        <v>104</v>
      </c>
      <c r="E1546" s="20">
        <v>3</v>
      </c>
      <c r="F1546" s="22">
        <f>IFERROR(E1546/D1546*100,"")</f>
        <v>2.8846153846153846</v>
      </c>
      <c r="G1546" s="23">
        <f>IFERROR(INDEX(Population_by_Province_Year!$B$5:$J$29,MATCH($A1546,Population_by_Province_Year!$A$5:$A$29,0),MATCH($B1546,Population_by_Province_Year!$B$4:$J$4,0)),"")</f>
        <v>579189</v>
      </c>
      <c r="H1546" s="22">
        <f>IFERROR(D1546/G1546*100000,"")</f>
        <v>17.956142122864904</v>
      </c>
    </row>
    <row r="1547" spans="1:8" ht="15" customHeight="1" x14ac:dyDescent="0.3">
      <c r="A1547" s="20" t="s">
        <v>7</v>
      </c>
      <c r="B1547" s="20">
        <v>2023</v>
      </c>
      <c r="C1547" s="20" t="s">
        <v>106</v>
      </c>
      <c r="D1547" s="20">
        <v>182</v>
      </c>
      <c r="E1547" s="20">
        <v>0</v>
      </c>
      <c r="F1547" s="22">
        <f>IFERROR(E1547/D1547*100,"")</f>
        <v>0</v>
      </c>
      <c r="G1547" s="23">
        <f>IFERROR(INDEX(Population_by_Province_Year!$B$5:$J$29,MATCH($A1547,Population_by_Province_Year!$A$5:$A$29,0),MATCH($B1547,Population_by_Province_Year!$B$4:$J$4,0)),"")</f>
        <v>964374</v>
      </c>
      <c r="H1547" s="22">
        <f>IFERROR(D1547/G1547*100000,"")</f>
        <v>18.872346205932551</v>
      </c>
    </row>
    <row r="1548" spans="1:8" ht="15" customHeight="1" x14ac:dyDescent="0.3">
      <c r="A1548" s="20" t="s">
        <v>8</v>
      </c>
      <c r="B1548" s="20">
        <v>2023</v>
      </c>
      <c r="C1548" s="20" t="s">
        <v>106</v>
      </c>
      <c r="D1548" s="20">
        <v>154</v>
      </c>
      <c r="E1548" s="20">
        <v>0</v>
      </c>
      <c r="F1548" s="22">
        <f>IFERROR(E1548/D1548*100,"")</f>
        <v>0</v>
      </c>
      <c r="G1548" s="23">
        <f>IFERROR(INDEX(Population_by_Province_Year!$B$5:$J$29,MATCH($A1548,Population_by_Province_Year!$A$5:$A$29,0),MATCH($B1548,Population_by_Province_Year!$B$4:$J$4,0)),"")</f>
        <v>749004</v>
      </c>
      <c r="H1548" s="22">
        <f>IFERROR(D1548/G1548*100000,"")</f>
        <v>20.560637860411958</v>
      </c>
    </row>
    <row r="1549" spans="1:8" ht="15" customHeight="1" x14ac:dyDescent="0.3">
      <c r="A1549" s="20" t="s">
        <v>9</v>
      </c>
      <c r="B1549" s="20">
        <v>2023</v>
      </c>
      <c r="C1549" s="20" t="s">
        <v>106</v>
      </c>
      <c r="D1549" s="20">
        <v>80</v>
      </c>
      <c r="E1549" s="20">
        <v>0</v>
      </c>
      <c r="F1549" s="22">
        <f>IFERROR(E1549/D1549*100,"")</f>
        <v>0</v>
      </c>
      <c r="G1549" s="23">
        <f>IFERROR(INDEX(Population_by_Province_Year!$B$5:$J$29,MATCH($A1549,Population_by_Province_Year!$A$5:$A$29,0),MATCH($B1549,Population_by_Province_Year!$B$4:$J$4,0)),"")</f>
        <v>652602</v>
      </c>
      <c r="H1549" s="22">
        <f>IFERROR(D1549/G1549*100000,"")</f>
        <v>12.258620108427495</v>
      </c>
    </row>
    <row r="1550" spans="1:8" ht="15" customHeight="1" x14ac:dyDescent="0.3">
      <c r="A1550" s="20" t="s">
        <v>10</v>
      </c>
      <c r="B1550" s="20">
        <v>2023</v>
      </c>
      <c r="C1550" s="20" t="s">
        <v>106</v>
      </c>
      <c r="D1550" s="20">
        <v>418</v>
      </c>
      <c r="E1550" s="20">
        <v>0</v>
      </c>
      <c r="F1550" s="22">
        <f>IFERROR(E1550/D1550*100,"")</f>
        <v>0</v>
      </c>
      <c r="G1550" s="23">
        <f>IFERROR(INDEX(Population_by_Province_Year!$B$5:$J$29,MATCH($A1550,Population_by_Province_Year!$A$5:$A$29,0),MATCH($B1550,Population_by_Province_Year!$B$4:$J$4,0)),"")</f>
        <v>1320505</v>
      </c>
      <c r="H1550" s="22">
        <f>IFERROR(D1550/G1550*100000,"")</f>
        <v>31.654556400770918</v>
      </c>
    </row>
    <row r="1551" spans="1:8" ht="15" customHeight="1" x14ac:dyDescent="0.3">
      <c r="A1551" s="20" t="s">
        <v>11</v>
      </c>
      <c r="B1551" s="20">
        <v>2023</v>
      </c>
      <c r="C1551" s="20" t="s">
        <v>106</v>
      </c>
      <c r="D1551" s="20">
        <v>10</v>
      </c>
      <c r="E1551" s="20">
        <v>0</v>
      </c>
      <c r="F1551" s="22">
        <f>IFERROR(E1551/D1551*100,"")</f>
        <v>0</v>
      </c>
      <c r="G1551" s="23">
        <f>IFERROR(INDEX(Population_by_Province_Year!$B$5:$J$29,MATCH($A1551,Population_by_Province_Year!$A$5:$A$29,0),MATCH($B1551,Population_by_Province_Year!$B$4:$J$4,0)),"")</f>
        <v>46888</v>
      </c>
      <c r="H1551" s="22">
        <f>IFERROR(D1551/G1551*100000,"")</f>
        <v>21.32741852926122</v>
      </c>
    </row>
    <row r="1552" spans="1:8" ht="15" customHeight="1" x14ac:dyDescent="0.3">
      <c r="A1552" s="20" t="s">
        <v>12</v>
      </c>
      <c r="B1552" s="20">
        <v>2023</v>
      </c>
      <c r="C1552" s="20" t="s">
        <v>106</v>
      </c>
      <c r="D1552" s="20">
        <v>12</v>
      </c>
      <c r="E1552" s="20">
        <v>0</v>
      </c>
      <c r="F1552" s="22">
        <f>IFERROR(E1552/D1552*100,"")</f>
        <v>0</v>
      </c>
      <c r="G1552" s="23">
        <f>IFERROR(INDEX(Population_by_Province_Year!$B$5:$J$29,MATCH($A1552,Population_by_Province_Year!$A$5:$A$29,0),MATCH($B1552,Population_by_Province_Year!$B$4:$J$4,0)),"")</f>
        <v>138363</v>
      </c>
      <c r="H1552" s="22">
        <f>IFERROR(D1552/G1552*100000,"")</f>
        <v>8.6728388369723106</v>
      </c>
    </row>
    <row r="1553" spans="1:8" ht="15" customHeight="1" x14ac:dyDescent="0.3">
      <c r="A1553" s="20" t="s">
        <v>13</v>
      </c>
      <c r="B1553" s="20">
        <v>2023</v>
      </c>
      <c r="C1553" s="20" t="s">
        <v>106</v>
      </c>
      <c r="D1553" s="20">
        <v>64</v>
      </c>
      <c r="E1553" s="20">
        <v>0</v>
      </c>
      <c r="F1553" s="22">
        <f>IFERROR(E1553/D1553*100,"")</f>
        <v>0</v>
      </c>
      <c r="G1553" s="23">
        <f>IFERROR(INDEX(Population_by_Province_Year!$B$5:$J$29,MATCH($A1553,Population_by_Province_Year!$A$5:$A$29,0),MATCH($B1553,Population_by_Province_Year!$B$4:$J$4,0)),"")</f>
        <v>411846</v>
      </c>
      <c r="H1553" s="22">
        <f>IFERROR(D1553/G1553*100000,"")</f>
        <v>15.539789144486047</v>
      </c>
    </row>
    <row r="1554" spans="1:8" ht="15" customHeight="1" x14ac:dyDescent="0.3">
      <c r="A1554" s="20" t="s">
        <v>14</v>
      </c>
      <c r="B1554" s="20">
        <v>2023</v>
      </c>
      <c r="C1554" s="20" t="s">
        <v>106</v>
      </c>
      <c r="D1554" s="20">
        <v>45</v>
      </c>
      <c r="E1554" s="20">
        <v>0</v>
      </c>
      <c r="F1554" s="22">
        <f>IFERROR(E1554/D1554*100,"")</f>
        <v>0</v>
      </c>
      <c r="G1554" s="23">
        <f>IFERROR(INDEX(Population_by_Province_Year!$B$5:$J$29,MATCH($A1554,Population_by_Province_Year!$A$5:$A$29,0),MATCH($B1554,Population_by_Province_Year!$B$4:$J$4,0)),"")</f>
        <v>101340</v>
      </c>
      <c r="H1554" s="22">
        <f>IFERROR(D1554/G1554*100000,"")</f>
        <v>44.40497335701599</v>
      </c>
    </row>
    <row r="1555" spans="1:8" ht="15" customHeight="1" x14ac:dyDescent="0.3">
      <c r="A1555" s="20" t="s">
        <v>15</v>
      </c>
      <c r="B1555" s="20">
        <v>2023</v>
      </c>
      <c r="C1555" s="20" t="s">
        <v>106</v>
      </c>
      <c r="D1555" s="20">
        <v>43</v>
      </c>
      <c r="E1555" s="20">
        <v>0</v>
      </c>
      <c r="F1555" s="22">
        <f>IFERROR(E1555/D1555*100,"")</f>
        <v>0</v>
      </c>
      <c r="G1555" s="23">
        <f>IFERROR(INDEX(Population_by_Province_Year!$B$5:$J$29,MATCH($A1555,Population_by_Province_Year!$A$5:$A$29,0),MATCH($B1555,Population_by_Province_Year!$B$4:$J$4,0)),"")</f>
        <v>303358</v>
      </c>
      <c r="H1555" s="22">
        <f>IFERROR(D1555/G1555*100000,"")</f>
        <v>14.174671510228839</v>
      </c>
    </row>
    <row r="1556" spans="1:8" ht="15" customHeight="1" x14ac:dyDescent="0.3">
      <c r="A1556" s="20" t="s">
        <v>16</v>
      </c>
      <c r="B1556" s="20">
        <v>2023</v>
      </c>
      <c r="C1556" s="20" t="s">
        <v>106</v>
      </c>
      <c r="D1556" s="20">
        <v>60</v>
      </c>
      <c r="E1556" s="20">
        <v>0</v>
      </c>
      <c r="F1556" s="22">
        <f>IFERROR(E1556/D1556*100,"")</f>
        <v>0</v>
      </c>
      <c r="G1556" s="23">
        <f>IFERROR(INDEX(Population_by_Province_Year!$B$5:$J$29,MATCH($A1556,Population_by_Province_Year!$A$5:$A$29,0),MATCH($B1556,Population_by_Province_Year!$B$4:$J$4,0)),"")</f>
        <v>82546</v>
      </c>
      <c r="H1556" s="22">
        <f>IFERROR(D1556/G1556*100000,"")</f>
        <v>72.686744360720084</v>
      </c>
    </row>
    <row r="1557" spans="1:8" ht="15" customHeight="1" x14ac:dyDescent="0.3">
      <c r="A1557" s="20" t="s">
        <v>17</v>
      </c>
      <c r="B1557" s="20">
        <v>2023</v>
      </c>
      <c r="C1557" s="20" t="s">
        <v>106</v>
      </c>
      <c r="D1557" s="20">
        <v>543</v>
      </c>
      <c r="E1557" s="20">
        <v>2</v>
      </c>
      <c r="F1557" s="22">
        <f>IFERROR(E1557/D1557*100,"")</f>
        <v>0.36832412523020258</v>
      </c>
      <c r="G1557" s="23">
        <f>IFERROR(INDEX(Population_by_Province_Year!$B$5:$J$29,MATCH($A1557,Population_by_Province_Year!$A$5:$A$29,0),MATCH($B1557,Population_by_Province_Year!$B$4:$J$4,0)),"")</f>
        <v>2507803</v>
      </c>
      <c r="H1557" s="22">
        <f>IFERROR(D1557/G1557*100000,"")</f>
        <v>21.652418471466859</v>
      </c>
    </row>
    <row r="1558" spans="1:8" ht="15" customHeight="1" x14ac:dyDescent="0.3">
      <c r="A1558" s="20" t="s">
        <v>18</v>
      </c>
      <c r="B1558" s="20">
        <v>2023</v>
      </c>
      <c r="C1558" s="20" t="s">
        <v>106</v>
      </c>
      <c r="D1558" s="20">
        <v>44</v>
      </c>
      <c r="E1558" s="20">
        <v>0</v>
      </c>
      <c r="F1558" s="22">
        <f>IFERROR(E1558/D1558*100,"")</f>
        <v>0</v>
      </c>
      <c r="G1558" s="23">
        <f>IFERROR(INDEX(Population_by_Province_Year!$B$5:$J$29,MATCH($A1558,Population_by_Province_Year!$A$5:$A$29,0),MATCH($B1558,Population_by_Province_Year!$B$4:$J$4,0)),"")</f>
        <v>340761</v>
      </c>
      <c r="H1558" s="22">
        <f>IFERROR(D1558/G1558*100000,"")</f>
        <v>12.912275759256486</v>
      </c>
    </row>
    <row r="1559" spans="1:8" ht="15" customHeight="1" x14ac:dyDescent="0.3">
      <c r="A1559" s="20" t="s">
        <v>19</v>
      </c>
      <c r="B1559" s="20">
        <v>2023</v>
      </c>
      <c r="C1559" s="20" t="s">
        <v>106</v>
      </c>
      <c r="D1559" s="20">
        <v>49</v>
      </c>
      <c r="E1559" s="20">
        <v>0</v>
      </c>
      <c r="F1559" s="22">
        <f>IFERROR(E1559/D1559*100,"")</f>
        <v>0</v>
      </c>
      <c r="G1559" s="23">
        <f>IFERROR(INDEX(Population_by_Province_Year!$B$5:$J$29,MATCH($A1559,Population_by_Province_Year!$A$5:$A$29,0),MATCH($B1559,Population_by_Province_Year!$B$4:$J$4,0)),"")</f>
        <v>280048</v>
      </c>
      <c r="H1559" s="22">
        <f>IFERROR(D1559/G1559*100000,"")</f>
        <v>17.497000514197566</v>
      </c>
    </row>
    <row r="1560" spans="1:8" ht="15" customHeight="1" x14ac:dyDescent="0.3">
      <c r="A1560" s="20" t="s">
        <v>20</v>
      </c>
      <c r="B1560" s="20">
        <v>2023</v>
      </c>
      <c r="C1560" s="20" t="s">
        <v>106</v>
      </c>
      <c r="D1560" s="20">
        <v>118</v>
      </c>
      <c r="E1560" s="20">
        <v>0</v>
      </c>
      <c r="F1560" s="22">
        <f>IFERROR(E1560/D1560*100,"")</f>
        <v>0</v>
      </c>
      <c r="G1560" s="23">
        <f>IFERROR(INDEX(Population_by_Province_Year!$B$5:$J$29,MATCH($A1560,Population_by_Province_Year!$A$5:$A$29,0),MATCH($B1560,Population_by_Province_Year!$B$4:$J$4,0)),"")</f>
        <v>1162406</v>
      </c>
      <c r="H1560" s="22">
        <f>IFERROR(D1560/G1560*100000,"")</f>
        <v>10.151358475438013</v>
      </c>
    </row>
    <row r="1561" spans="1:8" ht="15" customHeight="1" x14ac:dyDescent="0.3">
      <c r="A1561" s="20" t="s">
        <v>21</v>
      </c>
      <c r="B1561" s="20">
        <v>2023</v>
      </c>
      <c r="C1561" s="20" t="s">
        <v>106</v>
      </c>
      <c r="D1561" s="20">
        <v>140</v>
      </c>
      <c r="E1561" s="20">
        <v>0</v>
      </c>
      <c r="F1561" s="22">
        <f>IFERROR(E1561/D1561*100,"")</f>
        <v>0</v>
      </c>
      <c r="G1561" s="23">
        <f>IFERROR(INDEX(Population_by_Province_Year!$B$5:$J$29,MATCH($A1561,Population_by_Province_Year!$A$5:$A$29,0),MATCH($B1561,Population_by_Province_Year!$B$4:$J$4,0)),"")</f>
        <v>454816</v>
      </c>
      <c r="H1561" s="22">
        <f>IFERROR(D1561/G1561*100000,"")</f>
        <v>30.781678744811089</v>
      </c>
    </row>
    <row r="1562" spans="1:8" ht="15" customHeight="1" x14ac:dyDescent="0.3">
      <c r="A1562" s="20" t="s">
        <v>22</v>
      </c>
      <c r="B1562" s="20">
        <v>2023</v>
      </c>
      <c r="C1562" s="20" t="s">
        <v>106</v>
      </c>
      <c r="D1562" s="20">
        <v>19</v>
      </c>
      <c r="E1562" s="20">
        <v>0</v>
      </c>
      <c r="F1562" s="22">
        <f>IFERROR(E1562/D1562*100,"")</f>
        <v>0</v>
      </c>
      <c r="G1562" s="23">
        <f>IFERROR(INDEX(Population_by_Province_Year!$B$5:$J$29,MATCH($A1562,Population_by_Province_Year!$A$5:$A$29,0),MATCH($B1562,Population_by_Province_Year!$B$4:$J$4,0)),"")</f>
        <v>238975</v>
      </c>
      <c r="H1562" s="22">
        <f>IFERROR(D1562/G1562*100000,"")</f>
        <v>7.9506224500470761</v>
      </c>
    </row>
    <row r="1563" spans="1:8" ht="15" customHeight="1" x14ac:dyDescent="0.3">
      <c r="A1563" s="20" t="s">
        <v>23</v>
      </c>
      <c r="B1563" s="20">
        <v>2023</v>
      </c>
      <c r="C1563" s="20" t="s">
        <v>106</v>
      </c>
      <c r="D1563" s="20">
        <v>654</v>
      </c>
      <c r="E1563" s="20">
        <v>1</v>
      </c>
      <c r="F1563" s="22">
        <f>IFERROR(E1563/D1563*100,"")</f>
        <v>0.1529051987767584</v>
      </c>
      <c r="G1563" s="23">
        <f>IFERROR(INDEX(Population_by_Province_Year!$B$5:$J$29,MATCH($A1563,Population_by_Province_Year!$A$5:$A$29,0),MATCH($B1563,Population_by_Province_Year!$B$4:$J$4,0)),"")</f>
        <v>1114616</v>
      </c>
      <c r="H1563" s="22">
        <f>IFERROR(D1563/G1563*100000,"")</f>
        <v>58.674915845457086</v>
      </c>
    </row>
    <row r="1564" spans="1:8" ht="15" customHeight="1" x14ac:dyDescent="0.3">
      <c r="A1564" s="20" t="s">
        <v>24</v>
      </c>
      <c r="B1564" s="20">
        <v>2023</v>
      </c>
      <c r="C1564" s="20" t="s">
        <v>106</v>
      </c>
      <c r="D1564" s="20">
        <v>4</v>
      </c>
      <c r="E1564" s="20">
        <v>0</v>
      </c>
      <c r="F1564" s="22">
        <f>IFERROR(E1564/D1564*100,"")</f>
        <v>0</v>
      </c>
      <c r="G1564" s="23">
        <f>IFERROR(INDEX(Population_by_Province_Year!$B$5:$J$29,MATCH($A1564,Population_by_Province_Year!$A$5:$A$29,0),MATCH($B1564,Population_by_Province_Year!$B$4:$J$4,0)),"")</f>
        <v>182114</v>
      </c>
      <c r="H1564" s="22">
        <f>IFERROR(D1564/G1564*100000,"")</f>
        <v>2.1964264142240575</v>
      </c>
    </row>
    <row r="1565" spans="1:8" ht="15" customHeight="1" x14ac:dyDescent="0.3">
      <c r="A1565" s="20" t="s">
        <v>25</v>
      </c>
      <c r="B1565" s="20">
        <v>2023</v>
      </c>
      <c r="C1565" s="20" t="s">
        <v>106</v>
      </c>
      <c r="D1565" s="20">
        <v>46</v>
      </c>
      <c r="E1565" s="20">
        <v>0</v>
      </c>
      <c r="F1565" s="22">
        <f>IFERROR(E1565/D1565*100,"")</f>
        <v>0</v>
      </c>
      <c r="G1565" s="23">
        <f>IFERROR(INDEX(Population_by_Province_Year!$B$5:$J$29,MATCH($A1565,Population_by_Province_Year!$A$5:$A$29,0),MATCH($B1565,Population_by_Province_Year!$B$4:$J$4,0)),"")</f>
        <v>577507</v>
      </c>
      <c r="H1565" s="22">
        <f>IFERROR(D1565/G1565*100000,"")</f>
        <v>7.965271416623521</v>
      </c>
    </row>
    <row r="1566" spans="1:8" ht="15" customHeight="1" x14ac:dyDescent="0.3">
      <c r="A1566" s="20" t="s">
        <v>26</v>
      </c>
      <c r="B1566" s="20">
        <v>2023</v>
      </c>
      <c r="C1566" s="20" t="s">
        <v>106</v>
      </c>
      <c r="D1566" s="20">
        <v>74</v>
      </c>
      <c r="E1566" s="20">
        <v>0</v>
      </c>
      <c r="F1566" s="22">
        <f>IFERROR(E1566/D1566*100,"")</f>
        <v>0</v>
      </c>
      <c r="G1566" s="23">
        <f>IFERROR(INDEX(Population_by_Province_Year!$B$5:$J$29,MATCH($A1566,Population_by_Province_Year!$A$5:$A$29,0),MATCH($B1566,Population_by_Province_Year!$B$4:$J$4,0)),"")</f>
        <v>990080</v>
      </c>
      <c r="H1566" s="22">
        <f>IFERROR(D1566/G1566*100000,"")</f>
        <v>7.4741435035552692</v>
      </c>
    </row>
    <row r="1567" spans="1:8" ht="15" customHeight="1" x14ac:dyDescent="0.3">
      <c r="A1567" s="20" t="s">
        <v>27</v>
      </c>
      <c r="B1567" s="20">
        <v>2023</v>
      </c>
      <c r="C1567" s="20" t="s">
        <v>106</v>
      </c>
      <c r="D1567" s="20">
        <v>106</v>
      </c>
      <c r="E1567" s="20">
        <v>0</v>
      </c>
      <c r="F1567" s="22">
        <f>IFERROR(E1567/D1567*100,"")</f>
        <v>0</v>
      </c>
      <c r="G1567" s="23">
        <f>IFERROR(INDEX(Population_by_Province_Year!$B$5:$J$29,MATCH($A1567,Population_by_Province_Year!$A$5:$A$29,0),MATCH($B1567,Population_by_Province_Year!$B$4:$J$4,0)),"")</f>
        <v>853727</v>
      </c>
      <c r="H1567" s="22">
        <f>IFERROR(D1567/G1567*100000,"")</f>
        <v>12.416147082146869</v>
      </c>
    </row>
    <row r="1568" spans="1:8" ht="15" customHeight="1" x14ac:dyDescent="0.3">
      <c r="A1568" s="20" t="s">
        <v>3</v>
      </c>
      <c r="B1568" s="20">
        <v>2023</v>
      </c>
      <c r="C1568" s="20" t="s">
        <v>105</v>
      </c>
      <c r="D1568" s="20">
        <v>547</v>
      </c>
      <c r="E1568" s="20">
        <v>1</v>
      </c>
      <c r="F1568" s="22">
        <f>IFERROR(E1568/D1568*100,"")</f>
        <v>0.18281535648994515</v>
      </c>
      <c r="G1568" s="23">
        <f>IFERROR(INDEX(Population_by_Province_Year!$B$5:$J$29,MATCH($A1568,Population_by_Province_Year!$A$5:$A$29,0),MATCH($B1568,Population_by_Province_Year!$B$4:$J$4,0)),"")</f>
        <v>947186</v>
      </c>
      <c r="H1568" s="22">
        <f>IFERROR(D1568/G1568*100000,"")</f>
        <v>57.750008973950209</v>
      </c>
    </row>
    <row r="1569" spans="1:8" ht="15" customHeight="1" x14ac:dyDescent="0.3">
      <c r="A1569" s="20" t="s">
        <v>4</v>
      </c>
      <c r="B1569" s="20">
        <v>2023</v>
      </c>
      <c r="C1569" s="20" t="s">
        <v>105</v>
      </c>
      <c r="D1569" s="20">
        <v>189</v>
      </c>
      <c r="E1569" s="20">
        <v>1</v>
      </c>
      <c r="F1569" s="22">
        <f>IFERROR(E1569/D1569*100,"")</f>
        <v>0.52910052910052907</v>
      </c>
      <c r="G1569" s="23">
        <f>IFERROR(INDEX(Population_by_Province_Year!$B$5:$J$29,MATCH($A1569,Population_by_Province_Year!$A$5:$A$29,0),MATCH($B1569,Population_by_Province_Year!$B$4:$J$4,0)),"")</f>
        <v>1095862</v>
      </c>
      <c r="H1569" s="22">
        <f>IFERROR(D1569/G1569*100000,"")</f>
        <v>17.246697120622851</v>
      </c>
    </row>
    <row r="1570" spans="1:8" ht="15" customHeight="1" x14ac:dyDescent="0.3">
      <c r="A1570" s="20" t="s">
        <v>5</v>
      </c>
      <c r="B1570" s="20">
        <v>2023</v>
      </c>
      <c r="C1570" s="20" t="s">
        <v>105</v>
      </c>
      <c r="D1570" s="20">
        <v>164</v>
      </c>
      <c r="E1570" s="20">
        <v>1</v>
      </c>
      <c r="F1570" s="22">
        <f>IFERROR(E1570/D1570*100,"")</f>
        <v>0.6097560975609756</v>
      </c>
      <c r="G1570" s="23">
        <f>IFERROR(INDEX(Population_by_Province_Year!$B$5:$J$29,MATCH($A1570,Population_by_Province_Year!$A$5:$A$29,0),MATCH($B1570,Population_by_Province_Year!$B$4:$J$4,0)),"")</f>
        <v>988846</v>
      </c>
      <c r="H1570" s="22">
        <f>IFERROR(D1570/G1570*100000,"")</f>
        <v>16.584988966937217</v>
      </c>
    </row>
    <row r="1571" spans="1:8" ht="15" customHeight="1" x14ac:dyDescent="0.3">
      <c r="A1571" s="20" t="s">
        <v>6</v>
      </c>
      <c r="B1571" s="20">
        <v>2023</v>
      </c>
      <c r="C1571" s="20" t="s">
        <v>105</v>
      </c>
      <c r="D1571" s="20">
        <v>63</v>
      </c>
      <c r="E1571" s="20">
        <v>0</v>
      </c>
      <c r="F1571" s="22">
        <f>IFERROR(E1571/D1571*100,"")</f>
        <v>0</v>
      </c>
      <c r="G1571" s="23">
        <f>IFERROR(INDEX(Population_by_Province_Year!$B$5:$J$29,MATCH($A1571,Population_by_Province_Year!$A$5:$A$29,0),MATCH($B1571,Population_by_Province_Year!$B$4:$J$4,0)),"")</f>
        <v>579189</v>
      </c>
      <c r="H1571" s="22">
        <f>IFERROR(D1571/G1571*100000,"")</f>
        <v>10.877278401350853</v>
      </c>
    </row>
    <row r="1572" spans="1:8" ht="15" customHeight="1" x14ac:dyDescent="0.3">
      <c r="A1572" s="20" t="s">
        <v>7</v>
      </c>
      <c r="B1572" s="20">
        <v>2023</v>
      </c>
      <c r="C1572" s="20" t="s">
        <v>105</v>
      </c>
      <c r="D1572" s="20">
        <v>181</v>
      </c>
      <c r="E1572" s="20">
        <v>1</v>
      </c>
      <c r="F1572" s="22">
        <f>IFERROR(E1572/D1572*100,"")</f>
        <v>0.55248618784530379</v>
      </c>
      <c r="G1572" s="23">
        <f>IFERROR(INDEX(Population_by_Province_Year!$B$5:$J$29,MATCH($A1572,Population_by_Province_Year!$A$5:$A$29,0),MATCH($B1572,Population_by_Province_Year!$B$4:$J$4,0)),"")</f>
        <v>964374</v>
      </c>
      <c r="H1572" s="22">
        <f>IFERROR(D1572/G1572*100000,"")</f>
        <v>18.768651996009847</v>
      </c>
    </row>
    <row r="1573" spans="1:8" ht="15" customHeight="1" x14ac:dyDescent="0.3">
      <c r="A1573" s="20" t="s">
        <v>8</v>
      </c>
      <c r="B1573" s="20">
        <v>2023</v>
      </c>
      <c r="C1573" s="20" t="s">
        <v>105</v>
      </c>
      <c r="D1573" s="20">
        <v>205</v>
      </c>
      <c r="E1573" s="20">
        <v>1</v>
      </c>
      <c r="F1573" s="22">
        <f>IFERROR(E1573/D1573*100,"")</f>
        <v>0.48780487804878048</v>
      </c>
      <c r="G1573" s="23">
        <f>IFERROR(INDEX(Population_by_Province_Year!$B$5:$J$29,MATCH($A1573,Population_by_Province_Year!$A$5:$A$29,0),MATCH($B1573,Population_by_Province_Year!$B$4:$J$4,0)),"")</f>
        <v>749004</v>
      </c>
      <c r="H1573" s="22">
        <f>IFERROR(D1573/G1573*100000,"")</f>
        <v>27.369680268730207</v>
      </c>
    </row>
    <row r="1574" spans="1:8" ht="15" customHeight="1" x14ac:dyDescent="0.3">
      <c r="A1574" s="20" t="s">
        <v>9</v>
      </c>
      <c r="B1574" s="20">
        <v>2023</v>
      </c>
      <c r="C1574" s="20" t="s">
        <v>105</v>
      </c>
      <c r="D1574" s="20">
        <v>87</v>
      </c>
      <c r="E1574" s="20">
        <v>0</v>
      </c>
      <c r="F1574" s="22">
        <f>IFERROR(E1574/D1574*100,"")</f>
        <v>0</v>
      </c>
      <c r="G1574" s="23">
        <f>IFERROR(INDEX(Population_by_Province_Year!$B$5:$J$29,MATCH($A1574,Population_by_Province_Year!$A$5:$A$29,0),MATCH($B1574,Population_by_Province_Year!$B$4:$J$4,0)),"")</f>
        <v>652602</v>
      </c>
      <c r="H1574" s="22">
        <f>IFERROR(D1574/G1574*100000,"")</f>
        <v>13.3312493679149</v>
      </c>
    </row>
    <row r="1575" spans="1:8" ht="15" customHeight="1" x14ac:dyDescent="0.3">
      <c r="A1575" s="20" t="s">
        <v>10</v>
      </c>
      <c r="B1575" s="20">
        <v>2023</v>
      </c>
      <c r="C1575" s="20" t="s">
        <v>105</v>
      </c>
      <c r="D1575" s="20">
        <v>444</v>
      </c>
      <c r="E1575" s="20">
        <v>1</v>
      </c>
      <c r="F1575" s="22">
        <f>IFERROR(E1575/D1575*100,"")</f>
        <v>0.22522522522522523</v>
      </c>
      <c r="G1575" s="23">
        <f>IFERROR(INDEX(Population_by_Province_Year!$B$5:$J$29,MATCH($A1575,Population_by_Province_Year!$A$5:$A$29,0),MATCH($B1575,Population_by_Province_Year!$B$4:$J$4,0)),"")</f>
        <v>1320505</v>
      </c>
      <c r="H1575" s="22">
        <f>IFERROR(D1575/G1575*100000,"")</f>
        <v>33.623500100340401</v>
      </c>
    </row>
    <row r="1576" spans="1:8" ht="15" customHeight="1" x14ac:dyDescent="0.3">
      <c r="A1576" s="20" t="s">
        <v>11</v>
      </c>
      <c r="B1576" s="20">
        <v>2023</v>
      </c>
      <c r="C1576" s="20" t="s">
        <v>105</v>
      </c>
      <c r="D1576" s="20">
        <v>9</v>
      </c>
      <c r="E1576" s="20">
        <v>0</v>
      </c>
      <c r="F1576" s="22">
        <f>IFERROR(E1576/D1576*100,"")</f>
        <v>0</v>
      </c>
      <c r="G1576" s="23">
        <f>IFERROR(INDEX(Population_by_Province_Year!$B$5:$J$29,MATCH($A1576,Population_by_Province_Year!$A$5:$A$29,0),MATCH($B1576,Population_by_Province_Year!$B$4:$J$4,0)),"")</f>
        <v>46888</v>
      </c>
      <c r="H1576" s="22">
        <f>IFERROR(D1576/G1576*100000,"")</f>
        <v>19.194676676335096</v>
      </c>
    </row>
    <row r="1577" spans="1:8" ht="15" customHeight="1" x14ac:dyDescent="0.3">
      <c r="A1577" s="20" t="s">
        <v>12</v>
      </c>
      <c r="B1577" s="20">
        <v>2023</v>
      </c>
      <c r="C1577" s="20" t="s">
        <v>105</v>
      </c>
      <c r="D1577" s="20">
        <v>6</v>
      </c>
      <c r="E1577" s="20">
        <v>1</v>
      </c>
      <c r="F1577" s="22">
        <f>IFERROR(E1577/D1577*100,"")</f>
        <v>16.666666666666664</v>
      </c>
      <c r="G1577" s="23">
        <f>IFERROR(INDEX(Population_by_Province_Year!$B$5:$J$29,MATCH($A1577,Population_by_Province_Year!$A$5:$A$29,0),MATCH($B1577,Population_by_Province_Year!$B$4:$J$4,0)),"")</f>
        <v>138363</v>
      </c>
      <c r="H1577" s="22">
        <f>IFERROR(D1577/G1577*100000,"")</f>
        <v>4.3364194184861553</v>
      </c>
    </row>
    <row r="1578" spans="1:8" ht="15" customHeight="1" x14ac:dyDescent="0.3">
      <c r="A1578" s="20" t="s">
        <v>13</v>
      </c>
      <c r="B1578" s="20">
        <v>2023</v>
      </c>
      <c r="C1578" s="20" t="s">
        <v>105</v>
      </c>
      <c r="D1578" s="20">
        <v>69</v>
      </c>
      <c r="E1578" s="20">
        <v>0</v>
      </c>
      <c r="F1578" s="22">
        <f>IFERROR(E1578/D1578*100,"")</f>
        <v>0</v>
      </c>
      <c r="G1578" s="23">
        <f>IFERROR(INDEX(Population_by_Province_Year!$B$5:$J$29,MATCH($A1578,Population_by_Province_Year!$A$5:$A$29,0),MATCH($B1578,Population_by_Province_Year!$B$4:$J$4,0)),"")</f>
        <v>411846</v>
      </c>
      <c r="H1578" s="22">
        <f>IFERROR(D1578/G1578*100000,"")</f>
        <v>16.753835171399018</v>
      </c>
    </row>
    <row r="1579" spans="1:8" ht="15" customHeight="1" x14ac:dyDescent="0.3">
      <c r="A1579" s="20" t="s">
        <v>14</v>
      </c>
      <c r="B1579" s="20">
        <v>2023</v>
      </c>
      <c r="C1579" s="20" t="s">
        <v>105</v>
      </c>
      <c r="D1579" s="20">
        <v>9</v>
      </c>
      <c r="E1579" s="20">
        <v>0</v>
      </c>
      <c r="F1579" s="22">
        <f>IFERROR(E1579/D1579*100,"")</f>
        <v>0</v>
      </c>
      <c r="G1579" s="23">
        <f>IFERROR(INDEX(Population_by_Province_Year!$B$5:$J$29,MATCH($A1579,Population_by_Province_Year!$A$5:$A$29,0),MATCH($B1579,Population_by_Province_Year!$B$4:$J$4,0)),"")</f>
        <v>101340</v>
      </c>
      <c r="H1579" s="22">
        <f>IFERROR(D1579/G1579*100000,"")</f>
        <v>8.8809946714031973</v>
      </c>
    </row>
    <row r="1580" spans="1:8" ht="15" customHeight="1" x14ac:dyDescent="0.3">
      <c r="A1580" s="20" t="s">
        <v>15</v>
      </c>
      <c r="B1580" s="20">
        <v>2023</v>
      </c>
      <c r="C1580" s="20" t="s">
        <v>105</v>
      </c>
      <c r="D1580" s="20">
        <v>33</v>
      </c>
      <c r="E1580" s="20">
        <v>1</v>
      </c>
      <c r="F1580" s="22">
        <f>IFERROR(E1580/D1580*100,"")</f>
        <v>3.0303030303030303</v>
      </c>
      <c r="G1580" s="23">
        <f>IFERROR(INDEX(Population_by_Province_Year!$B$5:$J$29,MATCH($A1580,Population_by_Province_Year!$A$5:$A$29,0),MATCH($B1580,Population_by_Province_Year!$B$4:$J$4,0)),"")</f>
        <v>303358</v>
      </c>
      <c r="H1580" s="22">
        <f>IFERROR(D1580/G1580*100000,"")</f>
        <v>10.878236275291899</v>
      </c>
    </row>
    <row r="1581" spans="1:8" ht="15" customHeight="1" x14ac:dyDescent="0.3">
      <c r="A1581" s="20" t="s">
        <v>16</v>
      </c>
      <c r="B1581" s="20">
        <v>2023</v>
      </c>
      <c r="C1581" s="20" t="s">
        <v>105</v>
      </c>
      <c r="D1581" s="20">
        <v>43</v>
      </c>
      <c r="E1581" s="20">
        <v>0</v>
      </c>
      <c r="F1581" s="22">
        <f>IFERROR(E1581/D1581*100,"")</f>
        <v>0</v>
      </c>
      <c r="G1581" s="23">
        <f>IFERROR(INDEX(Population_by_Province_Year!$B$5:$J$29,MATCH($A1581,Population_by_Province_Year!$A$5:$A$29,0),MATCH($B1581,Population_by_Province_Year!$B$4:$J$4,0)),"")</f>
        <v>82546</v>
      </c>
      <c r="H1581" s="22">
        <f>IFERROR(D1581/G1581*100000,"")</f>
        <v>52.092166791849387</v>
      </c>
    </row>
    <row r="1582" spans="1:8" ht="15" customHeight="1" x14ac:dyDescent="0.3">
      <c r="A1582" s="20" t="s">
        <v>17</v>
      </c>
      <c r="B1582" s="20">
        <v>2023</v>
      </c>
      <c r="C1582" s="20" t="s">
        <v>105</v>
      </c>
      <c r="D1582" s="20">
        <v>841</v>
      </c>
      <c r="E1582" s="20">
        <v>2</v>
      </c>
      <c r="F1582" s="22">
        <f>IFERROR(E1582/D1582*100,"")</f>
        <v>0.23781212841854932</v>
      </c>
      <c r="G1582" s="23">
        <f>IFERROR(INDEX(Population_by_Province_Year!$B$5:$J$29,MATCH($A1582,Population_by_Province_Year!$A$5:$A$29,0),MATCH($B1582,Population_by_Province_Year!$B$4:$J$4,0)),"")</f>
        <v>2507803</v>
      </c>
      <c r="H1582" s="22">
        <f>IFERROR(D1582/G1582*100000,"")</f>
        <v>33.535329529472612</v>
      </c>
    </row>
    <row r="1583" spans="1:8" ht="15" customHeight="1" x14ac:dyDescent="0.3">
      <c r="A1583" s="20" t="s">
        <v>18</v>
      </c>
      <c r="B1583" s="20">
        <v>2023</v>
      </c>
      <c r="C1583" s="20" t="s">
        <v>105</v>
      </c>
      <c r="D1583" s="20">
        <v>41</v>
      </c>
      <c r="E1583" s="20">
        <v>1</v>
      </c>
      <c r="F1583" s="22">
        <f>IFERROR(E1583/D1583*100,"")</f>
        <v>2.4390243902439024</v>
      </c>
      <c r="G1583" s="23">
        <f>IFERROR(INDEX(Population_by_Province_Year!$B$5:$J$29,MATCH($A1583,Population_by_Province_Year!$A$5:$A$29,0),MATCH($B1583,Population_by_Province_Year!$B$4:$J$4,0)),"")</f>
        <v>340761</v>
      </c>
      <c r="H1583" s="22">
        <f>IFERROR(D1583/G1583*100000,"")</f>
        <v>12.031893321125363</v>
      </c>
    </row>
    <row r="1584" spans="1:8" ht="15" customHeight="1" x14ac:dyDescent="0.3">
      <c r="A1584" s="20" t="s">
        <v>19</v>
      </c>
      <c r="B1584" s="20">
        <v>2023</v>
      </c>
      <c r="C1584" s="20" t="s">
        <v>105</v>
      </c>
      <c r="D1584" s="20">
        <v>44</v>
      </c>
      <c r="E1584" s="20">
        <v>0</v>
      </c>
      <c r="F1584" s="22">
        <f>IFERROR(E1584/D1584*100,"")</f>
        <v>0</v>
      </c>
      <c r="G1584" s="23">
        <f>IFERROR(INDEX(Population_by_Province_Year!$B$5:$J$29,MATCH($A1584,Population_by_Province_Year!$A$5:$A$29,0),MATCH($B1584,Population_by_Province_Year!$B$4:$J$4,0)),"")</f>
        <v>280048</v>
      </c>
      <c r="H1584" s="22">
        <f>IFERROR(D1584/G1584*100000,"")</f>
        <v>15.71159229846312</v>
      </c>
    </row>
    <row r="1585" spans="1:8" ht="15" customHeight="1" x14ac:dyDescent="0.3">
      <c r="A1585" s="20" t="s">
        <v>20</v>
      </c>
      <c r="B1585" s="20">
        <v>2023</v>
      </c>
      <c r="C1585" s="20" t="s">
        <v>105</v>
      </c>
      <c r="D1585" s="20">
        <v>135</v>
      </c>
      <c r="E1585" s="20">
        <v>1</v>
      </c>
      <c r="F1585" s="22">
        <f>IFERROR(E1585/D1585*100,"")</f>
        <v>0.74074074074074081</v>
      </c>
      <c r="G1585" s="23">
        <f>IFERROR(INDEX(Population_by_Province_Year!$B$5:$J$29,MATCH($A1585,Population_by_Province_Year!$A$5:$A$29,0),MATCH($B1585,Population_by_Province_Year!$B$4:$J$4,0)),"")</f>
        <v>1162406</v>
      </c>
      <c r="H1585" s="22">
        <f>IFERROR(D1585/G1585*100000,"")</f>
        <v>11.613842323594339</v>
      </c>
    </row>
    <row r="1586" spans="1:8" ht="15" customHeight="1" x14ac:dyDescent="0.3">
      <c r="A1586" s="20" t="s">
        <v>21</v>
      </c>
      <c r="B1586" s="20">
        <v>2023</v>
      </c>
      <c r="C1586" s="20" t="s">
        <v>105</v>
      </c>
      <c r="D1586" s="20">
        <v>131</v>
      </c>
      <c r="E1586" s="20">
        <v>0</v>
      </c>
      <c r="F1586" s="22">
        <f>IFERROR(E1586/D1586*100,"")</f>
        <v>0</v>
      </c>
      <c r="G1586" s="23">
        <f>IFERROR(INDEX(Population_by_Province_Year!$B$5:$J$29,MATCH($A1586,Population_by_Province_Year!$A$5:$A$29,0),MATCH($B1586,Population_by_Province_Year!$B$4:$J$4,0)),"")</f>
        <v>454816</v>
      </c>
      <c r="H1586" s="22">
        <f>IFERROR(D1586/G1586*100000,"")</f>
        <v>28.802856539787516</v>
      </c>
    </row>
    <row r="1587" spans="1:8" ht="15" customHeight="1" x14ac:dyDescent="0.3">
      <c r="A1587" s="20" t="s">
        <v>22</v>
      </c>
      <c r="B1587" s="20">
        <v>2023</v>
      </c>
      <c r="C1587" s="20" t="s">
        <v>105</v>
      </c>
      <c r="D1587" s="20">
        <v>19</v>
      </c>
      <c r="E1587" s="20">
        <v>0</v>
      </c>
      <c r="F1587" s="22">
        <f>IFERROR(E1587/D1587*100,"")</f>
        <v>0</v>
      </c>
      <c r="G1587" s="23">
        <f>IFERROR(INDEX(Population_by_Province_Year!$B$5:$J$29,MATCH($A1587,Population_by_Province_Year!$A$5:$A$29,0),MATCH($B1587,Population_by_Province_Year!$B$4:$J$4,0)),"")</f>
        <v>238975</v>
      </c>
      <c r="H1587" s="22">
        <f>IFERROR(D1587/G1587*100000,"")</f>
        <v>7.9506224500470761</v>
      </c>
    </row>
    <row r="1588" spans="1:8" ht="15" customHeight="1" x14ac:dyDescent="0.3">
      <c r="A1588" s="20" t="s">
        <v>23</v>
      </c>
      <c r="B1588" s="20">
        <v>2023</v>
      </c>
      <c r="C1588" s="20" t="s">
        <v>105</v>
      </c>
      <c r="D1588" s="20">
        <v>383</v>
      </c>
      <c r="E1588" s="20">
        <v>1</v>
      </c>
      <c r="F1588" s="22">
        <f>IFERROR(E1588/D1588*100,"")</f>
        <v>0.26109660574412535</v>
      </c>
      <c r="G1588" s="23">
        <f>IFERROR(INDEX(Population_by_Province_Year!$B$5:$J$29,MATCH($A1588,Population_by_Province_Year!$A$5:$A$29,0),MATCH($B1588,Population_by_Province_Year!$B$4:$J$4,0)),"")</f>
        <v>1114616</v>
      </c>
      <c r="H1588" s="22">
        <f>IFERROR(D1588/G1588*100000,"")</f>
        <v>34.36160973824169</v>
      </c>
    </row>
    <row r="1589" spans="1:8" ht="15" customHeight="1" x14ac:dyDescent="0.3">
      <c r="A1589" s="20" t="s">
        <v>24</v>
      </c>
      <c r="B1589" s="20">
        <v>2023</v>
      </c>
      <c r="C1589" s="20" t="s">
        <v>105</v>
      </c>
      <c r="D1589" s="20">
        <v>6</v>
      </c>
      <c r="E1589" s="20">
        <v>0</v>
      </c>
      <c r="F1589" s="22">
        <f>IFERROR(E1589/D1589*100,"")</f>
        <v>0</v>
      </c>
      <c r="G1589" s="23">
        <f>IFERROR(INDEX(Population_by_Province_Year!$B$5:$J$29,MATCH($A1589,Population_by_Province_Year!$A$5:$A$29,0),MATCH($B1589,Population_by_Province_Year!$B$4:$J$4,0)),"")</f>
        <v>182114</v>
      </c>
      <c r="H1589" s="22">
        <f>IFERROR(D1589/G1589*100000,"")</f>
        <v>3.2946396213360858</v>
      </c>
    </row>
    <row r="1590" spans="1:8" ht="15" customHeight="1" x14ac:dyDescent="0.3">
      <c r="A1590" s="20" t="s">
        <v>25</v>
      </c>
      <c r="B1590" s="20">
        <v>2023</v>
      </c>
      <c r="C1590" s="20" t="s">
        <v>105</v>
      </c>
      <c r="D1590" s="20">
        <v>47</v>
      </c>
      <c r="E1590" s="20">
        <v>0</v>
      </c>
      <c r="F1590" s="22">
        <f>IFERROR(E1590/D1590*100,"")</f>
        <v>0</v>
      </c>
      <c r="G1590" s="23">
        <f>IFERROR(INDEX(Population_by_Province_Year!$B$5:$J$29,MATCH($A1590,Population_by_Province_Year!$A$5:$A$29,0),MATCH($B1590,Population_by_Province_Year!$B$4:$J$4,0)),"")</f>
        <v>577507</v>
      </c>
      <c r="H1590" s="22">
        <f>IFERROR(D1590/G1590*100000,"")</f>
        <v>8.1384294908979466</v>
      </c>
    </row>
    <row r="1591" spans="1:8" ht="15" customHeight="1" x14ac:dyDescent="0.3">
      <c r="A1591" s="20" t="s">
        <v>26</v>
      </c>
      <c r="B1591" s="20">
        <v>2023</v>
      </c>
      <c r="C1591" s="20" t="s">
        <v>105</v>
      </c>
      <c r="D1591" s="20">
        <v>108</v>
      </c>
      <c r="E1591" s="20">
        <v>0</v>
      </c>
      <c r="F1591" s="22">
        <f>IFERROR(E1591/D1591*100,"")</f>
        <v>0</v>
      </c>
      <c r="G1591" s="23">
        <f>IFERROR(INDEX(Population_by_Province_Year!$B$5:$J$29,MATCH($A1591,Population_by_Province_Year!$A$5:$A$29,0),MATCH($B1591,Population_by_Province_Year!$B$4:$J$4,0)),"")</f>
        <v>990080</v>
      </c>
      <c r="H1591" s="22">
        <f>IFERROR(D1591/G1591*100000,"")</f>
        <v>10.908209437621203</v>
      </c>
    </row>
    <row r="1592" spans="1:8" ht="15" customHeight="1" x14ac:dyDescent="0.3">
      <c r="A1592" s="20" t="s">
        <v>27</v>
      </c>
      <c r="B1592" s="20">
        <v>2023</v>
      </c>
      <c r="C1592" s="20" t="s">
        <v>105</v>
      </c>
      <c r="D1592" s="20">
        <v>77</v>
      </c>
      <c r="E1592" s="20">
        <v>0</v>
      </c>
      <c r="F1592" s="22">
        <f>IFERROR(E1592/D1592*100,"")</f>
        <v>0</v>
      </c>
      <c r="G1592" s="23">
        <f>IFERROR(INDEX(Population_by_Province_Year!$B$5:$J$29,MATCH($A1592,Population_by_Province_Year!$A$5:$A$29,0),MATCH($B1592,Population_by_Province_Year!$B$4:$J$4,0)),"")</f>
        <v>853727</v>
      </c>
      <c r="H1592" s="22">
        <f>IFERROR(D1592/G1592*100000,"")</f>
        <v>9.0192766540123479</v>
      </c>
    </row>
    <row r="1593" spans="1:8" ht="15" customHeight="1" x14ac:dyDescent="0.3">
      <c r="A1593" s="20" t="s">
        <v>3</v>
      </c>
      <c r="B1593" s="20">
        <v>2023</v>
      </c>
      <c r="C1593" s="20" t="s">
        <v>98</v>
      </c>
      <c r="D1593" s="20">
        <v>282</v>
      </c>
      <c r="E1593" s="20">
        <v>3</v>
      </c>
      <c r="F1593" s="22">
        <f>IFERROR(E1593/D1593*100,"")</f>
        <v>1.0638297872340425</v>
      </c>
      <c r="G1593" s="23">
        <f>IFERROR(INDEX(Population_by_Province_Year!$B$5:$J$29,MATCH($A1593,Population_by_Province_Year!$A$5:$A$29,0),MATCH($B1593,Population_by_Province_Year!$B$4:$J$4,0)),"")</f>
        <v>947186</v>
      </c>
      <c r="H1593" s="22">
        <f>IFERROR(D1593/G1593*100000,"")</f>
        <v>29.77239950759407</v>
      </c>
    </row>
    <row r="1594" spans="1:8" ht="15" customHeight="1" x14ac:dyDescent="0.3">
      <c r="A1594" s="20" t="s">
        <v>4</v>
      </c>
      <c r="B1594" s="20">
        <v>2023</v>
      </c>
      <c r="C1594" s="20" t="s">
        <v>98</v>
      </c>
      <c r="D1594" s="20">
        <v>129</v>
      </c>
      <c r="E1594" s="20">
        <v>0</v>
      </c>
      <c r="F1594" s="22">
        <f>IFERROR(E1594/D1594*100,"")</f>
        <v>0</v>
      </c>
      <c r="G1594" s="23">
        <f>IFERROR(INDEX(Population_by_Province_Year!$B$5:$J$29,MATCH($A1594,Population_by_Province_Year!$A$5:$A$29,0),MATCH($B1594,Population_by_Province_Year!$B$4:$J$4,0)),"")</f>
        <v>1095862</v>
      </c>
      <c r="H1594" s="22">
        <f>IFERROR(D1594/G1594*100000,"")</f>
        <v>11.771555177567979</v>
      </c>
    </row>
    <row r="1595" spans="1:8" ht="15" customHeight="1" x14ac:dyDescent="0.3">
      <c r="A1595" s="20" t="s">
        <v>5</v>
      </c>
      <c r="B1595" s="20">
        <v>2023</v>
      </c>
      <c r="C1595" s="20" t="s">
        <v>98</v>
      </c>
      <c r="D1595" s="20">
        <v>132</v>
      </c>
      <c r="E1595" s="20">
        <v>0</v>
      </c>
      <c r="F1595" s="22">
        <f>IFERROR(E1595/D1595*100,"")</f>
        <v>0</v>
      </c>
      <c r="G1595" s="23">
        <f>IFERROR(INDEX(Population_by_Province_Year!$B$5:$J$29,MATCH($A1595,Population_by_Province_Year!$A$5:$A$29,0),MATCH($B1595,Population_by_Province_Year!$B$4:$J$4,0)),"")</f>
        <v>988846</v>
      </c>
      <c r="H1595" s="22">
        <f>IFERROR(D1595/G1595*100000,"")</f>
        <v>13.348893558754346</v>
      </c>
    </row>
    <row r="1596" spans="1:8" ht="15" customHeight="1" x14ac:dyDescent="0.3">
      <c r="A1596" s="20" t="s">
        <v>6</v>
      </c>
      <c r="B1596" s="20">
        <v>2023</v>
      </c>
      <c r="C1596" s="20" t="s">
        <v>98</v>
      </c>
      <c r="D1596" s="20">
        <v>55</v>
      </c>
      <c r="E1596" s="20">
        <v>0</v>
      </c>
      <c r="F1596" s="22">
        <f>IFERROR(E1596/D1596*100,"")</f>
        <v>0</v>
      </c>
      <c r="G1596" s="23">
        <f>IFERROR(INDEX(Population_by_Province_Year!$B$5:$J$29,MATCH($A1596,Population_by_Province_Year!$A$5:$A$29,0),MATCH($B1596,Population_by_Province_Year!$B$4:$J$4,0)),"")</f>
        <v>579189</v>
      </c>
      <c r="H1596" s="22">
        <f>IFERROR(D1596/G1596*100000,"")</f>
        <v>9.4960366995920165</v>
      </c>
    </row>
    <row r="1597" spans="1:8" ht="15" customHeight="1" x14ac:dyDescent="0.3">
      <c r="A1597" s="20" t="s">
        <v>7</v>
      </c>
      <c r="B1597" s="20">
        <v>2023</v>
      </c>
      <c r="C1597" s="20" t="s">
        <v>98</v>
      </c>
      <c r="D1597" s="20">
        <v>112</v>
      </c>
      <c r="E1597" s="20">
        <v>1</v>
      </c>
      <c r="F1597" s="22">
        <f>IFERROR(E1597/D1597*100,"")</f>
        <v>0.89285714285714279</v>
      </c>
      <c r="G1597" s="23">
        <f>IFERROR(INDEX(Population_by_Province_Year!$B$5:$J$29,MATCH($A1597,Population_by_Province_Year!$A$5:$A$29,0),MATCH($B1597,Population_by_Province_Year!$B$4:$J$4,0)),"")</f>
        <v>964374</v>
      </c>
      <c r="H1597" s="22">
        <f>IFERROR(D1597/G1597*100000,"")</f>
        <v>11.613751511343109</v>
      </c>
    </row>
    <row r="1598" spans="1:8" ht="15" customHeight="1" x14ac:dyDescent="0.3">
      <c r="A1598" s="20" t="s">
        <v>8</v>
      </c>
      <c r="B1598" s="20">
        <v>2023</v>
      </c>
      <c r="C1598" s="20" t="s">
        <v>98</v>
      </c>
      <c r="D1598" s="20">
        <v>117</v>
      </c>
      <c r="E1598" s="20">
        <v>0</v>
      </c>
      <c r="F1598" s="22">
        <f>IFERROR(E1598/D1598*100,"")</f>
        <v>0</v>
      </c>
      <c r="G1598" s="23">
        <f>IFERROR(INDEX(Population_by_Province_Year!$B$5:$J$29,MATCH($A1598,Population_by_Province_Year!$A$5:$A$29,0),MATCH($B1598,Population_by_Province_Year!$B$4:$J$4,0)),"")</f>
        <v>749004</v>
      </c>
      <c r="H1598" s="22">
        <f>IFERROR(D1598/G1598*100000,"")</f>
        <v>15.620744348494801</v>
      </c>
    </row>
    <row r="1599" spans="1:8" ht="15" customHeight="1" x14ac:dyDescent="0.3">
      <c r="A1599" s="20" t="s">
        <v>9</v>
      </c>
      <c r="B1599" s="20">
        <v>2023</v>
      </c>
      <c r="C1599" s="20" t="s">
        <v>98</v>
      </c>
      <c r="D1599" s="20">
        <v>41</v>
      </c>
      <c r="E1599" s="20">
        <v>0</v>
      </c>
      <c r="F1599" s="22">
        <f>IFERROR(E1599/D1599*100,"")</f>
        <v>0</v>
      </c>
      <c r="G1599" s="23">
        <f>IFERROR(INDEX(Population_by_Province_Year!$B$5:$J$29,MATCH($A1599,Population_by_Province_Year!$A$5:$A$29,0),MATCH($B1599,Population_by_Province_Year!$B$4:$J$4,0)),"")</f>
        <v>652602</v>
      </c>
      <c r="H1599" s="22">
        <f>IFERROR(D1599/G1599*100000,"")</f>
        <v>6.2825428055690908</v>
      </c>
    </row>
    <row r="1600" spans="1:8" ht="15" customHeight="1" x14ac:dyDescent="0.3">
      <c r="A1600" s="20" t="s">
        <v>10</v>
      </c>
      <c r="B1600" s="20">
        <v>2023</v>
      </c>
      <c r="C1600" s="20" t="s">
        <v>98</v>
      </c>
      <c r="D1600" s="20">
        <v>422</v>
      </c>
      <c r="E1600" s="20">
        <v>4</v>
      </c>
      <c r="F1600" s="22">
        <f>IFERROR(E1600/D1600*100,"")</f>
        <v>0.94786729857819907</v>
      </c>
      <c r="G1600" s="23">
        <f>IFERROR(INDEX(Population_by_Province_Year!$B$5:$J$29,MATCH($A1600,Population_by_Province_Year!$A$5:$A$29,0),MATCH($B1600,Population_by_Province_Year!$B$4:$J$4,0)),"")</f>
        <v>1320505</v>
      </c>
      <c r="H1600" s="22">
        <f>IFERROR(D1600/G1600*100000,"")</f>
        <v>31.957470816089298</v>
      </c>
    </row>
    <row r="1601" spans="1:8" ht="15" customHeight="1" x14ac:dyDescent="0.3">
      <c r="A1601" s="20" t="s">
        <v>11</v>
      </c>
      <c r="B1601" s="20">
        <v>2023</v>
      </c>
      <c r="C1601" s="20" t="s">
        <v>98</v>
      </c>
      <c r="D1601" s="20">
        <v>1</v>
      </c>
      <c r="E1601" s="20">
        <v>0</v>
      </c>
      <c r="F1601" s="22">
        <f>IFERROR(E1601/D1601*100,"")</f>
        <v>0</v>
      </c>
      <c r="G1601" s="23">
        <f>IFERROR(INDEX(Population_by_Province_Year!$B$5:$J$29,MATCH($A1601,Population_by_Province_Year!$A$5:$A$29,0),MATCH($B1601,Population_by_Province_Year!$B$4:$J$4,0)),"")</f>
        <v>46888</v>
      </c>
      <c r="H1601" s="22">
        <f>IFERROR(D1601/G1601*100000,"")</f>
        <v>2.132741852926122</v>
      </c>
    </row>
    <row r="1602" spans="1:8" ht="15" customHeight="1" x14ac:dyDescent="0.3">
      <c r="A1602" s="20" t="s">
        <v>12</v>
      </c>
      <c r="B1602" s="20">
        <v>2023</v>
      </c>
      <c r="C1602" s="20" t="s">
        <v>98</v>
      </c>
      <c r="D1602" s="20">
        <v>10</v>
      </c>
      <c r="E1602" s="20">
        <v>0</v>
      </c>
      <c r="F1602" s="22">
        <f>IFERROR(E1602/D1602*100,"")</f>
        <v>0</v>
      </c>
      <c r="G1602" s="23">
        <f>IFERROR(INDEX(Population_by_Province_Year!$B$5:$J$29,MATCH($A1602,Population_by_Province_Year!$A$5:$A$29,0),MATCH($B1602,Population_by_Province_Year!$B$4:$J$4,0)),"")</f>
        <v>138363</v>
      </c>
      <c r="H1602" s="22">
        <f>IFERROR(D1602/G1602*100000,"")</f>
        <v>7.2273656974769267</v>
      </c>
    </row>
    <row r="1603" spans="1:8" ht="15" customHeight="1" x14ac:dyDescent="0.3">
      <c r="A1603" s="20" t="s">
        <v>13</v>
      </c>
      <c r="B1603" s="20">
        <v>2023</v>
      </c>
      <c r="C1603" s="20" t="s">
        <v>98</v>
      </c>
      <c r="D1603" s="20">
        <v>52</v>
      </c>
      <c r="E1603" s="20">
        <v>0</v>
      </c>
      <c r="F1603" s="22">
        <f>IFERROR(E1603/D1603*100,"")</f>
        <v>0</v>
      </c>
      <c r="G1603" s="23">
        <f>IFERROR(INDEX(Population_by_Province_Year!$B$5:$J$29,MATCH($A1603,Population_by_Province_Year!$A$5:$A$29,0),MATCH($B1603,Population_by_Province_Year!$B$4:$J$4,0)),"")</f>
        <v>411846</v>
      </c>
      <c r="H1603" s="22">
        <f>IFERROR(D1603/G1603*100000,"")</f>
        <v>12.626078679894913</v>
      </c>
    </row>
    <row r="1604" spans="1:8" ht="15" customHeight="1" x14ac:dyDescent="0.3">
      <c r="A1604" s="20" t="s">
        <v>14</v>
      </c>
      <c r="B1604" s="20">
        <v>2023</v>
      </c>
      <c r="C1604" s="20" t="s">
        <v>98</v>
      </c>
      <c r="D1604" s="20">
        <v>11</v>
      </c>
      <c r="E1604" s="20">
        <v>0</v>
      </c>
      <c r="F1604" s="22">
        <f>IFERROR(E1604/D1604*100,"")</f>
        <v>0</v>
      </c>
      <c r="G1604" s="23">
        <f>IFERROR(INDEX(Population_by_Province_Year!$B$5:$J$29,MATCH($A1604,Population_by_Province_Year!$A$5:$A$29,0),MATCH($B1604,Population_by_Province_Year!$B$4:$J$4,0)),"")</f>
        <v>101340</v>
      </c>
      <c r="H1604" s="22">
        <f>IFERROR(D1604/G1604*100000,"")</f>
        <v>10.854549042826131</v>
      </c>
    </row>
    <row r="1605" spans="1:8" ht="15" customHeight="1" x14ac:dyDescent="0.3">
      <c r="A1605" s="20" t="s">
        <v>15</v>
      </c>
      <c r="B1605" s="20">
        <v>2023</v>
      </c>
      <c r="C1605" s="20" t="s">
        <v>98</v>
      </c>
      <c r="D1605" s="20">
        <v>39</v>
      </c>
      <c r="E1605" s="20">
        <v>0</v>
      </c>
      <c r="F1605" s="22">
        <f>IFERROR(E1605/D1605*100,"")</f>
        <v>0</v>
      </c>
      <c r="G1605" s="23">
        <f>IFERROR(INDEX(Population_by_Province_Year!$B$5:$J$29,MATCH($A1605,Population_by_Province_Year!$A$5:$A$29,0),MATCH($B1605,Population_by_Province_Year!$B$4:$J$4,0)),"")</f>
        <v>303358</v>
      </c>
      <c r="H1605" s="22">
        <f>IFERROR(D1605/G1605*100000,"")</f>
        <v>12.856097416254062</v>
      </c>
    </row>
    <row r="1606" spans="1:8" ht="15" customHeight="1" x14ac:dyDescent="0.3">
      <c r="A1606" s="20" t="s">
        <v>16</v>
      </c>
      <c r="B1606" s="20">
        <v>2023</v>
      </c>
      <c r="C1606" s="20" t="s">
        <v>98</v>
      </c>
      <c r="D1606" s="20">
        <v>37</v>
      </c>
      <c r="E1606" s="20">
        <v>1</v>
      </c>
      <c r="F1606" s="22">
        <f>IFERROR(E1606/D1606*100,"")</f>
        <v>2.7027027027027026</v>
      </c>
      <c r="G1606" s="23">
        <f>IFERROR(INDEX(Population_by_Province_Year!$B$5:$J$29,MATCH($A1606,Population_by_Province_Year!$A$5:$A$29,0),MATCH($B1606,Population_by_Province_Year!$B$4:$J$4,0)),"")</f>
        <v>82546</v>
      </c>
      <c r="H1606" s="22">
        <f>IFERROR(D1606/G1606*100000,"")</f>
        <v>44.82349235577739</v>
      </c>
    </row>
    <row r="1607" spans="1:8" ht="15" customHeight="1" x14ac:dyDescent="0.3">
      <c r="A1607" s="20" t="s">
        <v>17</v>
      </c>
      <c r="B1607" s="20">
        <v>2023</v>
      </c>
      <c r="C1607" s="20" t="s">
        <v>98</v>
      </c>
      <c r="D1607" s="20">
        <v>827</v>
      </c>
      <c r="E1607" s="20">
        <v>3</v>
      </c>
      <c r="F1607" s="22">
        <f>IFERROR(E1607/D1607*100,"")</f>
        <v>0.36275695284159615</v>
      </c>
      <c r="G1607" s="23">
        <f>IFERROR(INDEX(Population_by_Province_Year!$B$5:$J$29,MATCH($A1607,Population_by_Province_Year!$A$5:$A$29,0),MATCH($B1607,Population_by_Province_Year!$B$4:$J$4,0)),"")</f>
        <v>2507803</v>
      </c>
      <c r="H1607" s="22">
        <f>IFERROR(D1607/G1607*100000,"")</f>
        <v>32.977071962989115</v>
      </c>
    </row>
    <row r="1608" spans="1:8" ht="15" customHeight="1" x14ac:dyDescent="0.3">
      <c r="A1608" s="20" t="s">
        <v>18</v>
      </c>
      <c r="B1608" s="20">
        <v>2023</v>
      </c>
      <c r="C1608" s="20" t="s">
        <v>98</v>
      </c>
      <c r="D1608" s="20">
        <v>59</v>
      </c>
      <c r="E1608" s="20">
        <v>0</v>
      </c>
      <c r="F1608" s="22">
        <f>IFERROR(E1608/D1608*100,"")</f>
        <v>0</v>
      </c>
      <c r="G1608" s="23">
        <f>IFERROR(INDEX(Population_by_Province_Year!$B$5:$J$29,MATCH($A1608,Population_by_Province_Year!$A$5:$A$29,0),MATCH($B1608,Population_by_Province_Year!$B$4:$J$4,0)),"")</f>
        <v>340761</v>
      </c>
      <c r="H1608" s="22">
        <f>IFERROR(D1608/G1608*100000,"")</f>
        <v>17.314187949912107</v>
      </c>
    </row>
    <row r="1609" spans="1:8" ht="15" customHeight="1" x14ac:dyDescent="0.3">
      <c r="A1609" s="20" t="s">
        <v>19</v>
      </c>
      <c r="B1609" s="20">
        <v>2023</v>
      </c>
      <c r="C1609" s="20" t="s">
        <v>98</v>
      </c>
      <c r="D1609" s="20">
        <v>30</v>
      </c>
      <c r="E1609" s="20">
        <v>0</v>
      </c>
      <c r="F1609" s="22">
        <f>IFERROR(E1609/D1609*100,"")</f>
        <v>0</v>
      </c>
      <c r="G1609" s="23">
        <f>IFERROR(INDEX(Population_by_Province_Year!$B$5:$J$29,MATCH($A1609,Population_by_Province_Year!$A$5:$A$29,0),MATCH($B1609,Population_by_Province_Year!$B$4:$J$4,0)),"")</f>
        <v>280048</v>
      </c>
      <c r="H1609" s="22">
        <f>IFERROR(D1609/G1609*100000,"")</f>
        <v>10.712449294406674</v>
      </c>
    </row>
    <row r="1610" spans="1:8" ht="15" customHeight="1" x14ac:dyDescent="0.3">
      <c r="A1610" s="20" t="s">
        <v>20</v>
      </c>
      <c r="B1610" s="20">
        <v>2023</v>
      </c>
      <c r="C1610" s="20" t="s">
        <v>98</v>
      </c>
      <c r="D1610" s="20">
        <v>121</v>
      </c>
      <c r="E1610" s="20">
        <v>1</v>
      </c>
      <c r="F1610" s="22">
        <f>IFERROR(E1610/D1610*100,"")</f>
        <v>0.82644628099173556</v>
      </c>
      <c r="G1610" s="23">
        <f>IFERROR(INDEX(Population_by_Province_Year!$B$5:$J$29,MATCH($A1610,Population_by_Province_Year!$A$5:$A$29,0),MATCH($B1610,Population_by_Province_Year!$B$4:$J$4,0)),"")</f>
        <v>1162406</v>
      </c>
      <c r="H1610" s="22">
        <f>IFERROR(D1610/G1610*100000,"")</f>
        <v>10.409443860406778</v>
      </c>
    </row>
    <row r="1611" spans="1:8" ht="15" customHeight="1" x14ac:dyDescent="0.3">
      <c r="A1611" s="20" t="s">
        <v>21</v>
      </c>
      <c r="B1611" s="20">
        <v>2023</v>
      </c>
      <c r="C1611" s="20" t="s">
        <v>98</v>
      </c>
      <c r="D1611" s="20">
        <v>61</v>
      </c>
      <c r="E1611" s="20">
        <v>0</v>
      </c>
      <c r="F1611" s="22">
        <f>IFERROR(E1611/D1611*100,"")</f>
        <v>0</v>
      </c>
      <c r="G1611" s="23">
        <f>IFERROR(INDEX(Population_by_Province_Year!$B$5:$J$29,MATCH($A1611,Population_by_Province_Year!$A$5:$A$29,0),MATCH($B1611,Population_by_Province_Year!$B$4:$J$4,0)),"")</f>
        <v>454816</v>
      </c>
      <c r="H1611" s="22">
        <f>IFERROR(D1611/G1611*100000,"")</f>
        <v>13.412017167381974</v>
      </c>
    </row>
    <row r="1612" spans="1:8" ht="15" customHeight="1" x14ac:dyDescent="0.3">
      <c r="A1612" s="20" t="s">
        <v>22</v>
      </c>
      <c r="B1612" s="20">
        <v>2023</v>
      </c>
      <c r="C1612" s="20" t="s">
        <v>98</v>
      </c>
      <c r="D1612" s="20">
        <v>8</v>
      </c>
      <c r="E1612" s="20">
        <v>0</v>
      </c>
      <c r="F1612" s="22">
        <f>IFERROR(E1612/D1612*100,"")</f>
        <v>0</v>
      </c>
      <c r="G1612" s="23">
        <f>IFERROR(INDEX(Population_by_Province_Year!$B$5:$J$29,MATCH($A1612,Population_by_Province_Year!$A$5:$A$29,0),MATCH($B1612,Population_by_Province_Year!$B$4:$J$4,0)),"")</f>
        <v>238975</v>
      </c>
      <c r="H1612" s="22">
        <f>IFERROR(D1612/G1612*100000,"")</f>
        <v>3.3476305052829796</v>
      </c>
    </row>
    <row r="1613" spans="1:8" ht="15" customHeight="1" x14ac:dyDescent="0.3">
      <c r="A1613" s="20" t="s">
        <v>23</v>
      </c>
      <c r="B1613" s="20">
        <v>2023</v>
      </c>
      <c r="C1613" s="20" t="s">
        <v>98</v>
      </c>
      <c r="D1613" s="20">
        <v>257</v>
      </c>
      <c r="E1613" s="20">
        <v>0</v>
      </c>
      <c r="F1613" s="22">
        <f>IFERROR(E1613/D1613*100,"")</f>
        <v>0</v>
      </c>
      <c r="G1613" s="23">
        <f>IFERROR(INDEX(Population_by_Province_Year!$B$5:$J$29,MATCH($A1613,Population_by_Province_Year!$A$5:$A$29,0),MATCH($B1613,Population_by_Province_Year!$B$4:$J$4,0)),"")</f>
        <v>1114616</v>
      </c>
      <c r="H1613" s="22">
        <f>IFERROR(D1613/G1613*100000,"")</f>
        <v>23.057268153337112</v>
      </c>
    </row>
    <row r="1614" spans="1:8" ht="15" customHeight="1" x14ac:dyDescent="0.3">
      <c r="A1614" s="20" t="s">
        <v>24</v>
      </c>
      <c r="B1614" s="20">
        <v>2023</v>
      </c>
      <c r="C1614" s="20" t="s">
        <v>98</v>
      </c>
      <c r="D1614" s="20">
        <v>3</v>
      </c>
      <c r="E1614" s="20">
        <v>0</v>
      </c>
      <c r="F1614" s="22">
        <f>IFERROR(E1614/D1614*100,"")</f>
        <v>0</v>
      </c>
      <c r="G1614" s="23">
        <f>IFERROR(INDEX(Population_by_Province_Year!$B$5:$J$29,MATCH($A1614,Population_by_Province_Year!$A$5:$A$29,0),MATCH($B1614,Population_by_Province_Year!$B$4:$J$4,0)),"")</f>
        <v>182114</v>
      </c>
      <c r="H1614" s="22">
        <f>IFERROR(D1614/G1614*100000,"")</f>
        <v>1.6473198106680429</v>
      </c>
    </row>
    <row r="1615" spans="1:8" ht="15" customHeight="1" x14ac:dyDescent="0.3">
      <c r="A1615" s="20" t="s">
        <v>25</v>
      </c>
      <c r="B1615" s="20">
        <v>2023</v>
      </c>
      <c r="C1615" s="20" t="s">
        <v>98</v>
      </c>
      <c r="D1615" s="20">
        <v>49</v>
      </c>
      <c r="E1615" s="20">
        <v>1</v>
      </c>
      <c r="F1615" s="22">
        <f>IFERROR(E1615/D1615*100,"")</f>
        <v>2.0408163265306123</v>
      </c>
      <c r="G1615" s="23">
        <f>IFERROR(INDEX(Population_by_Province_Year!$B$5:$J$29,MATCH($A1615,Population_by_Province_Year!$A$5:$A$29,0),MATCH($B1615,Population_by_Province_Year!$B$4:$J$4,0)),"")</f>
        <v>577507</v>
      </c>
      <c r="H1615" s="22">
        <f>IFERROR(D1615/G1615*100000,"")</f>
        <v>8.4847456394467944</v>
      </c>
    </row>
    <row r="1616" spans="1:8" ht="15" customHeight="1" x14ac:dyDescent="0.3">
      <c r="A1616" s="20" t="s">
        <v>26</v>
      </c>
      <c r="B1616" s="20">
        <v>2023</v>
      </c>
      <c r="C1616" s="20" t="s">
        <v>98</v>
      </c>
      <c r="D1616" s="20">
        <v>59</v>
      </c>
      <c r="E1616" s="20">
        <v>0</v>
      </c>
      <c r="F1616" s="22">
        <f>IFERROR(E1616/D1616*100,"")</f>
        <v>0</v>
      </c>
      <c r="G1616" s="23">
        <f>IFERROR(INDEX(Population_by_Province_Year!$B$5:$J$29,MATCH($A1616,Population_by_Province_Year!$A$5:$A$29,0),MATCH($B1616,Population_by_Province_Year!$B$4:$J$4,0)),"")</f>
        <v>990080</v>
      </c>
      <c r="H1616" s="22">
        <f>IFERROR(D1616/G1616*100000,"")</f>
        <v>5.9591144149967681</v>
      </c>
    </row>
    <row r="1617" spans="1:8" ht="15" customHeight="1" x14ac:dyDescent="0.3">
      <c r="A1617" s="20" t="s">
        <v>27</v>
      </c>
      <c r="B1617" s="20">
        <v>2023</v>
      </c>
      <c r="C1617" s="20" t="s">
        <v>98</v>
      </c>
      <c r="D1617" s="20">
        <v>57</v>
      </c>
      <c r="E1617" s="20">
        <v>0</v>
      </c>
      <c r="F1617" s="22">
        <f>IFERROR(E1617/D1617*100,"")</f>
        <v>0</v>
      </c>
      <c r="G1617" s="23">
        <f>IFERROR(INDEX(Population_by_Province_Year!$B$5:$J$29,MATCH($A1617,Population_by_Province_Year!$A$5:$A$29,0),MATCH($B1617,Population_by_Province_Year!$B$4:$J$4,0)),"")</f>
        <v>853727</v>
      </c>
      <c r="H1617" s="22">
        <f>IFERROR(D1617/G1617*100000,"")</f>
        <v>6.6766073932299195</v>
      </c>
    </row>
    <row r="1618" spans="1:8" ht="15" customHeight="1" x14ac:dyDescent="0.3">
      <c r="A1618" s="20" t="s">
        <v>3</v>
      </c>
      <c r="B1618" s="20">
        <v>2024</v>
      </c>
      <c r="C1618" s="20" t="s">
        <v>100</v>
      </c>
      <c r="D1618" s="20">
        <v>128</v>
      </c>
      <c r="E1618" s="20">
        <v>1</v>
      </c>
      <c r="F1618" s="22">
        <f>IFERROR(E1618/D1618*100,"")</f>
        <v>0.78125</v>
      </c>
      <c r="G1618" s="23">
        <f>IFERROR(INDEX(Population_by_Province_Year!$B$5:$J$29,MATCH($A1618,Population_by_Province_Year!$A$5:$A$29,0),MATCH($B1618,Population_by_Province_Year!$B$4:$J$4,0)),"")</f>
        <v>960755</v>
      </c>
      <c r="H1618" s="22">
        <f>IFERROR(D1618/G1618*100000,"")</f>
        <v>13.322855462630953</v>
      </c>
    </row>
    <row r="1619" spans="1:8" ht="15" customHeight="1" x14ac:dyDescent="0.3">
      <c r="A1619" s="20" t="s">
        <v>4</v>
      </c>
      <c r="B1619" s="20">
        <v>2024</v>
      </c>
      <c r="C1619" s="20" t="s">
        <v>100</v>
      </c>
      <c r="D1619" s="20">
        <v>81</v>
      </c>
      <c r="E1619" s="20">
        <v>0</v>
      </c>
      <c r="F1619" s="22">
        <f>IFERROR(E1619/D1619*100,"")</f>
        <v>0</v>
      </c>
      <c r="G1619" s="23">
        <f>IFERROR(INDEX(Population_by_Province_Year!$B$5:$J$29,MATCH($A1619,Population_by_Province_Year!$A$5:$A$29,0),MATCH($B1619,Population_by_Province_Year!$B$4:$J$4,0)),"")</f>
        <v>1111561</v>
      </c>
      <c r="H1619" s="22">
        <f>IFERROR(D1619/G1619*100000,"")</f>
        <v>7.2870494736681115</v>
      </c>
    </row>
    <row r="1620" spans="1:8" ht="15" customHeight="1" x14ac:dyDescent="0.3">
      <c r="A1620" s="20" t="s">
        <v>5</v>
      </c>
      <c r="B1620" s="20">
        <v>2024</v>
      </c>
      <c r="C1620" s="20" t="s">
        <v>100</v>
      </c>
      <c r="D1620" s="20">
        <v>109</v>
      </c>
      <c r="E1620" s="20">
        <v>0</v>
      </c>
      <c r="F1620" s="22">
        <f>IFERROR(E1620/D1620*100,"")</f>
        <v>0</v>
      </c>
      <c r="G1620" s="23">
        <f>IFERROR(INDEX(Population_by_Province_Year!$B$5:$J$29,MATCH($A1620,Population_by_Province_Year!$A$5:$A$29,0),MATCH($B1620,Population_by_Province_Year!$B$4:$J$4,0)),"")</f>
        <v>1003012</v>
      </c>
      <c r="H1620" s="22">
        <f>IFERROR(D1620/G1620*100000,"")</f>
        <v>10.867267789418271</v>
      </c>
    </row>
    <row r="1621" spans="1:8" ht="15" customHeight="1" x14ac:dyDescent="0.3">
      <c r="A1621" s="20" t="s">
        <v>6</v>
      </c>
      <c r="B1621" s="20">
        <v>2024</v>
      </c>
      <c r="C1621" s="20" t="s">
        <v>100</v>
      </c>
      <c r="D1621" s="20">
        <v>37</v>
      </c>
      <c r="E1621" s="20">
        <v>0</v>
      </c>
      <c r="F1621" s="22">
        <f>IFERROR(E1621/D1621*100,"")</f>
        <v>0</v>
      </c>
      <c r="G1621" s="23">
        <f>IFERROR(INDEX(Population_by_Province_Year!$B$5:$J$29,MATCH($A1621,Population_by_Province_Year!$A$5:$A$29,0),MATCH($B1621,Population_by_Province_Year!$B$4:$J$4,0)),"")</f>
        <v>587486</v>
      </c>
      <c r="H1621" s="22">
        <f>IFERROR(D1621/G1621*100000,"")</f>
        <v>6.2980224209598195</v>
      </c>
    </row>
    <row r="1622" spans="1:8" ht="15" customHeight="1" x14ac:dyDescent="0.3">
      <c r="A1622" s="20" t="s">
        <v>7</v>
      </c>
      <c r="B1622" s="20">
        <v>2024</v>
      </c>
      <c r="C1622" s="20" t="s">
        <v>100</v>
      </c>
      <c r="D1622" s="20">
        <v>91</v>
      </c>
      <c r="E1622" s="20">
        <v>0</v>
      </c>
      <c r="F1622" s="22">
        <f>IFERROR(E1622/D1622*100,"")</f>
        <v>0</v>
      </c>
      <c r="G1622" s="23">
        <f>IFERROR(INDEX(Population_by_Province_Year!$B$5:$J$29,MATCH($A1622,Population_by_Province_Year!$A$5:$A$29,0),MATCH($B1622,Population_by_Province_Year!$B$4:$J$4,0)),"")</f>
        <v>978189</v>
      </c>
      <c r="H1622" s="22">
        <f>IFERROR(D1622/G1622*100000,"")</f>
        <v>9.3029056756925304</v>
      </c>
    </row>
    <row r="1623" spans="1:8" ht="15" customHeight="1" x14ac:dyDescent="0.3">
      <c r="A1623" s="20" t="s">
        <v>8</v>
      </c>
      <c r="B1623" s="20">
        <v>2024</v>
      </c>
      <c r="C1623" s="20" t="s">
        <v>100</v>
      </c>
      <c r="D1623" s="20">
        <v>73</v>
      </c>
      <c r="E1623" s="20">
        <v>0</v>
      </c>
      <c r="F1623" s="22">
        <f>IFERROR(E1623/D1623*100,"")</f>
        <v>0</v>
      </c>
      <c r="G1623" s="23">
        <f>IFERROR(INDEX(Population_by_Province_Year!$B$5:$J$29,MATCH($A1623,Population_by_Province_Year!$A$5:$A$29,0),MATCH($B1623,Population_by_Province_Year!$B$4:$J$4,0)),"")</f>
        <v>759734</v>
      </c>
      <c r="H1623" s="22">
        <f>IFERROR(D1623/G1623*100000,"")</f>
        <v>9.6086261770567063</v>
      </c>
    </row>
    <row r="1624" spans="1:8" ht="15" customHeight="1" x14ac:dyDescent="0.3">
      <c r="A1624" s="20" t="s">
        <v>9</v>
      </c>
      <c r="B1624" s="20">
        <v>2024</v>
      </c>
      <c r="C1624" s="20" t="s">
        <v>100</v>
      </c>
      <c r="D1624" s="20">
        <v>38</v>
      </c>
      <c r="E1624" s="20">
        <v>0</v>
      </c>
      <c r="F1624" s="22">
        <f>IFERROR(E1624/D1624*100,"")</f>
        <v>0</v>
      </c>
      <c r="G1624" s="23">
        <f>IFERROR(INDEX(Population_by_Province_Year!$B$5:$J$29,MATCH($A1624,Population_by_Province_Year!$A$5:$A$29,0),MATCH($B1624,Population_by_Province_Year!$B$4:$J$4,0)),"")</f>
        <v>661951</v>
      </c>
      <c r="H1624" s="22">
        <f>IFERROR(D1624/G1624*100000,"")</f>
        <v>5.740606177798659</v>
      </c>
    </row>
    <row r="1625" spans="1:8" ht="15" customHeight="1" x14ac:dyDescent="0.3">
      <c r="A1625" s="20" t="s">
        <v>10</v>
      </c>
      <c r="B1625" s="20">
        <v>2024</v>
      </c>
      <c r="C1625" s="20" t="s">
        <v>100</v>
      </c>
      <c r="D1625" s="20">
        <v>341</v>
      </c>
      <c r="E1625" s="20">
        <v>1</v>
      </c>
      <c r="F1625" s="22">
        <f>IFERROR(E1625/D1625*100,"")</f>
        <v>0.2932551319648094</v>
      </c>
      <c r="G1625" s="23">
        <f>IFERROR(INDEX(Population_by_Province_Year!$B$5:$J$29,MATCH($A1625,Population_by_Province_Year!$A$5:$A$29,0),MATCH($B1625,Population_by_Province_Year!$B$4:$J$4,0)),"")</f>
        <v>1339422</v>
      </c>
      <c r="H1625" s="22">
        <f>IFERROR(D1625/G1625*100000,"")</f>
        <v>25.458742651681099</v>
      </c>
    </row>
    <row r="1626" spans="1:8" ht="15" customHeight="1" x14ac:dyDescent="0.3">
      <c r="A1626" s="20" t="s">
        <v>11</v>
      </c>
      <c r="B1626" s="20">
        <v>2024</v>
      </c>
      <c r="C1626" s="20" t="s">
        <v>100</v>
      </c>
      <c r="D1626" s="20">
        <v>2</v>
      </c>
      <c r="E1626" s="20">
        <v>0</v>
      </c>
      <c r="F1626" s="22">
        <f>IFERROR(E1626/D1626*100,"")</f>
        <v>0</v>
      </c>
      <c r="G1626" s="23">
        <f>IFERROR(INDEX(Population_by_Province_Year!$B$5:$J$29,MATCH($A1626,Population_by_Province_Year!$A$5:$A$29,0),MATCH($B1626,Population_by_Province_Year!$B$4:$J$4,0)),"")</f>
        <v>47559</v>
      </c>
      <c r="H1626" s="22">
        <f>IFERROR(D1626/G1626*100000,"")</f>
        <v>4.2053028869404319</v>
      </c>
    </row>
    <row r="1627" spans="1:8" ht="15" customHeight="1" x14ac:dyDescent="0.3">
      <c r="A1627" s="20" t="s">
        <v>12</v>
      </c>
      <c r="B1627" s="20">
        <v>2024</v>
      </c>
      <c r="C1627" s="20" t="s">
        <v>100</v>
      </c>
      <c r="D1627" s="20">
        <v>14</v>
      </c>
      <c r="E1627" s="20">
        <v>0</v>
      </c>
      <c r="F1627" s="22">
        <f>IFERROR(E1627/D1627*100,"")</f>
        <v>0</v>
      </c>
      <c r="G1627" s="23">
        <f>IFERROR(INDEX(Population_by_Province_Year!$B$5:$J$29,MATCH($A1627,Population_by_Province_Year!$A$5:$A$29,0),MATCH($B1627,Population_by_Province_Year!$B$4:$J$4,0)),"")</f>
        <v>140345</v>
      </c>
      <c r="H1627" s="22">
        <f>IFERROR(D1627/G1627*100000,"")</f>
        <v>9.9754177206170507</v>
      </c>
    </row>
    <row r="1628" spans="1:8" ht="15" customHeight="1" x14ac:dyDescent="0.3">
      <c r="A1628" s="20" t="s">
        <v>13</v>
      </c>
      <c r="B1628" s="20">
        <v>2024</v>
      </c>
      <c r="C1628" s="20" t="s">
        <v>100</v>
      </c>
      <c r="D1628" s="20">
        <v>99</v>
      </c>
      <c r="E1628" s="20">
        <v>1</v>
      </c>
      <c r="F1628" s="22">
        <f>IFERROR(E1628/D1628*100,"")</f>
        <v>1.0101010101010102</v>
      </c>
      <c r="G1628" s="23">
        <f>IFERROR(INDEX(Population_by_Province_Year!$B$5:$J$29,MATCH($A1628,Population_by_Province_Year!$A$5:$A$29,0),MATCH($B1628,Population_by_Province_Year!$B$4:$J$4,0)),"")</f>
        <v>417746</v>
      </c>
      <c r="H1628" s="22">
        <f>IFERROR(D1628/G1628*100000,"")</f>
        <v>23.698611117760553</v>
      </c>
    </row>
    <row r="1629" spans="1:8" ht="15" customHeight="1" x14ac:dyDescent="0.3">
      <c r="A1629" s="20" t="s">
        <v>14</v>
      </c>
      <c r="B1629" s="20">
        <v>2024</v>
      </c>
      <c r="C1629" s="20" t="s">
        <v>100</v>
      </c>
      <c r="D1629" s="20">
        <v>3</v>
      </c>
      <c r="E1629" s="20">
        <v>0</v>
      </c>
      <c r="F1629" s="22">
        <f>IFERROR(E1629/D1629*100,"")</f>
        <v>0</v>
      </c>
      <c r="G1629" s="23">
        <f>IFERROR(INDEX(Population_by_Province_Year!$B$5:$J$29,MATCH($A1629,Population_by_Province_Year!$A$5:$A$29,0),MATCH($B1629,Population_by_Province_Year!$B$4:$J$4,0)),"")</f>
        <v>102791</v>
      </c>
      <c r="H1629" s="22">
        <f>IFERROR(D1629/G1629*100000,"")</f>
        <v>2.9185434522477651</v>
      </c>
    </row>
    <row r="1630" spans="1:8" ht="15" customHeight="1" x14ac:dyDescent="0.3">
      <c r="A1630" s="20" t="s">
        <v>15</v>
      </c>
      <c r="B1630" s="20">
        <v>2024</v>
      </c>
      <c r="C1630" s="20" t="s">
        <v>100</v>
      </c>
      <c r="D1630" s="20">
        <v>62</v>
      </c>
      <c r="E1630" s="20">
        <v>0</v>
      </c>
      <c r="F1630" s="22">
        <f>IFERROR(E1630/D1630*100,"")</f>
        <v>0</v>
      </c>
      <c r="G1630" s="23">
        <f>IFERROR(INDEX(Population_by_Province_Year!$B$5:$J$29,MATCH($A1630,Population_by_Province_Year!$A$5:$A$29,0),MATCH($B1630,Population_by_Province_Year!$B$4:$J$4,0)),"")</f>
        <v>307704</v>
      </c>
      <c r="H1630" s="22">
        <f>IFERROR(D1630/G1630*100000,"")</f>
        <v>20.149234329095492</v>
      </c>
    </row>
    <row r="1631" spans="1:8" ht="15" customHeight="1" x14ac:dyDescent="0.3">
      <c r="A1631" s="20" t="s">
        <v>16</v>
      </c>
      <c r="B1631" s="20">
        <v>2024</v>
      </c>
      <c r="C1631" s="20" t="s">
        <v>100</v>
      </c>
      <c r="D1631" s="20">
        <v>25</v>
      </c>
      <c r="E1631" s="20">
        <v>0</v>
      </c>
      <c r="F1631" s="22">
        <f>IFERROR(E1631/D1631*100,"")</f>
        <v>0</v>
      </c>
      <c r="G1631" s="23">
        <f>IFERROR(INDEX(Population_by_Province_Year!$B$5:$J$29,MATCH($A1631,Population_by_Province_Year!$A$5:$A$29,0),MATCH($B1631,Population_by_Province_Year!$B$4:$J$4,0)),"")</f>
        <v>83729</v>
      </c>
      <c r="H1631" s="22">
        <f>IFERROR(D1631/G1631*100000,"")</f>
        <v>29.858233109197531</v>
      </c>
    </row>
    <row r="1632" spans="1:8" ht="15" customHeight="1" x14ac:dyDescent="0.3">
      <c r="A1632" s="20" t="s">
        <v>17</v>
      </c>
      <c r="B1632" s="20">
        <v>2024</v>
      </c>
      <c r="C1632" s="20" t="s">
        <v>100</v>
      </c>
      <c r="D1632" s="20">
        <v>571</v>
      </c>
      <c r="E1632" s="20">
        <v>0</v>
      </c>
      <c r="F1632" s="22">
        <f>IFERROR(E1632/D1632*100,"")</f>
        <v>0</v>
      </c>
      <c r="G1632" s="23">
        <f>IFERROR(INDEX(Population_by_Province_Year!$B$5:$J$29,MATCH($A1632,Population_by_Province_Year!$A$5:$A$29,0),MATCH($B1632,Population_by_Province_Year!$B$4:$J$4,0)),"")</f>
        <v>2543729</v>
      </c>
      <c r="H1632" s="22">
        <f>IFERROR(D1632/G1632*100000,"")</f>
        <v>22.447359761987226</v>
      </c>
    </row>
    <row r="1633" spans="1:8" ht="15" customHeight="1" x14ac:dyDescent="0.3">
      <c r="A1633" s="20" t="s">
        <v>18</v>
      </c>
      <c r="B1633" s="20">
        <v>2024</v>
      </c>
      <c r="C1633" s="20" t="s">
        <v>100</v>
      </c>
      <c r="D1633" s="20">
        <v>50</v>
      </c>
      <c r="E1633" s="20">
        <v>0</v>
      </c>
      <c r="F1633" s="22">
        <f>IFERROR(E1633/D1633*100,"")</f>
        <v>0</v>
      </c>
      <c r="G1633" s="23">
        <f>IFERROR(INDEX(Population_by_Province_Year!$B$5:$J$29,MATCH($A1633,Population_by_Province_Year!$A$5:$A$29,0),MATCH($B1633,Population_by_Province_Year!$B$4:$J$4,0)),"")</f>
        <v>345642</v>
      </c>
      <c r="H1633" s="22">
        <f>IFERROR(D1633/G1633*100000,"")</f>
        <v>14.465834591860943</v>
      </c>
    </row>
    <row r="1634" spans="1:8" ht="15" customHeight="1" x14ac:dyDescent="0.3">
      <c r="A1634" s="20" t="s">
        <v>19</v>
      </c>
      <c r="B1634" s="20">
        <v>2024</v>
      </c>
      <c r="C1634" s="20" t="s">
        <v>100</v>
      </c>
      <c r="D1634" s="20">
        <v>34</v>
      </c>
      <c r="E1634" s="20">
        <v>0</v>
      </c>
      <c r="F1634" s="22">
        <f>IFERROR(E1634/D1634*100,"")</f>
        <v>0</v>
      </c>
      <c r="G1634" s="23">
        <f>IFERROR(INDEX(Population_by_Province_Year!$B$5:$J$29,MATCH($A1634,Population_by_Province_Year!$A$5:$A$29,0),MATCH($B1634,Population_by_Province_Year!$B$4:$J$4,0)),"")</f>
        <v>284060</v>
      </c>
      <c r="H1634" s="22">
        <f>IFERROR(D1634/G1634*100000,"")</f>
        <v>11.969302260085898</v>
      </c>
    </row>
    <row r="1635" spans="1:8" ht="15" customHeight="1" x14ac:dyDescent="0.3">
      <c r="A1635" s="20" t="s">
        <v>20</v>
      </c>
      <c r="B1635" s="20">
        <v>2024</v>
      </c>
      <c r="C1635" s="20" t="s">
        <v>100</v>
      </c>
      <c r="D1635" s="20">
        <v>113</v>
      </c>
      <c r="E1635" s="20">
        <v>0</v>
      </c>
      <c r="F1635" s="22">
        <f>IFERROR(E1635/D1635*100,"")</f>
        <v>0</v>
      </c>
      <c r="G1635" s="23">
        <f>IFERROR(INDEX(Population_by_Province_Year!$B$5:$J$29,MATCH($A1635,Population_by_Province_Year!$A$5:$A$29,0),MATCH($B1635,Population_by_Province_Year!$B$4:$J$4,0)),"")</f>
        <v>1179058</v>
      </c>
      <c r="H1635" s="22">
        <f>IFERROR(D1635/G1635*100000,"")</f>
        <v>9.583922080169085</v>
      </c>
    </row>
    <row r="1636" spans="1:8" ht="15" customHeight="1" x14ac:dyDescent="0.3">
      <c r="A1636" s="20" t="s">
        <v>21</v>
      </c>
      <c r="B1636" s="20">
        <v>2024</v>
      </c>
      <c r="C1636" s="20" t="s">
        <v>100</v>
      </c>
      <c r="D1636" s="20">
        <v>28</v>
      </c>
      <c r="E1636" s="20">
        <v>0</v>
      </c>
      <c r="F1636" s="22">
        <f>IFERROR(E1636/D1636*100,"")</f>
        <v>0</v>
      </c>
      <c r="G1636" s="23">
        <f>IFERROR(INDEX(Population_by_Province_Year!$B$5:$J$29,MATCH($A1636,Population_by_Province_Year!$A$5:$A$29,0),MATCH($B1636,Population_by_Province_Year!$B$4:$J$4,0)),"")</f>
        <v>468127</v>
      </c>
      <c r="H1636" s="22">
        <f>IFERROR(D1636/G1636*100000,"")</f>
        <v>5.9812828570024799</v>
      </c>
    </row>
    <row r="1637" spans="1:8" ht="15" customHeight="1" x14ac:dyDescent="0.3">
      <c r="A1637" s="20" t="s">
        <v>22</v>
      </c>
      <c r="B1637" s="20">
        <v>2024</v>
      </c>
      <c r="C1637" s="20" t="s">
        <v>100</v>
      </c>
      <c r="D1637" s="20">
        <v>8</v>
      </c>
      <c r="E1637" s="20">
        <v>0</v>
      </c>
      <c r="F1637" s="22">
        <f>IFERROR(E1637/D1637*100,"")</f>
        <v>0</v>
      </c>
      <c r="G1637" s="23">
        <f>IFERROR(INDEX(Population_by_Province_Year!$B$5:$J$29,MATCH($A1637,Population_by_Province_Year!$A$5:$A$29,0),MATCH($B1637,Population_by_Province_Year!$B$4:$J$4,0)),"")</f>
        <v>242398</v>
      </c>
      <c r="H1637" s="22">
        <f>IFERROR(D1637/G1637*100000,"")</f>
        <v>3.300357263673793</v>
      </c>
    </row>
    <row r="1638" spans="1:8" ht="15" customHeight="1" x14ac:dyDescent="0.3">
      <c r="A1638" s="20" t="s">
        <v>23</v>
      </c>
      <c r="B1638" s="20">
        <v>2024</v>
      </c>
      <c r="C1638" s="20" t="s">
        <v>100</v>
      </c>
      <c r="D1638" s="20">
        <v>188</v>
      </c>
      <c r="E1638" s="20">
        <v>3</v>
      </c>
      <c r="F1638" s="22">
        <f>IFERROR(E1638/D1638*100,"")</f>
        <v>1.5957446808510638</v>
      </c>
      <c r="G1638" s="23">
        <f>IFERROR(INDEX(Population_by_Province_Year!$B$5:$J$29,MATCH($A1638,Population_by_Province_Year!$A$5:$A$29,0),MATCH($B1638,Population_by_Province_Year!$B$4:$J$4,0)),"")</f>
        <v>1130583</v>
      </c>
      <c r="H1638" s="22">
        <f>IFERROR(D1638/G1638*100000,"")</f>
        <v>16.628588966931222</v>
      </c>
    </row>
    <row r="1639" spans="1:8" ht="15" customHeight="1" x14ac:dyDescent="0.3">
      <c r="A1639" s="20" t="s">
        <v>24</v>
      </c>
      <c r="B1639" s="20">
        <v>2024</v>
      </c>
      <c r="C1639" s="20" t="s">
        <v>100</v>
      </c>
      <c r="D1639" s="20">
        <v>6</v>
      </c>
      <c r="E1639" s="20">
        <v>1</v>
      </c>
      <c r="F1639" s="22">
        <f>IFERROR(E1639/D1639*100,"")</f>
        <v>16.666666666666664</v>
      </c>
      <c r="G1639" s="23">
        <f>IFERROR(INDEX(Population_by_Province_Year!$B$5:$J$29,MATCH($A1639,Population_by_Province_Year!$A$5:$A$29,0),MATCH($B1639,Population_by_Province_Year!$B$4:$J$4,0)),"")</f>
        <v>184723</v>
      </c>
      <c r="H1639" s="22">
        <f>IFERROR(D1639/G1639*100000,"")</f>
        <v>3.2481066245134604</v>
      </c>
    </row>
    <row r="1640" spans="1:8" ht="15" customHeight="1" x14ac:dyDescent="0.3">
      <c r="A1640" s="20" t="s">
        <v>25</v>
      </c>
      <c r="B1640" s="20">
        <v>2024</v>
      </c>
      <c r="C1640" s="20" t="s">
        <v>100</v>
      </c>
      <c r="D1640" s="20">
        <v>33</v>
      </c>
      <c r="E1640" s="20">
        <v>0</v>
      </c>
      <c r="F1640" s="22">
        <f>IFERROR(E1640/D1640*100,"")</f>
        <v>0</v>
      </c>
      <c r="G1640" s="23">
        <f>IFERROR(INDEX(Population_by_Province_Year!$B$5:$J$29,MATCH($A1640,Population_by_Province_Year!$A$5:$A$29,0),MATCH($B1640,Population_by_Province_Year!$B$4:$J$4,0)),"")</f>
        <v>585780</v>
      </c>
      <c r="H1640" s="22">
        <f>IFERROR(D1640/G1640*100000,"")</f>
        <v>5.6335142886407867</v>
      </c>
    </row>
    <row r="1641" spans="1:8" ht="15" customHeight="1" x14ac:dyDescent="0.3">
      <c r="A1641" s="20" t="s">
        <v>26</v>
      </c>
      <c r="B1641" s="20">
        <v>2024</v>
      </c>
      <c r="C1641" s="20" t="s">
        <v>100</v>
      </c>
      <c r="D1641" s="20">
        <v>44</v>
      </c>
      <c r="E1641" s="20">
        <v>0</v>
      </c>
      <c r="F1641" s="22">
        <f>IFERROR(E1641/D1641*100,"")</f>
        <v>0</v>
      </c>
      <c r="G1641" s="23">
        <f>IFERROR(INDEX(Population_by_Province_Year!$B$5:$J$29,MATCH($A1641,Population_by_Province_Year!$A$5:$A$29,0),MATCH($B1641,Population_by_Province_Year!$B$4:$J$4,0)),"")</f>
        <v>1004264</v>
      </c>
      <c r="H1641" s="22">
        <f>IFERROR(D1641/G1641*100000,"")</f>
        <v>4.3813180597930428</v>
      </c>
    </row>
    <row r="1642" spans="1:8" ht="15" customHeight="1" x14ac:dyDescent="0.3">
      <c r="A1642" s="20" t="s">
        <v>27</v>
      </c>
      <c r="B1642" s="20">
        <v>2024</v>
      </c>
      <c r="C1642" s="20" t="s">
        <v>100</v>
      </c>
      <c r="D1642" s="20">
        <v>51</v>
      </c>
      <c r="E1642" s="20">
        <v>0</v>
      </c>
      <c r="F1642" s="22">
        <f>IFERROR(E1642/D1642*100,"")</f>
        <v>0</v>
      </c>
      <c r="G1642" s="23">
        <f>IFERROR(INDEX(Population_by_Province_Year!$B$5:$J$29,MATCH($A1642,Population_by_Province_Year!$A$5:$A$29,0),MATCH($B1642,Population_by_Province_Year!$B$4:$J$4,0)),"")</f>
        <v>865958</v>
      </c>
      <c r="H1642" s="22">
        <f>IFERROR(D1642/G1642*100000,"")</f>
        <v>5.8894311271447348</v>
      </c>
    </row>
    <row r="1643" spans="1:8" ht="15" customHeight="1" x14ac:dyDescent="0.3">
      <c r="A1643" s="20" t="s">
        <v>3</v>
      </c>
      <c r="B1643" s="20">
        <v>2024</v>
      </c>
      <c r="C1643" s="20" t="s">
        <v>99</v>
      </c>
      <c r="D1643" s="20">
        <v>53</v>
      </c>
      <c r="E1643" s="20">
        <v>0</v>
      </c>
      <c r="F1643" s="22">
        <f>IFERROR(E1643/D1643*100,"")</f>
        <v>0</v>
      </c>
      <c r="G1643" s="23">
        <f>IFERROR(INDEX(Population_by_Province_Year!$B$5:$J$29,MATCH($A1643,Population_by_Province_Year!$A$5:$A$29,0),MATCH($B1643,Population_by_Province_Year!$B$4:$J$4,0)),"")</f>
        <v>960755</v>
      </c>
      <c r="H1643" s="22">
        <f>IFERROR(D1643/G1643*100000,"")</f>
        <v>5.5164948399956284</v>
      </c>
    </row>
    <row r="1644" spans="1:8" ht="15" customHeight="1" x14ac:dyDescent="0.3">
      <c r="A1644" s="20" t="s">
        <v>4</v>
      </c>
      <c r="B1644" s="20">
        <v>2024</v>
      </c>
      <c r="C1644" s="20" t="s">
        <v>99</v>
      </c>
      <c r="D1644" s="20">
        <v>35</v>
      </c>
      <c r="E1644" s="20">
        <v>0</v>
      </c>
      <c r="F1644" s="22">
        <f>IFERROR(E1644/D1644*100,"")</f>
        <v>0</v>
      </c>
      <c r="G1644" s="23">
        <f>IFERROR(INDEX(Population_by_Province_Year!$B$5:$J$29,MATCH($A1644,Population_by_Province_Year!$A$5:$A$29,0),MATCH($B1644,Population_by_Province_Year!$B$4:$J$4,0)),"")</f>
        <v>1111561</v>
      </c>
      <c r="H1644" s="22">
        <f>IFERROR(D1644/G1644*100000,"")</f>
        <v>3.1487250812146161</v>
      </c>
    </row>
    <row r="1645" spans="1:8" ht="15" customHeight="1" x14ac:dyDescent="0.3">
      <c r="A1645" s="20" t="s">
        <v>5</v>
      </c>
      <c r="B1645" s="20">
        <v>2024</v>
      </c>
      <c r="C1645" s="20" t="s">
        <v>99</v>
      </c>
      <c r="D1645" s="20">
        <v>97</v>
      </c>
      <c r="E1645" s="20">
        <v>1</v>
      </c>
      <c r="F1645" s="22">
        <f>IFERROR(E1645/D1645*100,"")</f>
        <v>1.0309278350515463</v>
      </c>
      <c r="G1645" s="23">
        <f>IFERROR(INDEX(Population_by_Province_Year!$B$5:$J$29,MATCH($A1645,Population_by_Province_Year!$A$5:$A$29,0),MATCH($B1645,Population_by_Province_Year!$B$4:$J$4,0)),"")</f>
        <v>1003012</v>
      </c>
      <c r="H1645" s="22">
        <f>IFERROR(D1645/G1645*100000,"")</f>
        <v>9.6708713355373614</v>
      </c>
    </row>
    <row r="1646" spans="1:8" ht="15" customHeight="1" x14ac:dyDescent="0.3">
      <c r="A1646" s="20" t="s">
        <v>6</v>
      </c>
      <c r="B1646" s="20">
        <v>2024</v>
      </c>
      <c r="C1646" s="20" t="s">
        <v>99</v>
      </c>
      <c r="D1646" s="20">
        <v>8</v>
      </c>
      <c r="E1646" s="20">
        <v>0</v>
      </c>
      <c r="F1646" s="22">
        <f>IFERROR(E1646/D1646*100,"")</f>
        <v>0</v>
      </c>
      <c r="G1646" s="23">
        <f>IFERROR(INDEX(Population_by_Province_Year!$B$5:$J$29,MATCH($A1646,Population_by_Province_Year!$A$5:$A$29,0),MATCH($B1646,Population_by_Province_Year!$B$4:$J$4,0)),"")</f>
        <v>587486</v>
      </c>
      <c r="H1646" s="22">
        <f>IFERROR(D1646/G1646*100000,"")</f>
        <v>1.3617345775048255</v>
      </c>
    </row>
    <row r="1647" spans="1:8" ht="15" customHeight="1" x14ac:dyDescent="0.3">
      <c r="A1647" s="20" t="s">
        <v>7</v>
      </c>
      <c r="B1647" s="20">
        <v>2024</v>
      </c>
      <c r="C1647" s="20" t="s">
        <v>99</v>
      </c>
      <c r="D1647" s="20">
        <v>49</v>
      </c>
      <c r="E1647" s="20">
        <v>0</v>
      </c>
      <c r="F1647" s="22">
        <f>IFERROR(E1647/D1647*100,"")</f>
        <v>0</v>
      </c>
      <c r="G1647" s="23">
        <f>IFERROR(INDEX(Population_by_Province_Year!$B$5:$J$29,MATCH($A1647,Population_by_Province_Year!$A$5:$A$29,0),MATCH($B1647,Population_by_Province_Year!$B$4:$J$4,0)),"")</f>
        <v>978189</v>
      </c>
      <c r="H1647" s="22">
        <f>IFERROR(D1647/G1647*100000,"")</f>
        <v>5.0092569022959772</v>
      </c>
    </row>
    <row r="1648" spans="1:8" ht="15" customHeight="1" x14ac:dyDescent="0.3">
      <c r="A1648" s="20" t="s">
        <v>8</v>
      </c>
      <c r="B1648" s="20">
        <v>2024</v>
      </c>
      <c r="C1648" s="20" t="s">
        <v>99</v>
      </c>
      <c r="D1648" s="20">
        <v>57</v>
      </c>
      <c r="E1648" s="20">
        <v>1</v>
      </c>
      <c r="F1648" s="22">
        <f>IFERROR(E1648/D1648*100,"")</f>
        <v>1.7543859649122806</v>
      </c>
      <c r="G1648" s="23">
        <f>IFERROR(INDEX(Population_by_Province_Year!$B$5:$J$29,MATCH($A1648,Population_by_Province_Year!$A$5:$A$29,0),MATCH($B1648,Population_by_Province_Year!$B$4:$J$4,0)),"")</f>
        <v>759734</v>
      </c>
      <c r="H1648" s="22">
        <f>IFERROR(D1648/G1648*100000,"")</f>
        <v>7.5026259190716749</v>
      </c>
    </row>
    <row r="1649" spans="1:8" ht="15" customHeight="1" x14ac:dyDescent="0.3">
      <c r="A1649" s="20" t="s">
        <v>9</v>
      </c>
      <c r="B1649" s="20">
        <v>2024</v>
      </c>
      <c r="C1649" s="20" t="s">
        <v>99</v>
      </c>
      <c r="D1649" s="20">
        <v>27</v>
      </c>
      <c r="E1649" s="20">
        <v>0</v>
      </c>
      <c r="F1649" s="22">
        <f>IFERROR(E1649/D1649*100,"")</f>
        <v>0</v>
      </c>
      <c r="G1649" s="23">
        <f>IFERROR(INDEX(Population_by_Province_Year!$B$5:$J$29,MATCH($A1649,Population_by_Province_Year!$A$5:$A$29,0),MATCH($B1649,Population_by_Province_Year!$B$4:$J$4,0)),"")</f>
        <v>661951</v>
      </c>
      <c r="H1649" s="22">
        <f>IFERROR(D1649/G1649*100000,"")</f>
        <v>4.0788517579095735</v>
      </c>
    </row>
    <row r="1650" spans="1:8" ht="15" customHeight="1" x14ac:dyDescent="0.3">
      <c r="A1650" s="20" t="s">
        <v>10</v>
      </c>
      <c r="B1650" s="20">
        <v>2024</v>
      </c>
      <c r="C1650" s="20" t="s">
        <v>99</v>
      </c>
      <c r="D1650" s="20">
        <v>172</v>
      </c>
      <c r="E1650" s="20">
        <v>0</v>
      </c>
      <c r="F1650" s="22">
        <f>IFERROR(E1650/D1650*100,"")</f>
        <v>0</v>
      </c>
      <c r="G1650" s="23">
        <f>IFERROR(INDEX(Population_by_Province_Year!$B$5:$J$29,MATCH($A1650,Population_by_Province_Year!$A$5:$A$29,0),MATCH($B1650,Population_by_Province_Year!$B$4:$J$4,0)),"")</f>
        <v>1339422</v>
      </c>
      <c r="H1650" s="22">
        <f>IFERROR(D1650/G1650*100000,"")</f>
        <v>12.8413599298802</v>
      </c>
    </row>
    <row r="1651" spans="1:8" ht="15" customHeight="1" x14ac:dyDescent="0.3">
      <c r="A1651" s="20" t="s">
        <v>11</v>
      </c>
      <c r="B1651" s="20">
        <v>2024</v>
      </c>
      <c r="C1651" s="20" t="s">
        <v>99</v>
      </c>
      <c r="D1651" s="20">
        <v>1</v>
      </c>
      <c r="E1651" s="20">
        <v>0</v>
      </c>
      <c r="F1651" s="22">
        <f>IFERROR(E1651/D1651*100,"")</f>
        <v>0</v>
      </c>
      <c r="G1651" s="23">
        <f>IFERROR(INDEX(Population_by_Province_Year!$B$5:$J$29,MATCH($A1651,Population_by_Province_Year!$A$5:$A$29,0),MATCH($B1651,Population_by_Province_Year!$B$4:$J$4,0)),"")</f>
        <v>47559</v>
      </c>
      <c r="H1651" s="22">
        <f>IFERROR(D1651/G1651*100000,"")</f>
        <v>2.1026514434702159</v>
      </c>
    </row>
    <row r="1652" spans="1:8" ht="15" customHeight="1" x14ac:dyDescent="0.3">
      <c r="A1652" s="20" t="s">
        <v>12</v>
      </c>
      <c r="B1652" s="20">
        <v>2024</v>
      </c>
      <c r="C1652" s="20" t="s">
        <v>99</v>
      </c>
      <c r="D1652" s="20">
        <v>10</v>
      </c>
      <c r="E1652" s="20">
        <v>0</v>
      </c>
      <c r="F1652" s="22">
        <f>IFERROR(E1652/D1652*100,"")</f>
        <v>0</v>
      </c>
      <c r="G1652" s="23">
        <f>IFERROR(INDEX(Population_by_Province_Year!$B$5:$J$29,MATCH($A1652,Population_by_Province_Year!$A$5:$A$29,0),MATCH($B1652,Population_by_Province_Year!$B$4:$J$4,0)),"")</f>
        <v>140345</v>
      </c>
      <c r="H1652" s="22">
        <f>IFERROR(D1652/G1652*100000,"")</f>
        <v>7.1252983718693219</v>
      </c>
    </row>
    <row r="1653" spans="1:8" ht="15" customHeight="1" x14ac:dyDescent="0.3">
      <c r="A1653" s="20" t="s">
        <v>13</v>
      </c>
      <c r="B1653" s="20">
        <v>2024</v>
      </c>
      <c r="C1653" s="20" t="s">
        <v>99</v>
      </c>
      <c r="D1653" s="20">
        <v>66</v>
      </c>
      <c r="E1653" s="20">
        <v>0</v>
      </c>
      <c r="F1653" s="22">
        <f>IFERROR(E1653/D1653*100,"")</f>
        <v>0</v>
      </c>
      <c r="G1653" s="23">
        <f>IFERROR(INDEX(Population_by_Province_Year!$B$5:$J$29,MATCH($A1653,Population_by_Province_Year!$A$5:$A$29,0),MATCH($B1653,Population_by_Province_Year!$B$4:$J$4,0)),"")</f>
        <v>417746</v>
      </c>
      <c r="H1653" s="22">
        <f>IFERROR(D1653/G1653*100000,"")</f>
        <v>15.799074078507035</v>
      </c>
    </row>
    <row r="1654" spans="1:8" ht="15" customHeight="1" x14ac:dyDescent="0.3">
      <c r="A1654" s="20" t="s">
        <v>15</v>
      </c>
      <c r="B1654" s="20">
        <v>2024</v>
      </c>
      <c r="C1654" s="20" t="s">
        <v>99</v>
      </c>
      <c r="D1654" s="20">
        <v>48</v>
      </c>
      <c r="E1654" s="20">
        <v>0</v>
      </c>
      <c r="F1654" s="22">
        <f>IFERROR(E1654/D1654*100,"")</f>
        <v>0</v>
      </c>
      <c r="G1654" s="23">
        <f>IFERROR(INDEX(Population_by_Province_Year!$B$5:$J$29,MATCH($A1654,Population_by_Province_Year!$A$5:$A$29,0),MATCH($B1654,Population_by_Province_Year!$B$4:$J$4,0)),"")</f>
        <v>307704</v>
      </c>
      <c r="H1654" s="22">
        <f>IFERROR(D1654/G1654*100000,"")</f>
        <v>15.599407222525544</v>
      </c>
    </row>
    <row r="1655" spans="1:8" ht="15" customHeight="1" x14ac:dyDescent="0.3">
      <c r="A1655" s="20" t="s">
        <v>16</v>
      </c>
      <c r="B1655" s="20">
        <v>2024</v>
      </c>
      <c r="C1655" s="20" t="s">
        <v>99</v>
      </c>
      <c r="D1655" s="20">
        <v>13</v>
      </c>
      <c r="E1655" s="20">
        <v>0</v>
      </c>
      <c r="F1655" s="22">
        <f>IFERROR(E1655/D1655*100,"")</f>
        <v>0</v>
      </c>
      <c r="G1655" s="23">
        <f>IFERROR(INDEX(Population_by_Province_Year!$B$5:$J$29,MATCH($A1655,Population_by_Province_Year!$A$5:$A$29,0),MATCH($B1655,Population_by_Province_Year!$B$4:$J$4,0)),"")</f>
        <v>83729</v>
      </c>
      <c r="H1655" s="22">
        <f>IFERROR(D1655/G1655*100000,"")</f>
        <v>15.526281216782717</v>
      </c>
    </row>
    <row r="1656" spans="1:8" ht="15" customHeight="1" x14ac:dyDescent="0.3">
      <c r="A1656" s="20" t="s">
        <v>17</v>
      </c>
      <c r="B1656" s="20">
        <v>2024</v>
      </c>
      <c r="C1656" s="20" t="s">
        <v>99</v>
      </c>
      <c r="D1656" s="20">
        <v>310</v>
      </c>
      <c r="E1656" s="20">
        <v>0</v>
      </c>
      <c r="F1656" s="22">
        <f>IFERROR(E1656/D1656*100,"")</f>
        <v>0</v>
      </c>
      <c r="G1656" s="23">
        <f>IFERROR(INDEX(Population_by_Province_Year!$B$5:$J$29,MATCH($A1656,Population_by_Province_Year!$A$5:$A$29,0),MATCH($B1656,Population_by_Province_Year!$B$4:$J$4,0)),"")</f>
        <v>2543729</v>
      </c>
      <c r="H1656" s="22">
        <f>IFERROR(D1656/G1656*100000,"")</f>
        <v>12.186832795474675</v>
      </c>
    </row>
    <row r="1657" spans="1:8" ht="15" customHeight="1" x14ac:dyDescent="0.3">
      <c r="A1657" s="20" t="s">
        <v>18</v>
      </c>
      <c r="B1657" s="20">
        <v>2024</v>
      </c>
      <c r="C1657" s="20" t="s">
        <v>99</v>
      </c>
      <c r="D1657" s="20">
        <v>39</v>
      </c>
      <c r="E1657" s="20">
        <v>0</v>
      </c>
      <c r="F1657" s="22">
        <f>IFERROR(E1657/D1657*100,"")</f>
        <v>0</v>
      </c>
      <c r="G1657" s="23">
        <f>IFERROR(INDEX(Population_by_Province_Year!$B$5:$J$29,MATCH($A1657,Population_by_Province_Year!$A$5:$A$29,0),MATCH($B1657,Population_by_Province_Year!$B$4:$J$4,0)),"")</f>
        <v>345642</v>
      </c>
      <c r="H1657" s="22">
        <f>IFERROR(D1657/G1657*100000,"")</f>
        <v>11.283350981651536</v>
      </c>
    </row>
    <row r="1658" spans="1:8" ht="15" customHeight="1" x14ac:dyDescent="0.3">
      <c r="A1658" s="20" t="s">
        <v>19</v>
      </c>
      <c r="B1658" s="20">
        <v>2024</v>
      </c>
      <c r="C1658" s="20" t="s">
        <v>99</v>
      </c>
      <c r="D1658" s="20">
        <v>33</v>
      </c>
      <c r="E1658" s="20">
        <v>0</v>
      </c>
      <c r="F1658" s="22">
        <f>IFERROR(E1658/D1658*100,"")</f>
        <v>0</v>
      </c>
      <c r="G1658" s="23">
        <f>IFERROR(INDEX(Population_by_Province_Year!$B$5:$J$29,MATCH($A1658,Population_by_Province_Year!$A$5:$A$29,0),MATCH($B1658,Population_by_Province_Year!$B$4:$J$4,0)),"")</f>
        <v>284060</v>
      </c>
      <c r="H1658" s="22">
        <f>IFERROR(D1658/G1658*100000,"")</f>
        <v>11.617263958318665</v>
      </c>
    </row>
    <row r="1659" spans="1:8" ht="15" customHeight="1" x14ac:dyDescent="0.3">
      <c r="A1659" s="20" t="s">
        <v>20</v>
      </c>
      <c r="B1659" s="20">
        <v>2024</v>
      </c>
      <c r="C1659" s="20" t="s">
        <v>99</v>
      </c>
      <c r="D1659" s="20">
        <v>70</v>
      </c>
      <c r="E1659" s="20">
        <v>1</v>
      </c>
      <c r="F1659" s="22">
        <f>IFERROR(E1659/D1659*100,"")</f>
        <v>1.4285714285714286</v>
      </c>
      <c r="G1659" s="23">
        <f>IFERROR(INDEX(Population_by_Province_Year!$B$5:$J$29,MATCH($A1659,Population_by_Province_Year!$A$5:$A$29,0),MATCH($B1659,Population_by_Province_Year!$B$4:$J$4,0)),"")</f>
        <v>1179058</v>
      </c>
      <c r="H1659" s="22">
        <f>IFERROR(D1659/G1659*100000,"")</f>
        <v>5.9369428815206717</v>
      </c>
    </row>
    <row r="1660" spans="1:8" ht="15" customHeight="1" x14ac:dyDescent="0.3">
      <c r="A1660" s="20" t="s">
        <v>21</v>
      </c>
      <c r="B1660" s="20">
        <v>2024</v>
      </c>
      <c r="C1660" s="20" t="s">
        <v>99</v>
      </c>
      <c r="D1660" s="20">
        <v>13</v>
      </c>
      <c r="E1660" s="20">
        <v>0</v>
      </c>
      <c r="F1660" s="22">
        <f>IFERROR(E1660/D1660*100,"")</f>
        <v>0</v>
      </c>
      <c r="G1660" s="23">
        <f>IFERROR(INDEX(Population_by_Province_Year!$B$5:$J$29,MATCH($A1660,Population_by_Province_Year!$A$5:$A$29,0),MATCH($B1660,Population_by_Province_Year!$B$4:$J$4,0)),"")</f>
        <v>468127</v>
      </c>
      <c r="H1660" s="22">
        <f>IFERROR(D1660/G1660*100000,"")</f>
        <v>2.7770241836082943</v>
      </c>
    </row>
    <row r="1661" spans="1:8" ht="15" customHeight="1" x14ac:dyDescent="0.3">
      <c r="A1661" s="20" t="s">
        <v>22</v>
      </c>
      <c r="B1661" s="20">
        <v>2024</v>
      </c>
      <c r="C1661" s="20" t="s">
        <v>99</v>
      </c>
      <c r="D1661" s="20">
        <v>4</v>
      </c>
      <c r="E1661" s="20">
        <v>0</v>
      </c>
      <c r="F1661" s="22">
        <f>IFERROR(E1661/D1661*100,"")</f>
        <v>0</v>
      </c>
      <c r="G1661" s="23">
        <f>IFERROR(INDEX(Population_by_Province_Year!$B$5:$J$29,MATCH($A1661,Population_by_Province_Year!$A$5:$A$29,0),MATCH($B1661,Population_by_Province_Year!$B$4:$J$4,0)),"")</f>
        <v>242398</v>
      </c>
      <c r="H1661" s="22">
        <f>IFERROR(D1661/G1661*100000,"")</f>
        <v>1.6501786318368965</v>
      </c>
    </row>
    <row r="1662" spans="1:8" ht="15" customHeight="1" x14ac:dyDescent="0.3">
      <c r="A1662" s="20" t="s">
        <v>23</v>
      </c>
      <c r="B1662" s="20">
        <v>2024</v>
      </c>
      <c r="C1662" s="20" t="s">
        <v>99</v>
      </c>
      <c r="D1662" s="20">
        <v>151</v>
      </c>
      <c r="E1662" s="20">
        <v>1</v>
      </c>
      <c r="F1662" s="22">
        <f>IFERROR(E1662/D1662*100,"")</f>
        <v>0.66225165562913912</v>
      </c>
      <c r="G1662" s="23">
        <f>IFERROR(INDEX(Population_by_Province_Year!$B$5:$J$29,MATCH($A1662,Population_by_Province_Year!$A$5:$A$29,0),MATCH($B1662,Population_by_Province_Year!$B$4:$J$4,0)),"")</f>
        <v>1130583</v>
      </c>
      <c r="H1662" s="22">
        <f>IFERROR(D1662/G1662*100000,"")</f>
        <v>13.355941138333057</v>
      </c>
    </row>
    <row r="1663" spans="1:8" ht="15" customHeight="1" x14ac:dyDescent="0.3">
      <c r="A1663" s="20" t="s">
        <v>24</v>
      </c>
      <c r="B1663" s="20">
        <v>2024</v>
      </c>
      <c r="C1663" s="20" t="s">
        <v>99</v>
      </c>
      <c r="D1663" s="20">
        <v>2</v>
      </c>
      <c r="E1663" s="20">
        <v>0</v>
      </c>
      <c r="F1663" s="22">
        <f>IFERROR(E1663/D1663*100,"")</f>
        <v>0</v>
      </c>
      <c r="G1663" s="23">
        <f>IFERROR(INDEX(Population_by_Province_Year!$B$5:$J$29,MATCH($A1663,Population_by_Province_Year!$A$5:$A$29,0),MATCH($B1663,Population_by_Province_Year!$B$4:$J$4,0)),"")</f>
        <v>184723</v>
      </c>
      <c r="H1663" s="22">
        <f>IFERROR(D1663/G1663*100000,"")</f>
        <v>1.0827022081711535</v>
      </c>
    </row>
    <row r="1664" spans="1:8" ht="15" customHeight="1" x14ac:dyDescent="0.3">
      <c r="A1664" s="20" t="s">
        <v>25</v>
      </c>
      <c r="B1664" s="20">
        <v>2024</v>
      </c>
      <c r="C1664" s="20" t="s">
        <v>99</v>
      </c>
      <c r="D1664" s="20">
        <v>40</v>
      </c>
      <c r="E1664" s="20">
        <v>0</v>
      </c>
      <c r="F1664" s="22">
        <f>IFERROR(E1664/D1664*100,"")</f>
        <v>0</v>
      </c>
      <c r="G1664" s="23">
        <f>IFERROR(INDEX(Population_by_Province_Year!$B$5:$J$29,MATCH($A1664,Population_by_Province_Year!$A$5:$A$29,0),MATCH($B1664,Population_by_Province_Year!$B$4:$J$4,0)),"")</f>
        <v>585780</v>
      </c>
      <c r="H1664" s="22">
        <f>IFERROR(D1664/G1664*100000,"")</f>
        <v>6.8285021680494387</v>
      </c>
    </row>
    <row r="1665" spans="1:8" ht="15" customHeight="1" x14ac:dyDescent="0.3">
      <c r="A1665" s="20" t="s">
        <v>26</v>
      </c>
      <c r="B1665" s="20">
        <v>2024</v>
      </c>
      <c r="C1665" s="20" t="s">
        <v>99</v>
      </c>
      <c r="D1665" s="20">
        <v>17</v>
      </c>
      <c r="E1665" s="20">
        <v>0</v>
      </c>
      <c r="F1665" s="22">
        <f>IFERROR(E1665/D1665*100,"")</f>
        <v>0</v>
      </c>
      <c r="G1665" s="23">
        <f>IFERROR(INDEX(Population_by_Province_Year!$B$5:$J$29,MATCH($A1665,Population_by_Province_Year!$A$5:$A$29,0),MATCH($B1665,Population_by_Province_Year!$B$4:$J$4,0)),"")</f>
        <v>1004264</v>
      </c>
      <c r="H1665" s="22">
        <f>IFERROR(D1665/G1665*100000,"")</f>
        <v>1.6927819776473121</v>
      </c>
    </row>
    <row r="1666" spans="1:8" ht="15" customHeight="1" x14ac:dyDescent="0.3">
      <c r="A1666" s="20" t="s">
        <v>27</v>
      </c>
      <c r="B1666" s="20">
        <v>2024</v>
      </c>
      <c r="C1666" s="20" t="s">
        <v>99</v>
      </c>
      <c r="D1666" s="20">
        <v>55</v>
      </c>
      <c r="E1666" s="20">
        <v>0</v>
      </c>
      <c r="F1666" s="22">
        <f>IFERROR(E1666/D1666*100,"")</f>
        <v>0</v>
      </c>
      <c r="G1666" s="23">
        <f>IFERROR(INDEX(Population_by_Province_Year!$B$5:$J$29,MATCH($A1666,Population_by_Province_Year!$A$5:$A$29,0),MATCH($B1666,Population_by_Province_Year!$B$4:$J$4,0)),"")</f>
        <v>865958</v>
      </c>
      <c r="H1666" s="22">
        <f>IFERROR(D1666/G1666*100000,"")</f>
        <v>6.3513472939796154</v>
      </c>
    </row>
    <row r="1667" spans="1:8" ht="15" customHeight="1" x14ac:dyDescent="0.3">
      <c r="A1667" s="20" t="s">
        <v>3</v>
      </c>
      <c r="B1667" s="20">
        <v>2024</v>
      </c>
      <c r="C1667" s="20" t="s">
        <v>103</v>
      </c>
      <c r="D1667" s="20">
        <v>22</v>
      </c>
      <c r="E1667" s="20">
        <v>0</v>
      </c>
      <c r="F1667" s="22">
        <f>IFERROR(E1667/D1667*100,"")</f>
        <v>0</v>
      </c>
      <c r="G1667" s="23">
        <f>IFERROR(INDEX(Population_by_Province_Year!$B$5:$J$29,MATCH($A1667,Population_by_Province_Year!$A$5:$A$29,0),MATCH($B1667,Population_by_Province_Year!$B$4:$J$4,0)),"")</f>
        <v>960755</v>
      </c>
      <c r="H1667" s="22">
        <f>IFERROR(D1667/G1667*100000,"")</f>
        <v>2.2898657826396946</v>
      </c>
    </row>
    <row r="1668" spans="1:8" ht="15" customHeight="1" x14ac:dyDescent="0.3">
      <c r="A1668" s="20" t="s">
        <v>4</v>
      </c>
      <c r="B1668" s="20">
        <v>2024</v>
      </c>
      <c r="C1668" s="20" t="s">
        <v>103</v>
      </c>
      <c r="D1668" s="20">
        <v>38</v>
      </c>
      <c r="E1668" s="20">
        <v>0</v>
      </c>
      <c r="F1668" s="22">
        <f>IFERROR(E1668/D1668*100,"")</f>
        <v>0</v>
      </c>
      <c r="G1668" s="23">
        <f>IFERROR(INDEX(Population_by_Province_Year!$B$5:$J$29,MATCH($A1668,Population_by_Province_Year!$A$5:$A$29,0),MATCH($B1668,Population_by_Province_Year!$B$4:$J$4,0)),"")</f>
        <v>1111561</v>
      </c>
      <c r="H1668" s="22">
        <f>IFERROR(D1668/G1668*100000,"")</f>
        <v>3.4186158024615834</v>
      </c>
    </row>
    <row r="1669" spans="1:8" ht="15" customHeight="1" x14ac:dyDescent="0.3">
      <c r="A1669" s="20" t="s">
        <v>5</v>
      </c>
      <c r="B1669" s="20">
        <v>2024</v>
      </c>
      <c r="C1669" s="20" t="s">
        <v>103</v>
      </c>
      <c r="D1669" s="20">
        <v>111</v>
      </c>
      <c r="E1669" s="20">
        <v>2</v>
      </c>
      <c r="F1669" s="22">
        <f>IFERROR(E1669/D1669*100,"")</f>
        <v>1.8018018018018018</v>
      </c>
      <c r="G1669" s="23">
        <f>IFERROR(INDEX(Population_by_Province_Year!$B$5:$J$29,MATCH($A1669,Population_by_Province_Year!$A$5:$A$29,0),MATCH($B1669,Population_by_Province_Year!$B$4:$J$4,0)),"")</f>
        <v>1003012</v>
      </c>
      <c r="H1669" s="22">
        <f>IFERROR(D1669/G1669*100000,"")</f>
        <v>11.066667198398424</v>
      </c>
    </row>
    <row r="1670" spans="1:8" ht="15" customHeight="1" x14ac:dyDescent="0.3">
      <c r="A1670" s="20" t="s">
        <v>6</v>
      </c>
      <c r="B1670" s="20">
        <v>2024</v>
      </c>
      <c r="C1670" s="20" t="s">
        <v>103</v>
      </c>
      <c r="D1670" s="20">
        <v>34</v>
      </c>
      <c r="E1670" s="20">
        <v>0</v>
      </c>
      <c r="F1670" s="22">
        <f>IFERROR(E1670/D1670*100,"")</f>
        <v>0</v>
      </c>
      <c r="G1670" s="23">
        <f>IFERROR(INDEX(Population_by_Province_Year!$B$5:$J$29,MATCH($A1670,Population_by_Province_Year!$A$5:$A$29,0),MATCH($B1670,Population_by_Province_Year!$B$4:$J$4,0)),"")</f>
        <v>587486</v>
      </c>
      <c r="H1670" s="22">
        <f>IFERROR(D1670/G1670*100000,"")</f>
        <v>5.7873719543955096</v>
      </c>
    </row>
    <row r="1671" spans="1:8" ht="15" customHeight="1" x14ac:dyDescent="0.3">
      <c r="A1671" s="20" t="s">
        <v>7</v>
      </c>
      <c r="B1671" s="20">
        <v>2024</v>
      </c>
      <c r="C1671" s="20" t="s">
        <v>103</v>
      </c>
      <c r="D1671" s="20">
        <v>59</v>
      </c>
      <c r="E1671" s="20">
        <v>0</v>
      </c>
      <c r="F1671" s="22">
        <f>IFERROR(E1671/D1671*100,"")</f>
        <v>0</v>
      </c>
      <c r="G1671" s="23">
        <f>IFERROR(INDEX(Population_by_Province_Year!$B$5:$J$29,MATCH($A1671,Population_by_Province_Year!$A$5:$A$29,0),MATCH($B1671,Population_by_Province_Year!$B$4:$J$4,0)),"")</f>
        <v>978189</v>
      </c>
      <c r="H1671" s="22">
        <f>IFERROR(D1671/G1671*100000,"")</f>
        <v>6.0315542292951569</v>
      </c>
    </row>
    <row r="1672" spans="1:8" ht="15" customHeight="1" x14ac:dyDescent="0.3">
      <c r="A1672" s="20" t="s">
        <v>8</v>
      </c>
      <c r="B1672" s="20">
        <v>2024</v>
      </c>
      <c r="C1672" s="20" t="s">
        <v>103</v>
      </c>
      <c r="D1672" s="20">
        <v>93</v>
      </c>
      <c r="E1672" s="20">
        <v>2</v>
      </c>
      <c r="F1672" s="22">
        <f>IFERROR(E1672/D1672*100,"")</f>
        <v>2.1505376344086025</v>
      </c>
      <c r="G1672" s="23">
        <f>IFERROR(INDEX(Population_by_Province_Year!$B$5:$J$29,MATCH($A1672,Population_by_Province_Year!$A$5:$A$29,0),MATCH($B1672,Population_by_Province_Year!$B$4:$J$4,0)),"")</f>
        <v>759734</v>
      </c>
      <c r="H1672" s="22">
        <f>IFERROR(D1672/G1672*100000,"")</f>
        <v>12.241126499537998</v>
      </c>
    </row>
    <row r="1673" spans="1:8" ht="15" customHeight="1" x14ac:dyDescent="0.3">
      <c r="A1673" s="20" t="s">
        <v>9</v>
      </c>
      <c r="B1673" s="20">
        <v>2024</v>
      </c>
      <c r="C1673" s="20" t="s">
        <v>103</v>
      </c>
      <c r="D1673" s="20">
        <v>13</v>
      </c>
      <c r="E1673" s="20">
        <v>0</v>
      </c>
      <c r="F1673" s="22">
        <f>IFERROR(E1673/D1673*100,"")</f>
        <v>0</v>
      </c>
      <c r="G1673" s="23">
        <f>IFERROR(INDEX(Population_by_Province_Year!$B$5:$J$29,MATCH($A1673,Population_by_Province_Year!$A$5:$A$29,0),MATCH($B1673,Population_by_Province_Year!$B$4:$J$4,0)),"")</f>
        <v>661951</v>
      </c>
      <c r="H1673" s="22">
        <f>IFERROR(D1673/G1673*100000,"")</f>
        <v>1.9638915871416465</v>
      </c>
    </row>
    <row r="1674" spans="1:8" ht="15" customHeight="1" x14ac:dyDescent="0.3">
      <c r="A1674" s="20" t="s">
        <v>10</v>
      </c>
      <c r="B1674" s="20">
        <v>2024</v>
      </c>
      <c r="C1674" s="20" t="s">
        <v>103</v>
      </c>
      <c r="D1674" s="20">
        <v>119</v>
      </c>
      <c r="E1674" s="20">
        <v>1</v>
      </c>
      <c r="F1674" s="22">
        <f>IFERROR(E1674/D1674*100,"")</f>
        <v>0.84033613445378152</v>
      </c>
      <c r="G1674" s="23">
        <f>IFERROR(INDEX(Population_by_Province_Year!$B$5:$J$29,MATCH($A1674,Population_by_Province_Year!$A$5:$A$29,0),MATCH($B1674,Population_by_Province_Year!$B$4:$J$4,0)),"")</f>
        <v>1339422</v>
      </c>
      <c r="H1674" s="22">
        <f>IFERROR(D1674/G1674*100000,"")</f>
        <v>8.8844292538124652</v>
      </c>
    </row>
    <row r="1675" spans="1:8" ht="15" customHeight="1" x14ac:dyDescent="0.3">
      <c r="A1675" s="20" t="s">
        <v>11</v>
      </c>
      <c r="B1675" s="20">
        <v>2024</v>
      </c>
      <c r="C1675" s="20" t="s">
        <v>103</v>
      </c>
      <c r="D1675" s="20">
        <v>1</v>
      </c>
      <c r="E1675" s="20">
        <v>0</v>
      </c>
      <c r="F1675" s="22">
        <f>IFERROR(E1675/D1675*100,"")</f>
        <v>0</v>
      </c>
      <c r="G1675" s="23">
        <f>IFERROR(INDEX(Population_by_Province_Year!$B$5:$J$29,MATCH($A1675,Population_by_Province_Year!$A$5:$A$29,0),MATCH($B1675,Population_by_Province_Year!$B$4:$J$4,0)),"")</f>
        <v>47559</v>
      </c>
      <c r="H1675" s="22">
        <f>IFERROR(D1675/G1675*100000,"")</f>
        <v>2.1026514434702159</v>
      </c>
    </row>
    <row r="1676" spans="1:8" ht="15" customHeight="1" x14ac:dyDescent="0.3">
      <c r="A1676" s="20" t="s">
        <v>12</v>
      </c>
      <c r="B1676" s="20">
        <v>2024</v>
      </c>
      <c r="C1676" s="20" t="s">
        <v>103</v>
      </c>
      <c r="D1676" s="20">
        <v>13</v>
      </c>
      <c r="E1676" s="20">
        <v>0</v>
      </c>
      <c r="F1676" s="22">
        <f>IFERROR(E1676/D1676*100,"")</f>
        <v>0</v>
      </c>
      <c r="G1676" s="23">
        <f>IFERROR(INDEX(Population_by_Province_Year!$B$5:$J$29,MATCH($A1676,Population_by_Province_Year!$A$5:$A$29,0),MATCH($B1676,Population_by_Province_Year!$B$4:$J$4,0)),"")</f>
        <v>140345</v>
      </c>
      <c r="H1676" s="22">
        <f>IFERROR(D1676/G1676*100000,"")</f>
        <v>9.2628878834301176</v>
      </c>
    </row>
    <row r="1677" spans="1:8" ht="15" customHeight="1" x14ac:dyDescent="0.3">
      <c r="A1677" s="20" t="s">
        <v>13</v>
      </c>
      <c r="B1677" s="20">
        <v>2024</v>
      </c>
      <c r="C1677" s="20" t="s">
        <v>103</v>
      </c>
      <c r="D1677" s="20">
        <v>88</v>
      </c>
      <c r="E1677" s="20">
        <v>0</v>
      </c>
      <c r="F1677" s="22">
        <f>IFERROR(E1677/D1677*100,"")</f>
        <v>0</v>
      </c>
      <c r="G1677" s="23">
        <f>IFERROR(INDEX(Population_by_Province_Year!$B$5:$J$29,MATCH($A1677,Population_by_Province_Year!$A$5:$A$29,0),MATCH($B1677,Population_by_Province_Year!$B$4:$J$4,0)),"")</f>
        <v>417746</v>
      </c>
      <c r="H1677" s="22">
        <f>IFERROR(D1677/G1677*100000,"")</f>
        <v>21.065432104676049</v>
      </c>
    </row>
    <row r="1678" spans="1:8" ht="15" customHeight="1" x14ac:dyDescent="0.3">
      <c r="A1678" s="20" t="s">
        <v>14</v>
      </c>
      <c r="B1678" s="20">
        <v>2024</v>
      </c>
      <c r="C1678" s="20" t="s">
        <v>103</v>
      </c>
      <c r="D1678" s="20">
        <v>3</v>
      </c>
      <c r="E1678" s="20">
        <v>0</v>
      </c>
      <c r="F1678" s="22">
        <f>IFERROR(E1678/D1678*100,"")</f>
        <v>0</v>
      </c>
      <c r="G1678" s="23">
        <f>IFERROR(INDEX(Population_by_Province_Year!$B$5:$J$29,MATCH($A1678,Population_by_Province_Year!$A$5:$A$29,0),MATCH($B1678,Population_by_Province_Year!$B$4:$J$4,0)),"")</f>
        <v>102791</v>
      </c>
      <c r="H1678" s="22">
        <f>IFERROR(D1678/G1678*100000,"")</f>
        <v>2.9185434522477651</v>
      </c>
    </row>
    <row r="1679" spans="1:8" ht="15" customHeight="1" x14ac:dyDescent="0.3">
      <c r="A1679" s="20" t="s">
        <v>15</v>
      </c>
      <c r="B1679" s="20">
        <v>2024</v>
      </c>
      <c r="C1679" s="20" t="s">
        <v>103</v>
      </c>
      <c r="D1679" s="20">
        <v>56</v>
      </c>
      <c r="E1679" s="20">
        <v>0</v>
      </c>
      <c r="F1679" s="22">
        <f>IFERROR(E1679/D1679*100,"")</f>
        <v>0</v>
      </c>
      <c r="G1679" s="23">
        <f>IFERROR(INDEX(Population_by_Province_Year!$B$5:$J$29,MATCH($A1679,Population_by_Province_Year!$A$5:$A$29,0),MATCH($B1679,Population_by_Province_Year!$B$4:$J$4,0)),"")</f>
        <v>307704</v>
      </c>
      <c r="H1679" s="22">
        <f>IFERROR(D1679/G1679*100000,"")</f>
        <v>18.199308426279803</v>
      </c>
    </row>
    <row r="1680" spans="1:8" ht="15" customHeight="1" x14ac:dyDescent="0.3">
      <c r="A1680" s="20" t="s">
        <v>16</v>
      </c>
      <c r="B1680" s="20">
        <v>2024</v>
      </c>
      <c r="C1680" s="20" t="s">
        <v>103</v>
      </c>
      <c r="D1680" s="20">
        <v>4</v>
      </c>
      <c r="E1680" s="20">
        <v>0</v>
      </c>
      <c r="F1680" s="22">
        <f>IFERROR(E1680/D1680*100,"")</f>
        <v>0</v>
      </c>
      <c r="G1680" s="23">
        <f>IFERROR(INDEX(Population_by_Province_Year!$B$5:$J$29,MATCH($A1680,Population_by_Province_Year!$A$5:$A$29,0),MATCH($B1680,Population_by_Province_Year!$B$4:$J$4,0)),"")</f>
        <v>83729</v>
      </c>
      <c r="H1680" s="22">
        <f>IFERROR(D1680/G1680*100000,"")</f>
        <v>4.7773172974716047</v>
      </c>
    </row>
    <row r="1681" spans="1:8" ht="15" customHeight="1" x14ac:dyDescent="0.3">
      <c r="A1681" s="20" t="s">
        <v>17</v>
      </c>
      <c r="B1681" s="20">
        <v>2024</v>
      </c>
      <c r="C1681" s="20" t="s">
        <v>103</v>
      </c>
      <c r="D1681" s="20">
        <v>178</v>
      </c>
      <c r="E1681" s="20">
        <v>0</v>
      </c>
      <c r="F1681" s="22">
        <f>IFERROR(E1681/D1681*100,"")</f>
        <v>0</v>
      </c>
      <c r="G1681" s="23">
        <f>IFERROR(INDEX(Population_by_Province_Year!$B$5:$J$29,MATCH($A1681,Population_by_Province_Year!$A$5:$A$29,0),MATCH($B1681,Population_by_Province_Year!$B$4:$J$4,0)),"")</f>
        <v>2543729</v>
      </c>
      <c r="H1681" s="22">
        <f>IFERROR(D1681/G1681*100000,"")</f>
        <v>6.9976007664338455</v>
      </c>
    </row>
    <row r="1682" spans="1:8" ht="15" customHeight="1" x14ac:dyDescent="0.3">
      <c r="A1682" s="20" t="s">
        <v>18</v>
      </c>
      <c r="B1682" s="20">
        <v>2024</v>
      </c>
      <c r="C1682" s="20" t="s">
        <v>103</v>
      </c>
      <c r="D1682" s="20">
        <v>62</v>
      </c>
      <c r="E1682" s="20">
        <v>0</v>
      </c>
      <c r="F1682" s="22">
        <f>IFERROR(E1682/D1682*100,"")</f>
        <v>0</v>
      </c>
      <c r="G1682" s="23">
        <f>IFERROR(INDEX(Population_by_Province_Year!$B$5:$J$29,MATCH($A1682,Population_by_Province_Year!$A$5:$A$29,0),MATCH($B1682,Population_by_Province_Year!$B$4:$J$4,0)),"")</f>
        <v>345642</v>
      </c>
      <c r="H1682" s="22">
        <f>IFERROR(D1682/G1682*100000,"")</f>
        <v>17.937634893907568</v>
      </c>
    </row>
    <row r="1683" spans="1:8" ht="15" customHeight="1" x14ac:dyDescent="0.3">
      <c r="A1683" s="20" t="s">
        <v>19</v>
      </c>
      <c r="B1683" s="20">
        <v>2024</v>
      </c>
      <c r="C1683" s="20" t="s">
        <v>103</v>
      </c>
      <c r="D1683" s="20">
        <v>25</v>
      </c>
      <c r="E1683" s="20">
        <v>0</v>
      </c>
      <c r="F1683" s="22">
        <f>IFERROR(E1683/D1683*100,"")</f>
        <v>0</v>
      </c>
      <c r="G1683" s="23">
        <f>IFERROR(INDEX(Population_by_Province_Year!$B$5:$J$29,MATCH($A1683,Population_by_Province_Year!$A$5:$A$29,0),MATCH($B1683,Population_by_Province_Year!$B$4:$J$4,0)),"")</f>
        <v>284060</v>
      </c>
      <c r="H1683" s="22">
        <f>IFERROR(D1683/G1683*100000,"")</f>
        <v>8.8009575441808074</v>
      </c>
    </row>
    <row r="1684" spans="1:8" ht="15" customHeight="1" x14ac:dyDescent="0.3">
      <c r="A1684" s="20" t="s">
        <v>20</v>
      </c>
      <c r="B1684" s="20">
        <v>2024</v>
      </c>
      <c r="C1684" s="20" t="s">
        <v>103</v>
      </c>
      <c r="D1684" s="20">
        <v>50</v>
      </c>
      <c r="E1684" s="20">
        <v>0</v>
      </c>
      <c r="F1684" s="22">
        <f>IFERROR(E1684/D1684*100,"")</f>
        <v>0</v>
      </c>
      <c r="G1684" s="23">
        <f>IFERROR(INDEX(Population_by_Province_Year!$B$5:$J$29,MATCH($A1684,Population_by_Province_Year!$A$5:$A$29,0),MATCH($B1684,Population_by_Province_Year!$B$4:$J$4,0)),"")</f>
        <v>1179058</v>
      </c>
      <c r="H1684" s="22">
        <f>IFERROR(D1684/G1684*100000,"")</f>
        <v>4.2406734868004801</v>
      </c>
    </row>
    <row r="1685" spans="1:8" ht="15" customHeight="1" x14ac:dyDescent="0.3">
      <c r="A1685" s="20" t="s">
        <v>21</v>
      </c>
      <c r="B1685" s="20">
        <v>2024</v>
      </c>
      <c r="C1685" s="20" t="s">
        <v>103</v>
      </c>
      <c r="D1685" s="20">
        <v>1</v>
      </c>
      <c r="E1685" s="20">
        <v>0</v>
      </c>
      <c r="F1685" s="22">
        <f>IFERROR(E1685/D1685*100,"")</f>
        <v>0</v>
      </c>
      <c r="G1685" s="23">
        <f>IFERROR(INDEX(Population_by_Province_Year!$B$5:$J$29,MATCH($A1685,Population_by_Province_Year!$A$5:$A$29,0),MATCH($B1685,Population_by_Province_Year!$B$4:$J$4,0)),"")</f>
        <v>468127</v>
      </c>
      <c r="H1685" s="22">
        <f>IFERROR(D1685/G1685*100000,"")</f>
        <v>0.21361724489294573</v>
      </c>
    </row>
    <row r="1686" spans="1:8" ht="15" customHeight="1" x14ac:dyDescent="0.3">
      <c r="A1686" s="20" t="s">
        <v>22</v>
      </c>
      <c r="B1686" s="20">
        <v>2024</v>
      </c>
      <c r="C1686" s="20" t="s">
        <v>103</v>
      </c>
      <c r="D1686" s="20">
        <v>4</v>
      </c>
      <c r="E1686" s="20">
        <v>0</v>
      </c>
      <c r="F1686" s="22">
        <f>IFERROR(E1686/D1686*100,"")</f>
        <v>0</v>
      </c>
      <c r="G1686" s="23">
        <f>IFERROR(INDEX(Population_by_Province_Year!$B$5:$J$29,MATCH($A1686,Population_by_Province_Year!$A$5:$A$29,0),MATCH($B1686,Population_by_Province_Year!$B$4:$J$4,0)),"")</f>
        <v>242398</v>
      </c>
      <c r="H1686" s="22">
        <f>IFERROR(D1686/G1686*100000,"")</f>
        <v>1.6501786318368965</v>
      </c>
    </row>
    <row r="1687" spans="1:8" ht="15" customHeight="1" x14ac:dyDescent="0.3">
      <c r="A1687" s="20" t="s">
        <v>23</v>
      </c>
      <c r="B1687" s="20">
        <v>2024</v>
      </c>
      <c r="C1687" s="20" t="s">
        <v>103</v>
      </c>
      <c r="D1687" s="20">
        <v>104</v>
      </c>
      <c r="E1687" s="20">
        <v>0</v>
      </c>
      <c r="F1687" s="22">
        <f>IFERROR(E1687/D1687*100,"")</f>
        <v>0</v>
      </c>
      <c r="G1687" s="23">
        <f>IFERROR(INDEX(Population_by_Province_Year!$B$5:$J$29,MATCH($A1687,Population_by_Province_Year!$A$5:$A$29,0),MATCH($B1687,Population_by_Province_Year!$B$4:$J$4,0)),"")</f>
        <v>1130583</v>
      </c>
      <c r="H1687" s="22">
        <f>IFERROR(D1687/G1687*100000,"")</f>
        <v>9.1987938966002503</v>
      </c>
    </row>
    <row r="1688" spans="1:8" ht="15" customHeight="1" x14ac:dyDescent="0.3">
      <c r="A1688" s="20" t="s">
        <v>24</v>
      </c>
      <c r="B1688" s="20">
        <v>2024</v>
      </c>
      <c r="C1688" s="20" t="s">
        <v>103</v>
      </c>
      <c r="D1688" s="20">
        <v>8</v>
      </c>
      <c r="E1688" s="20">
        <v>0</v>
      </c>
      <c r="F1688" s="22">
        <f>IFERROR(E1688/D1688*100,"")</f>
        <v>0</v>
      </c>
      <c r="G1688" s="23">
        <f>IFERROR(INDEX(Population_by_Province_Year!$B$5:$J$29,MATCH($A1688,Population_by_Province_Year!$A$5:$A$29,0),MATCH($B1688,Population_by_Province_Year!$B$4:$J$4,0)),"")</f>
        <v>184723</v>
      </c>
      <c r="H1688" s="22">
        <f>IFERROR(D1688/G1688*100000,"")</f>
        <v>4.3308088326846139</v>
      </c>
    </row>
    <row r="1689" spans="1:8" ht="15" customHeight="1" x14ac:dyDescent="0.3">
      <c r="A1689" s="20" t="s">
        <v>25</v>
      </c>
      <c r="B1689" s="20">
        <v>2024</v>
      </c>
      <c r="C1689" s="20" t="s">
        <v>103</v>
      </c>
      <c r="D1689" s="20">
        <v>17</v>
      </c>
      <c r="E1689" s="20">
        <v>0</v>
      </c>
      <c r="F1689" s="22">
        <f>IFERROR(E1689/D1689*100,"")</f>
        <v>0</v>
      </c>
      <c r="G1689" s="23">
        <f>IFERROR(INDEX(Population_by_Province_Year!$B$5:$J$29,MATCH($A1689,Population_by_Province_Year!$A$5:$A$29,0),MATCH($B1689,Population_by_Province_Year!$B$4:$J$4,0)),"")</f>
        <v>585780</v>
      </c>
      <c r="H1689" s="22">
        <f>IFERROR(D1689/G1689*100000,"")</f>
        <v>2.9021134214210114</v>
      </c>
    </row>
    <row r="1690" spans="1:8" ht="15" customHeight="1" x14ac:dyDescent="0.3">
      <c r="A1690" s="20" t="s">
        <v>26</v>
      </c>
      <c r="B1690" s="20">
        <v>2024</v>
      </c>
      <c r="C1690" s="20" t="s">
        <v>103</v>
      </c>
      <c r="D1690" s="20">
        <v>20</v>
      </c>
      <c r="E1690" s="20">
        <v>0</v>
      </c>
      <c r="F1690" s="22">
        <f>IFERROR(E1690/D1690*100,"")</f>
        <v>0</v>
      </c>
      <c r="G1690" s="23">
        <f>IFERROR(INDEX(Population_by_Province_Year!$B$5:$J$29,MATCH($A1690,Population_by_Province_Year!$A$5:$A$29,0),MATCH($B1690,Population_by_Province_Year!$B$4:$J$4,0)),"")</f>
        <v>1004264</v>
      </c>
      <c r="H1690" s="22">
        <f>IFERROR(D1690/G1690*100000,"")</f>
        <v>1.9915082089968377</v>
      </c>
    </row>
    <row r="1691" spans="1:8" ht="15" customHeight="1" x14ac:dyDescent="0.3">
      <c r="A1691" s="20" t="s">
        <v>27</v>
      </c>
      <c r="B1691" s="20">
        <v>2024</v>
      </c>
      <c r="C1691" s="20" t="s">
        <v>103</v>
      </c>
      <c r="D1691" s="20">
        <v>45</v>
      </c>
      <c r="E1691" s="20">
        <v>0</v>
      </c>
      <c r="F1691" s="22">
        <f>IFERROR(E1691/D1691*100,"")</f>
        <v>0</v>
      </c>
      <c r="G1691" s="23">
        <f>IFERROR(INDEX(Population_by_Province_Year!$B$5:$J$29,MATCH($A1691,Population_by_Province_Year!$A$5:$A$29,0),MATCH($B1691,Population_by_Province_Year!$B$4:$J$4,0)),"")</f>
        <v>865958</v>
      </c>
      <c r="H1691" s="22">
        <f>IFERROR(D1691/G1691*100000,"")</f>
        <v>5.1965568768924131</v>
      </c>
    </row>
    <row r="1692" spans="1:8" ht="15" customHeight="1" x14ac:dyDescent="0.3">
      <c r="A1692" s="20" t="s">
        <v>3</v>
      </c>
      <c r="B1692" s="20">
        <v>2024</v>
      </c>
      <c r="C1692" s="20" t="s">
        <v>96</v>
      </c>
      <c r="D1692" s="20">
        <v>29</v>
      </c>
      <c r="E1692" s="20">
        <v>0</v>
      </c>
      <c r="F1692" s="22">
        <f>IFERROR(E1692/D1692*100,"")</f>
        <v>0</v>
      </c>
      <c r="G1692" s="23">
        <f>IFERROR(INDEX(Population_by_Province_Year!$B$5:$J$29,MATCH($A1692,Population_by_Province_Year!$A$5:$A$29,0),MATCH($B1692,Population_by_Province_Year!$B$4:$J$4,0)),"")</f>
        <v>960755</v>
      </c>
      <c r="H1692" s="22">
        <f>IFERROR(D1692/G1692*100000,"")</f>
        <v>3.0184594407523249</v>
      </c>
    </row>
    <row r="1693" spans="1:8" ht="15" customHeight="1" x14ac:dyDescent="0.3">
      <c r="A1693" s="20" t="s">
        <v>4</v>
      </c>
      <c r="B1693" s="20">
        <v>2024</v>
      </c>
      <c r="C1693" s="20" t="s">
        <v>96</v>
      </c>
      <c r="D1693" s="20">
        <v>21</v>
      </c>
      <c r="E1693" s="20">
        <v>0</v>
      </c>
      <c r="F1693" s="22">
        <f>IFERROR(E1693/D1693*100,"")</f>
        <v>0</v>
      </c>
      <c r="G1693" s="23">
        <f>IFERROR(INDEX(Population_by_Province_Year!$B$5:$J$29,MATCH($A1693,Population_by_Province_Year!$A$5:$A$29,0),MATCH($B1693,Population_by_Province_Year!$B$4:$J$4,0)),"")</f>
        <v>1111561</v>
      </c>
      <c r="H1693" s="22">
        <f>IFERROR(D1693/G1693*100000,"")</f>
        <v>1.8892350487287697</v>
      </c>
    </row>
    <row r="1694" spans="1:8" ht="15" customHeight="1" x14ac:dyDescent="0.3">
      <c r="A1694" s="20" t="s">
        <v>5</v>
      </c>
      <c r="B1694" s="20">
        <v>2024</v>
      </c>
      <c r="C1694" s="20" t="s">
        <v>96</v>
      </c>
      <c r="D1694" s="20">
        <v>59</v>
      </c>
      <c r="E1694" s="20">
        <v>0</v>
      </c>
      <c r="F1694" s="22">
        <f>IFERROR(E1694/D1694*100,"")</f>
        <v>0</v>
      </c>
      <c r="G1694" s="23">
        <f>IFERROR(INDEX(Population_by_Province_Year!$B$5:$J$29,MATCH($A1694,Population_by_Province_Year!$A$5:$A$29,0),MATCH($B1694,Population_by_Province_Year!$B$4:$J$4,0)),"")</f>
        <v>1003012</v>
      </c>
      <c r="H1694" s="22">
        <f>IFERROR(D1694/G1694*100000,"")</f>
        <v>5.8822825649144779</v>
      </c>
    </row>
    <row r="1695" spans="1:8" ht="15" customHeight="1" x14ac:dyDescent="0.3">
      <c r="A1695" s="20" t="s">
        <v>6</v>
      </c>
      <c r="B1695" s="20">
        <v>2024</v>
      </c>
      <c r="C1695" s="20" t="s">
        <v>96</v>
      </c>
      <c r="D1695" s="20">
        <v>14</v>
      </c>
      <c r="E1695" s="20">
        <v>0</v>
      </c>
      <c r="F1695" s="22">
        <f>IFERROR(E1695/D1695*100,"")</f>
        <v>0</v>
      </c>
      <c r="G1695" s="23">
        <f>IFERROR(INDEX(Population_by_Province_Year!$B$5:$J$29,MATCH($A1695,Population_by_Province_Year!$A$5:$A$29,0),MATCH($B1695,Population_by_Province_Year!$B$4:$J$4,0)),"")</f>
        <v>587486</v>
      </c>
      <c r="H1695" s="22">
        <f>IFERROR(D1695/G1695*100000,"")</f>
        <v>2.3830355106334449</v>
      </c>
    </row>
    <row r="1696" spans="1:8" ht="15" customHeight="1" x14ac:dyDescent="0.3">
      <c r="A1696" s="20" t="s">
        <v>7</v>
      </c>
      <c r="B1696" s="20">
        <v>2024</v>
      </c>
      <c r="C1696" s="20" t="s">
        <v>96</v>
      </c>
      <c r="D1696" s="20">
        <v>35</v>
      </c>
      <c r="E1696" s="20">
        <v>0</v>
      </c>
      <c r="F1696" s="22">
        <f>IFERROR(E1696/D1696*100,"")</f>
        <v>0</v>
      </c>
      <c r="G1696" s="23">
        <f>IFERROR(INDEX(Population_by_Province_Year!$B$5:$J$29,MATCH($A1696,Population_by_Province_Year!$A$5:$A$29,0),MATCH($B1696,Population_by_Province_Year!$B$4:$J$4,0)),"")</f>
        <v>978189</v>
      </c>
      <c r="H1696" s="22">
        <f>IFERROR(D1696/G1696*100000,"")</f>
        <v>3.5780406444971264</v>
      </c>
    </row>
    <row r="1697" spans="1:8" ht="15" customHeight="1" x14ac:dyDescent="0.3">
      <c r="A1697" s="20" t="s">
        <v>8</v>
      </c>
      <c r="B1697" s="20">
        <v>2024</v>
      </c>
      <c r="C1697" s="20" t="s">
        <v>96</v>
      </c>
      <c r="D1697" s="20">
        <v>61</v>
      </c>
      <c r="E1697" s="20">
        <v>0</v>
      </c>
      <c r="F1697" s="22">
        <f>IFERROR(E1697/D1697*100,"")</f>
        <v>0</v>
      </c>
      <c r="G1697" s="23">
        <f>IFERROR(INDEX(Population_by_Province_Year!$B$5:$J$29,MATCH($A1697,Population_by_Province_Year!$A$5:$A$29,0),MATCH($B1697,Population_by_Province_Year!$B$4:$J$4,0)),"")</f>
        <v>759734</v>
      </c>
      <c r="H1697" s="22">
        <f>IFERROR(D1697/G1697*100000,"")</f>
        <v>8.0291259835679334</v>
      </c>
    </row>
    <row r="1698" spans="1:8" ht="15" customHeight="1" x14ac:dyDescent="0.3">
      <c r="A1698" s="20" t="s">
        <v>9</v>
      </c>
      <c r="B1698" s="20">
        <v>2024</v>
      </c>
      <c r="C1698" s="20" t="s">
        <v>96</v>
      </c>
      <c r="D1698" s="20">
        <v>18</v>
      </c>
      <c r="E1698" s="20">
        <v>0</v>
      </c>
      <c r="F1698" s="22">
        <f>IFERROR(E1698/D1698*100,"")</f>
        <v>0</v>
      </c>
      <c r="G1698" s="23">
        <f>IFERROR(INDEX(Population_by_Province_Year!$B$5:$J$29,MATCH($A1698,Population_by_Province_Year!$A$5:$A$29,0),MATCH($B1698,Population_by_Province_Year!$B$4:$J$4,0)),"")</f>
        <v>661951</v>
      </c>
      <c r="H1698" s="22">
        <f>IFERROR(D1698/G1698*100000,"")</f>
        <v>2.7192345052730489</v>
      </c>
    </row>
    <row r="1699" spans="1:8" ht="15" customHeight="1" x14ac:dyDescent="0.3">
      <c r="A1699" s="20" t="s">
        <v>10</v>
      </c>
      <c r="B1699" s="20">
        <v>2024</v>
      </c>
      <c r="C1699" s="20" t="s">
        <v>96</v>
      </c>
      <c r="D1699" s="20">
        <v>46</v>
      </c>
      <c r="E1699" s="20">
        <v>0</v>
      </c>
      <c r="F1699" s="22">
        <f>IFERROR(E1699/D1699*100,"")</f>
        <v>0</v>
      </c>
      <c r="G1699" s="23">
        <f>IFERROR(INDEX(Population_by_Province_Year!$B$5:$J$29,MATCH($A1699,Population_by_Province_Year!$A$5:$A$29,0),MATCH($B1699,Population_by_Province_Year!$B$4:$J$4,0)),"")</f>
        <v>1339422</v>
      </c>
      <c r="H1699" s="22">
        <f>IFERROR(D1699/G1699*100000,"")</f>
        <v>3.4343171905493564</v>
      </c>
    </row>
    <row r="1700" spans="1:8" ht="15" customHeight="1" x14ac:dyDescent="0.3">
      <c r="A1700" s="20" t="s">
        <v>12</v>
      </c>
      <c r="B1700" s="20">
        <v>2024</v>
      </c>
      <c r="C1700" s="20" t="s">
        <v>96</v>
      </c>
      <c r="D1700" s="20">
        <v>17</v>
      </c>
      <c r="E1700" s="20">
        <v>0</v>
      </c>
      <c r="F1700" s="22">
        <f>IFERROR(E1700/D1700*100,"")</f>
        <v>0</v>
      </c>
      <c r="G1700" s="23">
        <f>IFERROR(INDEX(Population_by_Province_Year!$B$5:$J$29,MATCH($A1700,Population_by_Province_Year!$A$5:$A$29,0),MATCH($B1700,Population_by_Province_Year!$B$4:$J$4,0)),"")</f>
        <v>140345</v>
      </c>
      <c r="H1700" s="22">
        <f>IFERROR(D1700/G1700*100000,"")</f>
        <v>12.113007232177848</v>
      </c>
    </row>
    <row r="1701" spans="1:8" ht="15" customHeight="1" x14ac:dyDescent="0.3">
      <c r="A1701" s="20" t="s">
        <v>13</v>
      </c>
      <c r="B1701" s="20">
        <v>2024</v>
      </c>
      <c r="C1701" s="20" t="s">
        <v>96</v>
      </c>
      <c r="D1701" s="20">
        <v>41</v>
      </c>
      <c r="E1701" s="20">
        <v>1</v>
      </c>
      <c r="F1701" s="22">
        <f>IFERROR(E1701/D1701*100,"")</f>
        <v>2.4390243902439024</v>
      </c>
      <c r="G1701" s="23">
        <f>IFERROR(INDEX(Population_by_Province_Year!$B$5:$J$29,MATCH($A1701,Population_by_Province_Year!$A$5:$A$29,0),MATCH($B1701,Population_by_Province_Year!$B$4:$J$4,0)),"")</f>
        <v>417746</v>
      </c>
      <c r="H1701" s="22">
        <f>IFERROR(D1701/G1701*100000,"")</f>
        <v>9.814576321496796</v>
      </c>
    </row>
    <row r="1702" spans="1:8" ht="15" customHeight="1" x14ac:dyDescent="0.3">
      <c r="A1702" s="20" t="s">
        <v>15</v>
      </c>
      <c r="B1702" s="20">
        <v>2024</v>
      </c>
      <c r="C1702" s="20" t="s">
        <v>96</v>
      </c>
      <c r="D1702" s="20">
        <v>27</v>
      </c>
      <c r="E1702" s="20">
        <v>1</v>
      </c>
      <c r="F1702" s="22">
        <f>IFERROR(E1702/D1702*100,"")</f>
        <v>3.7037037037037033</v>
      </c>
      <c r="G1702" s="23">
        <f>IFERROR(INDEX(Population_by_Province_Year!$B$5:$J$29,MATCH($A1702,Population_by_Province_Year!$A$5:$A$29,0),MATCH($B1702,Population_by_Province_Year!$B$4:$J$4,0)),"")</f>
        <v>307704</v>
      </c>
      <c r="H1702" s="22">
        <f>IFERROR(D1702/G1702*100000,"")</f>
        <v>8.7746665626706193</v>
      </c>
    </row>
    <row r="1703" spans="1:8" ht="15" customHeight="1" x14ac:dyDescent="0.3">
      <c r="A1703" s="20" t="s">
        <v>16</v>
      </c>
      <c r="B1703" s="20">
        <v>2024</v>
      </c>
      <c r="C1703" s="20" t="s">
        <v>96</v>
      </c>
      <c r="D1703" s="20">
        <v>8</v>
      </c>
      <c r="E1703" s="20">
        <v>1</v>
      </c>
      <c r="F1703" s="22">
        <f>IFERROR(E1703/D1703*100,"")</f>
        <v>12.5</v>
      </c>
      <c r="G1703" s="23">
        <f>IFERROR(INDEX(Population_by_Province_Year!$B$5:$J$29,MATCH($A1703,Population_by_Province_Year!$A$5:$A$29,0),MATCH($B1703,Population_by_Province_Year!$B$4:$J$4,0)),"")</f>
        <v>83729</v>
      </c>
      <c r="H1703" s="22">
        <f>IFERROR(D1703/G1703*100000,"")</f>
        <v>9.5546345949432094</v>
      </c>
    </row>
    <row r="1704" spans="1:8" ht="15" customHeight="1" x14ac:dyDescent="0.3">
      <c r="A1704" s="20" t="s">
        <v>17</v>
      </c>
      <c r="B1704" s="20">
        <v>2024</v>
      </c>
      <c r="C1704" s="20" t="s">
        <v>96</v>
      </c>
      <c r="D1704" s="20">
        <v>105</v>
      </c>
      <c r="E1704" s="20">
        <v>0</v>
      </c>
      <c r="F1704" s="22">
        <f>IFERROR(E1704/D1704*100,"")</f>
        <v>0</v>
      </c>
      <c r="G1704" s="23">
        <f>IFERROR(INDEX(Population_by_Province_Year!$B$5:$J$29,MATCH($A1704,Population_by_Province_Year!$A$5:$A$29,0),MATCH($B1704,Population_by_Province_Year!$B$4:$J$4,0)),"")</f>
        <v>2543729</v>
      </c>
      <c r="H1704" s="22">
        <f>IFERROR(D1704/G1704*100000,"")</f>
        <v>4.1277982049188413</v>
      </c>
    </row>
    <row r="1705" spans="1:8" ht="15" customHeight="1" x14ac:dyDescent="0.3">
      <c r="A1705" s="20" t="s">
        <v>18</v>
      </c>
      <c r="B1705" s="20">
        <v>2024</v>
      </c>
      <c r="C1705" s="20" t="s">
        <v>96</v>
      </c>
      <c r="D1705" s="20">
        <v>25</v>
      </c>
      <c r="E1705" s="20">
        <v>0</v>
      </c>
      <c r="F1705" s="22">
        <f>IFERROR(E1705/D1705*100,"")</f>
        <v>0</v>
      </c>
      <c r="G1705" s="23">
        <f>IFERROR(INDEX(Population_by_Province_Year!$B$5:$J$29,MATCH($A1705,Population_by_Province_Year!$A$5:$A$29,0),MATCH($B1705,Population_by_Province_Year!$B$4:$J$4,0)),"")</f>
        <v>345642</v>
      </c>
      <c r="H1705" s="22">
        <f>IFERROR(D1705/G1705*100000,"")</f>
        <v>7.2329172959304717</v>
      </c>
    </row>
    <row r="1706" spans="1:8" ht="15" customHeight="1" x14ac:dyDescent="0.3">
      <c r="A1706" s="20" t="s">
        <v>19</v>
      </c>
      <c r="B1706" s="20">
        <v>2024</v>
      </c>
      <c r="C1706" s="20" t="s">
        <v>96</v>
      </c>
      <c r="D1706" s="20">
        <v>13</v>
      </c>
      <c r="E1706" s="20">
        <v>0</v>
      </c>
      <c r="F1706" s="22">
        <f>IFERROR(E1706/D1706*100,"")</f>
        <v>0</v>
      </c>
      <c r="G1706" s="23">
        <f>IFERROR(INDEX(Population_by_Province_Year!$B$5:$J$29,MATCH($A1706,Population_by_Province_Year!$A$5:$A$29,0),MATCH($B1706,Population_by_Province_Year!$B$4:$J$4,0)),"")</f>
        <v>284060</v>
      </c>
      <c r="H1706" s="22">
        <f>IFERROR(D1706/G1706*100000,"")</f>
        <v>4.5764979229740197</v>
      </c>
    </row>
    <row r="1707" spans="1:8" ht="15" customHeight="1" x14ac:dyDescent="0.3">
      <c r="A1707" s="20" t="s">
        <v>20</v>
      </c>
      <c r="B1707" s="20">
        <v>2024</v>
      </c>
      <c r="C1707" s="20" t="s">
        <v>96</v>
      </c>
      <c r="D1707" s="20">
        <v>34</v>
      </c>
      <c r="E1707" s="20">
        <v>0</v>
      </c>
      <c r="F1707" s="22">
        <f>IFERROR(E1707/D1707*100,"")</f>
        <v>0</v>
      </c>
      <c r="G1707" s="23">
        <f>IFERROR(INDEX(Population_by_Province_Year!$B$5:$J$29,MATCH($A1707,Population_by_Province_Year!$A$5:$A$29,0),MATCH($B1707,Population_by_Province_Year!$B$4:$J$4,0)),"")</f>
        <v>1179058</v>
      </c>
      <c r="H1707" s="22">
        <f>IFERROR(D1707/G1707*100000,"")</f>
        <v>2.8836579710243262</v>
      </c>
    </row>
    <row r="1708" spans="1:8" ht="15" customHeight="1" x14ac:dyDescent="0.3">
      <c r="A1708" s="20" t="s">
        <v>21</v>
      </c>
      <c r="B1708" s="20">
        <v>2024</v>
      </c>
      <c r="C1708" s="20" t="s">
        <v>96</v>
      </c>
      <c r="D1708" s="20">
        <v>5</v>
      </c>
      <c r="E1708" s="20">
        <v>0</v>
      </c>
      <c r="F1708" s="22">
        <f>IFERROR(E1708/D1708*100,"")</f>
        <v>0</v>
      </c>
      <c r="G1708" s="23">
        <f>IFERROR(INDEX(Population_by_Province_Year!$B$5:$J$29,MATCH($A1708,Population_by_Province_Year!$A$5:$A$29,0),MATCH($B1708,Population_by_Province_Year!$B$4:$J$4,0)),"")</f>
        <v>468127</v>
      </c>
      <c r="H1708" s="22">
        <f>IFERROR(D1708/G1708*100000,"")</f>
        <v>1.0680862244647285</v>
      </c>
    </row>
    <row r="1709" spans="1:8" ht="15" customHeight="1" x14ac:dyDescent="0.3">
      <c r="A1709" s="20" t="s">
        <v>23</v>
      </c>
      <c r="B1709" s="20">
        <v>2024</v>
      </c>
      <c r="C1709" s="20" t="s">
        <v>96</v>
      </c>
      <c r="D1709" s="20">
        <v>66</v>
      </c>
      <c r="E1709" s="20">
        <v>0</v>
      </c>
      <c r="F1709" s="22">
        <f>IFERROR(E1709/D1709*100,"")</f>
        <v>0</v>
      </c>
      <c r="G1709" s="23">
        <f>IFERROR(INDEX(Population_by_Province_Year!$B$5:$J$29,MATCH($A1709,Population_by_Province_Year!$A$5:$A$29,0),MATCH($B1709,Population_by_Province_Year!$B$4:$J$4,0)),"")</f>
        <v>1130583</v>
      </c>
      <c r="H1709" s="22">
        <f>IFERROR(D1709/G1709*100000,"")</f>
        <v>5.8376961266886198</v>
      </c>
    </row>
    <row r="1710" spans="1:8" ht="15" customHeight="1" x14ac:dyDescent="0.3">
      <c r="A1710" s="20" t="s">
        <v>24</v>
      </c>
      <c r="B1710" s="20">
        <v>2024</v>
      </c>
      <c r="C1710" s="20" t="s">
        <v>96</v>
      </c>
      <c r="D1710" s="20">
        <v>4</v>
      </c>
      <c r="E1710" s="20">
        <v>0</v>
      </c>
      <c r="F1710" s="22">
        <f>IFERROR(E1710/D1710*100,"")</f>
        <v>0</v>
      </c>
      <c r="G1710" s="23">
        <f>IFERROR(INDEX(Population_by_Province_Year!$B$5:$J$29,MATCH($A1710,Population_by_Province_Year!$A$5:$A$29,0),MATCH($B1710,Population_by_Province_Year!$B$4:$J$4,0)),"")</f>
        <v>184723</v>
      </c>
      <c r="H1710" s="22">
        <f>IFERROR(D1710/G1710*100000,"")</f>
        <v>2.165404416342307</v>
      </c>
    </row>
    <row r="1711" spans="1:8" ht="15" customHeight="1" x14ac:dyDescent="0.3">
      <c r="A1711" s="20" t="s">
        <v>25</v>
      </c>
      <c r="B1711" s="20">
        <v>2024</v>
      </c>
      <c r="C1711" s="20" t="s">
        <v>96</v>
      </c>
      <c r="D1711" s="20">
        <v>10</v>
      </c>
      <c r="E1711" s="20">
        <v>0</v>
      </c>
      <c r="F1711" s="22">
        <f>IFERROR(E1711/D1711*100,"")</f>
        <v>0</v>
      </c>
      <c r="G1711" s="23">
        <f>IFERROR(INDEX(Population_by_Province_Year!$B$5:$J$29,MATCH($A1711,Population_by_Province_Year!$A$5:$A$29,0),MATCH($B1711,Population_by_Province_Year!$B$4:$J$4,0)),"")</f>
        <v>585780</v>
      </c>
      <c r="H1711" s="22">
        <f>IFERROR(D1711/G1711*100000,"")</f>
        <v>1.7071255420123597</v>
      </c>
    </row>
    <row r="1712" spans="1:8" ht="15" customHeight="1" x14ac:dyDescent="0.3">
      <c r="A1712" s="20" t="s">
        <v>26</v>
      </c>
      <c r="B1712" s="20">
        <v>2024</v>
      </c>
      <c r="C1712" s="20" t="s">
        <v>96</v>
      </c>
      <c r="D1712" s="20">
        <v>15</v>
      </c>
      <c r="E1712" s="20">
        <v>0</v>
      </c>
      <c r="F1712" s="22">
        <f>IFERROR(E1712/D1712*100,"")</f>
        <v>0</v>
      </c>
      <c r="G1712" s="23">
        <f>IFERROR(INDEX(Population_by_Province_Year!$B$5:$J$29,MATCH($A1712,Population_by_Province_Year!$A$5:$A$29,0),MATCH($B1712,Population_by_Province_Year!$B$4:$J$4,0)),"")</f>
        <v>1004264</v>
      </c>
      <c r="H1712" s="22">
        <f>IFERROR(D1712/G1712*100000,"")</f>
        <v>1.4936311567476281</v>
      </c>
    </row>
    <row r="1713" spans="1:8" ht="15" customHeight="1" x14ac:dyDescent="0.3">
      <c r="A1713" s="20" t="s">
        <v>27</v>
      </c>
      <c r="B1713" s="20">
        <v>2024</v>
      </c>
      <c r="C1713" s="20" t="s">
        <v>96</v>
      </c>
      <c r="D1713" s="20">
        <v>30</v>
      </c>
      <c r="E1713" s="20">
        <v>0</v>
      </c>
      <c r="F1713" s="22">
        <f>IFERROR(E1713/D1713*100,"")</f>
        <v>0</v>
      </c>
      <c r="G1713" s="23">
        <f>IFERROR(INDEX(Population_by_Province_Year!$B$5:$J$29,MATCH($A1713,Population_by_Province_Year!$A$5:$A$29,0),MATCH($B1713,Population_by_Province_Year!$B$4:$J$4,0)),"")</f>
        <v>865958</v>
      </c>
      <c r="H1713" s="22">
        <f>IFERROR(D1713/G1713*100000,"")</f>
        <v>3.4643712512616087</v>
      </c>
    </row>
    <row r="1714" spans="1:8" ht="15" customHeight="1" x14ac:dyDescent="0.3">
      <c r="A1714" s="20" t="s">
        <v>3</v>
      </c>
      <c r="B1714" s="20">
        <v>2024</v>
      </c>
      <c r="C1714" s="20" t="s">
        <v>104</v>
      </c>
      <c r="D1714" s="20">
        <v>8</v>
      </c>
      <c r="E1714" s="20">
        <v>0</v>
      </c>
      <c r="F1714" s="22">
        <f>IFERROR(E1714/D1714*100,"")</f>
        <v>0</v>
      </c>
      <c r="G1714" s="23">
        <f>IFERROR(INDEX(Population_by_Province_Year!$B$5:$J$29,MATCH($A1714,Population_by_Province_Year!$A$5:$A$29,0),MATCH($B1714,Population_by_Province_Year!$B$4:$J$4,0)),"")</f>
        <v>960755</v>
      </c>
      <c r="H1714" s="22">
        <f>IFERROR(D1714/G1714*100000,"")</f>
        <v>0.83267846641443455</v>
      </c>
    </row>
    <row r="1715" spans="1:8" ht="15" customHeight="1" x14ac:dyDescent="0.3">
      <c r="A1715" s="20" t="s">
        <v>4</v>
      </c>
      <c r="B1715" s="20">
        <v>2024</v>
      </c>
      <c r="C1715" s="20" t="s">
        <v>104</v>
      </c>
      <c r="D1715" s="20">
        <v>13</v>
      </c>
      <c r="E1715" s="20">
        <v>0</v>
      </c>
      <c r="F1715" s="22">
        <f>IFERROR(E1715/D1715*100,"")</f>
        <v>0</v>
      </c>
      <c r="G1715" s="23">
        <f>IFERROR(INDEX(Population_by_Province_Year!$B$5:$J$29,MATCH($A1715,Population_by_Province_Year!$A$5:$A$29,0),MATCH($B1715,Population_by_Province_Year!$B$4:$J$4,0)),"")</f>
        <v>1111561</v>
      </c>
      <c r="H1715" s="22">
        <f>IFERROR(D1715/G1715*100000,"")</f>
        <v>1.1695264587368575</v>
      </c>
    </row>
    <row r="1716" spans="1:8" ht="15" customHeight="1" x14ac:dyDescent="0.3">
      <c r="A1716" s="20" t="s">
        <v>5</v>
      </c>
      <c r="B1716" s="20">
        <v>2024</v>
      </c>
      <c r="C1716" s="20" t="s">
        <v>104</v>
      </c>
      <c r="D1716" s="20">
        <v>26</v>
      </c>
      <c r="E1716" s="20">
        <v>0</v>
      </c>
      <c r="F1716" s="22">
        <f>IFERROR(E1716/D1716*100,"")</f>
        <v>0</v>
      </c>
      <c r="G1716" s="23">
        <f>IFERROR(INDEX(Population_by_Province_Year!$B$5:$J$29,MATCH($A1716,Population_by_Province_Year!$A$5:$A$29,0),MATCH($B1716,Population_by_Province_Year!$B$4:$J$4,0)),"")</f>
        <v>1003012</v>
      </c>
      <c r="H1716" s="22">
        <f>IFERROR(D1716/G1716*100000,"")</f>
        <v>2.5921923167419729</v>
      </c>
    </row>
    <row r="1717" spans="1:8" ht="15" customHeight="1" x14ac:dyDescent="0.3">
      <c r="A1717" s="20" t="s">
        <v>6</v>
      </c>
      <c r="B1717" s="20">
        <v>2024</v>
      </c>
      <c r="C1717" s="20" t="s">
        <v>104</v>
      </c>
      <c r="D1717" s="20">
        <v>7</v>
      </c>
      <c r="E1717" s="20">
        <v>0</v>
      </c>
      <c r="F1717" s="22">
        <f>IFERROR(E1717/D1717*100,"")</f>
        <v>0</v>
      </c>
      <c r="G1717" s="23">
        <f>IFERROR(INDEX(Population_by_Province_Year!$B$5:$J$29,MATCH($A1717,Population_by_Province_Year!$A$5:$A$29,0),MATCH($B1717,Population_by_Province_Year!$B$4:$J$4,0)),"")</f>
        <v>587486</v>
      </c>
      <c r="H1717" s="22">
        <f>IFERROR(D1717/G1717*100000,"")</f>
        <v>1.1915177553167224</v>
      </c>
    </row>
    <row r="1718" spans="1:8" ht="15" customHeight="1" x14ac:dyDescent="0.3">
      <c r="A1718" s="20" t="s">
        <v>7</v>
      </c>
      <c r="B1718" s="20">
        <v>2024</v>
      </c>
      <c r="C1718" s="20" t="s">
        <v>104</v>
      </c>
      <c r="D1718" s="20">
        <v>23</v>
      </c>
      <c r="E1718" s="20">
        <v>1</v>
      </c>
      <c r="F1718" s="22">
        <f>IFERROR(E1718/D1718*100,"")</f>
        <v>4.3478260869565215</v>
      </c>
      <c r="G1718" s="23">
        <f>IFERROR(INDEX(Population_by_Province_Year!$B$5:$J$29,MATCH($A1718,Population_by_Province_Year!$A$5:$A$29,0),MATCH($B1718,Population_by_Province_Year!$B$4:$J$4,0)),"")</f>
        <v>978189</v>
      </c>
      <c r="H1718" s="22">
        <f>IFERROR(D1718/G1718*100000,"")</f>
        <v>2.3512838520981121</v>
      </c>
    </row>
    <row r="1719" spans="1:8" ht="15" customHeight="1" x14ac:dyDescent="0.3">
      <c r="A1719" s="20" t="s">
        <v>8</v>
      </c>
      <c r="B1719" s="20">
        <v>2024</v>
      </c>
      <c r="C1719" s="20" t="s">
        <v>104</v>
      </c>
      <c r="D1719" s="20">
        <v>15</v>
      </c>
      <c r="E1719" s="20">
        <v>0</v>
      </c>
      <c r="F1719" s="22">
        <f>IFERROR(E1719/D1719*100,"")</f>
        <v>0</v>
      </c>
      <c r="G1719" s="23">
        <f>IFERROR(INDEX(Population_by_Province_Year!$B$5:$J$29,MATCH($A1719,Population_by_Province_Year!$A$5:$A$29,0),MATCH($B1719,Population_by_Province_Year!$B$4:$J$4,0)),"")</f>
        <v>759734</v>
      </c>
      <c r="H1719" s="22">
        <f>IFERROR(D1719/G1719*100000,"")</f>
        <v>1.974375241860967</v>
      </c>
    </row>
    <row r="1720" spans="1:8" ht="15" customHeight="1" x14ac:dyDescent="0.3">
      <c r="A1720" s="20" t="s">
        <v>9</v>
      </c>
      <c r="B1720" s="20">
        <v>2024</v>
      </c>
      <c r="C1720" s="20" t="s">
        <v>104</v>
      </c>
      <c r="D1720" s="20">
        <v>25</v>
      </c>
      <c r="E1720" s="20">
        <v>0</v>
      </c>
      <c r="F1720" s="22">
        <f>IFERROR(E1720/D1720*100,"")</f>
        <v>0</v>
      </c>
      <c r="G1720" s="23">
        <f>IFERROR(INDEX(Population_by_Province_Year!$B$5:$J$29,MATCH($A1720,Population_by_Province_Year!$A$5:$A$29,0),MATCH($B1720,Population_by_Province_Year!$B$4:$J$4,0)),"")</f>
        <v>661951</v>
      </c>
      <c r="H1720" s="22">
        <f>IFERROR(D1720/G1720*100000,"")</f>
        <v>3.7767145906570123</v>
      </c>
    </row>
    <row r="1721" spans="1:8" ht="15" customHeight="1" x14ac:dyDescent="0.3">
      <c r="A1721" s="20" t="s">
        <v>10</v>
      </c>
      <c r="B1721" s="20">
        <v>2024</v>
      </c>
      <c r="C1721" s="20" t="s">
        <v>104</v>
      </c>
      <c r="D1721" s="20">
        <v>38</v>
      </c>
      <c r="E1721" s="20">
        <v>0</v>
      </c>
      <c r="F1721" s="22">
        <f>IFERROR(E1721/D1721*100,"")</f>
        <v>0</v>
      </c>
      <c r="G1721" s="23">
        <f>IFERROR(INDEX(Population_by_Province_Year!$B$5:$J$29,MATCH($A1721,Population_by_Province_Year!$A$5:$A$29,0),MATCH($B1721,Population_by_Province_Year!$B$4:$J$4,0)),"")</f>
        <v>1339422</v>
      </c>
      <c r="H1721" s="22">
        <f>IFERROR(D1721/G1721*100000,"")</f>
        <v>2.8370446356712073</v>
      </c>
    </row>
    <row r="1722" spans="1:8" ht="15" customHeight="1" x14ac:dyDescent="0.3">
      <c r="A1722" s="20" t="s">
        <v>11</v>
      </c>
      <c r="B1722" s="20">
        <v>2024</v>
      </c>
      <c r="C1722" s="20" t="s">
        <v>104</v>
      </c>
      <c r="D1722" s="20">
        <v>1</v>
      </c>
      <c r="E1722" s="20">
        <v>0</v>
      </c>
      <c r="F1722" s="22">
        <f>IFERROR(E1722/D1722*100,"")</f>
        <v>0</v>
      </c>
      <c r="G1722" s="23">
        <f>IFERROR(INDEX(Population_by_Province_Year!$B$5:$J$29,MATCH($A1722,Population_by_Province_Year!$A$5:$A$29,0),MATCH($B1722,Population_by_Province_Year!$B$4:$J$4,0)),"")</f>
        <v>47559</v>
      </c>
      <c r="H1722" s="22">
        <f>IFERROR(D1722/G1722*100000,"")</f>
        <v>2.1026514434702159</v>
      </c>
    </row>
    <row r="1723" spans="1:8" ht="15" customHeight="1" x14ac:dyDescent="0.3">
      <c r="A1723" s="20" t="s">
        <v>12</v>
      </c>
      <c r="B1723" s="20">
        <v>2024</v>
      </c>
      <c r="C1723" s="20" t="s">
        <v>104</v>
      </c>
      <c r="D1723" s="20">
        <v>37</v>
      </c>
      <c r="E1723" s="20">
        <v>1</v>
      </c>
      <c r="F1723" s="22">
        <f>IFERROR(E1723/D1723*100,"")</f>
        <v>2.7027027027027026</v>
      </c>
      <c r="G1723" s="23">
        <f>IFERROR(INDEX(Population_by_Province_Year!$B$5:$J$29,MATCH($A1723,Population_by_Province_Year!$A$5:$A$29,0),MATCH($B1723,Population_by_Province_Year!$B$4:$J$4,0)),"")</f>
        <v>140345</v>
      </c>
      <c r="H1723" s="22">
        <f>IFERROR(D1723/G1723*100000,"")</f>
        <v>26.36360397591649</v>
      </c>
    </row>
    <row r="1724" spans="1:8" ht="15" customHeight="1" x14ac:dyDescent="0.3">
      <c r="A1724" s="20" t="s">
        <v>13</v>
      </c>
      <c r="B1724" s="20">
        <v>2024</v>
      </c>
      <c r="C1724" s="20" t="s">
        <v>104</v>
      </c>
      <c r="D1724" s="20">
        <v>27</v>
      </c>
      <c r="E1724" s="20">
        <v>0</v>
      </c>
      <c r="F1724" s="22">
        <f>IFERROR(E1724/D1724*100,"")</f>
        <v>0</v>
      </c>
      <c r="G1724" s="23">
        <f>IFERROR(INDEX(Population_by_Province_Year!$B$5:$J$29,MATCH($A1724,Population_by_Province_Year!$A$5:$A$29,0),MATCH($B1724,Population_by_Province_Year!$B$4:$J$4,0)),"")</f>
        <v>417746</v>
      </c>
      <c r="H1724" s="22">
        <f>IFERROR(D1724/G1724*100000,"")</f>
        <v>6.4632575775710599</v>
      </c>
    </row>
    <row r="1725" spans="1:8" ht="15" customHeight="1" x14ac:dyDescent="0.3">
      <c r="A1725" s="20" t="s">
        <v>14</v>
      </c>
      <c r="B1725" s="20">
        <v>2024</v>
      </c>
      <c r="C1725" s="20" t="s">
        <v>104</v>
      </c>
      <c r="D1725" s="20">
        <v>41</v>
      </c>
      <c r="E1725" s="20">
        <v>0</v>
      </c>
      <c r="F1725" s="22">
        <f>IFERROR(E1725/D1725*100,"")</f>
        <v>0</v>
      </c>
      <c r="G1725" s="23">
        <f>IFERROR(INDEX(Population_by_Province_Year!$B$5:$J$29,MATCH($A1725,Population_by_Province_Year!$A$5:$A$29,0),MATCH($B1725,Population_by_Province_Year!$B$4:$J$4,0)),"")</f>
        <v>102791</v>
      </c>
      <c r="H1725" s="22">
        <f>IFERROR(D1725/G1725*100000,"")</f>
        <v>39.886760514052789</v>
      </c>
    </row>
    <row r="1726" spans="1:8" ht="15" customHeight="1" x14ac:dyDescent="0.3">
      <c r="A1726" s="20" t="s">
        <v>15</v>
      </c>
      <c r="B1726" s="20">
        <v>2024</v>
      </c>
      <c r="C1726" s="20" t="s">
        <v>104</v>
      </c>
      <c r="D1726" s="20">
        <v>3</v>
      </c>
      <c r="E1726" s="20">
        <v>0</v>
      </c>
      <c r="F1726" s="22">
        <f>IFERROR(E1726/D1726*100,"")</f>
        <v>0</v>
      </c>
      <c r="G1726" s="23">
        <f>IFERROR(INDEX(Population_by_Province_Year!$B$5:$J$29,MATCH($A1726,Population_by_Province_Year!$A$5:$A$29,0),MATCH($B1726,Population_by_Province_Year!$B$4:$J$4,0)),"")</f>
        <v>307704</v>
      </c>
      <c r="H1726" s="22">
        <f>IFERROR(D1726/G1726*100000,"")</f>
        <v>0.9749629514078465</v>
      </c>
    </row>
    <row r="1727" spans="1:8" ht="15" customHeight="1" x14ac:dyDescent="0.3">
      <c r="A1727" s="20" t="s">
        <v>16</v>
      </c>
      <c r="B1727" s="20">
        <v>2024</v>
      </c>
      <c r="C1727" s="20" t="s">
        <v>104</v>
      </c>
      <c r="D1727" s="20">
        <v>3</v>
      </c>
      <c r="E1727" s="20">
        <v>0</v>
      </c>
      <c r="F1727" s="22">
        <f>IFERROR(E1727/D1727*100,"")</f>
        <v>0</v>
      </c>
      <c r="G1727" s="23">
        <f>IFERROR(INDEX(Population_by_Province_Year!$B$5:$J$29,MATCH($A1727,Population_by_Province_Year!$A$5:$A$29,0),MATCH($B1727,Population_by_Province_Year!$B$4:$J$4,0)),"")</f>
        <v>83729</v>
      </c>
      <c r="H1727" s="22">
        <f>IFERROR(D1727/G1727*100000,"")</f>
        <v>3.5829879731037035</v>
      </c>
    </row>
    <row r="1728" spans="1:8" ht="15" customHeight="1" x14ac:dyDescent="0.3">
      <c r="A1728" s="20" t="s">
        <v>17</v>
      </c>
      <c r="B1728" s="20">
        <v>2024</v>
      </c>
      <c r="C1728" s="20" t="s">
        <v>104</v>
      </c>
      <c r="D1728" s="20">
        <v>83</v>
      </c>
      <c r="E1728" s="20">
        <v>0</v>
      </c>
      <c r="F1728" s="22">
        <f>IFERROR(E1728/D1728*100,"")</f>
        <v>0</v>
      </c>
      <c r="G1728" s="23">
        <f>IFERROR(INDEX(Population_by_Province_Year!$B$5:$J$29,MATCH($A1728,Population_by_Province_Year!$A$5:$A$29,0),MATCH($B1728,Population_by_Province_Year!$B$4:$J$4,0)),"")</f>
        <v>2543729</v>
      </c>
      <c r="H1728" s="22">
        <f>IFERROR(D1728/G1728*100000,"")</f>
        <v>3.2629262000787036</v>
      </c>
    </row>
    <row r="1729" spans="1:8" ht="15" customHeight="1" x14ac:dyDescent="0.3">
      <c r="A1729" s="20" t="s">
        <v>18</v>
      </c>
      <c r="B1729" s="20">
        <v>2024</v>
      </c>
      <c r="C1729" s="20" t="s">
        <v>104</v>
      </c>
      <c r="D1729" s="20">
        <v>20</v>
      </c>
      <c r="E1729" s="20">
        <v>0</v>
      </c>
      <c r="F1729" s="22">
        <f>IFERROR(E1729/D1729*100,"")</f>
        <v>0</v>
      </c>
      <c r="G1729" s="23">
        <f>IFERROR(INDEX(Population_by_Province_Year!$B$5:$J$29,MATCH($A1729,Population_by_Province_Year!$A$5:$A$29,0),MATCH($B1729,Population_by_Province_Year!$B$4:$J$4,0)),"")</f>
        <v>345642</v>
      </c>
      <c r="H1729" s="22">
        <f>IFERROR(D1729/G1729*100000,"")</f>
        <v>5.7863338367443768</v>
      </c>
    </row>
    <row r="1730" spans="1:8" ht="15" customHeight="1" x14ac:dyDescent="0.3">
      <c r="A1730" s="20" t="s">
        <v>19</v>
      </c>
      <c r="B1730" s="20">
        <v>2024</v>
      </c>
      <c r="C1730" s="20" t="s">
        <v>104</v>
      </c>
      <c r="D1730" s="20">
        <v>4</v>
      </c>
      <c r="E1730" s="20">
        <v>0</v>
      </c>
      <c r="F1730" s="22">
        <f>IFERROR(E1730/D1730*100,"")</f>
        <v>0</v>
      </c>
      <c r="G1730" s="23">
        <f>IFERROR(INDEX(Population_by_Province_Year!$B$5:$J$29,MATCH($A1730,Population_by_Province_Year!$A$5:$A$29,0),MATCH($B1730,Population_by_Province_Year!$B$4:$J$4,0)),"")</f>
        <v>284060</v>
      </c>
      <c r="H1730" s="22">
        <f>IFERROR(D1730/G1730*100000,"")</f>
        <v>1.4081532070689291</v>
      </c>
    </row>
    <row r="1731" spans="1:8" ht="15" customHeight="1" x14ac:dyDescent="0.3">
      <c r="A1731" s="20" t="s">
        <v>20</v>
      </c>
      <c r="B1731" s="20">
        <v>2024</v>
      </c>
      <c r="C1731" s="20" t="s">
        <v>104</v>
      </c>
      <c r="D1731" s="20">
        <v>26</v>
      </c>
      <c r="E1731" s="20">
        <v>0</v>
      </c>
      <c r="F1731" s="22">
        <f>IFERROR(E1731/D1731*100,"")</f>
        <v>0</v>
      </c>
      <c r="G1731" s="23">
        <f>IFERROR(INDEX(Population_by_Province_Year!$B$5:$J$29,MATCH($A1731,Population_by_Province_Year!$A$5:$A$29,0),MATCH($B1731,Population_by_Province_Year!$B$4:$J$4,0)),"")</f>
        <v>1179058</v>
      </c>
      <c r="H1731" s="22">
        <f>IFERROR(D1731/G1731*100000,"")</f>
        <v>2.2051502131362493</v>
      </c>
    </row>
    <row r="1732" spans="1:8" ht="15" customHeight="1" x14ac:dyDescent="0.3">
      <c r="A1732" s="20" t="s">
        <v>21</v>
      </c>
      <c r="B1732" s="20">
        <v>2024</v>
      </c>
      <c r="C1732" s="20" t="s">
        <v>104</v>
      </c>
      <c r="D1732" s="20">
        <v>4</v>
      </c>
      <c r="E1732" s="20">
        <v>0</v>
      </c>
      <c r="F1732" s="22">
        <f>IFERROR(E1732/D1732*100,"")</f>
        <v>0</v>
      </c>
      <c r="G1732" s="23">
        <f>IFERROR(INDEX(Population_by_Province_Year!$B$5:$J$29,MATCH($A1732,Population_by_Province_Year!$A$5:$A$29,0),MATCH($B1732,Population_by_Province_Year!$B$4:$J$4,0)),"")</f>
        <v>468127</v>
      </c>
      <c r="H1732" s="22">
        <f>IFERROR(D1732/G1732*100000,"")</f>
        <v>0.85446897957178292</v>
      </c>
    </row>
    <row r="1733" spans="1:8" ht="15" customHeight="1" x14ac:dyDescent="0.3">
      <c r="A1733" s="20" t="s">
        <v>22</v>
      </c>
      <c r="B1733" s="20">
        <v>2024</v>
      </c>
      <c r="C1733" s="20" t="s">
        <v>104</v>
      </c>
      <c r="D1733" s="20">
        <v>6</v>
      </c>
      <c r="E1733" s="20">
        <v>0</v>
      </c>
      <c r="F1733" s="22">
        <f>IFERROR(E1733/D1733*100,"")</f>
        <v>0</v>
      </c>
      <c r="G1733" s="23">
        <f>IFERROR(INDEX(Population_by_Province_Year!$B$5:$J$29,MATCH($A1733,Population_by_Province_Year!$A$5:$A$29,0),MATCH($B1733,Population_by_Province_Year!$B$4:$J$4,0)),"")</f>
        <v>242398</v>
      </c>
      <c r="H1733" s="22">
        <f>IFERROR(D1733/G1733*100000,"")</f>
        <v>2.4752679477553445</v>
      </c>
    </row>
    <row r="1734" spans="1:8" ht="15" customHeight="1" x14ac:dyDescent="0.3">
      <c r="A1734" s="20" t="s">
        <v>23</v>
      </c>
      <c r="B1734" s="20">
        <v>2024</v>
      </c>
      <c r="C1734" s="20" t="s">
        <v>104</v>
      </c>
      <c r="D1734" s="20">
        <v>46</v>
      </c>
      <c r="E1734" s="20">
        <v>0</v>
      </c>
      <c r="F1734" s="22">
        <f>IFERROR(E1734/D1734*100,"")</f>
        <v>0</v>
      </c>
      <c r="G1734" s="23">
        <f>IFERROR(INDEX(Population_by_Province_Year!$B$5:$J$29,MATCH($A1734,Population_by_Province_Year!$A$5:$A$29,0),MATCH($B1734,Population_by_Province_Year!$B$4:$J$4,0)),"")</f>
        <v>1130583</v>
      </c>
      <c r="H1734" s="22">
        <f>IFERROR(D1734/G1734*100000,"")</f>
        <v>4.0686973004193412</v>
      </c>
    </row>
    <row r="1735" spans="1:8" ht="15" customHeight="1" x14ac:dyDescent="0.3">
      <c r="A1735" s="20" t="s">
        <v>24</v>
      </c>
      <c r="B1735" s="20">
        <v>2024</v>
      </c>
      <c r="C1735" s="20" t="s">
        <v>104</v>
      </c>
      <c r="D1735" s="20">
        <v>3</v>
      </c>
      <c r="E1735" s="20">
        <v>0</v>
      </c>
      <c r="F1735" s="22">
        <f>IFERROR(E1735/D1735*100,"")</f>
        <v>0</v>
      </c>
      <c r="G1735" s="23">
        <f>IFERROR(INDEX(Population_by_Province_Year!$B$5:$J$29,MATCH($A1735,Population_by_Province_Year!$A$5:$A$29,0),MATCH($B1735,Population_by_Province_Year!$B$4:$J$4,0)),"")</f>
        <v>184723</v>
      </c>
      <c r="H1735" s="22">
        <f>IFERROR(D1735/G1735*100000,"")</f>
        <v>1.6240533122567302</v>
      </c>
    </row>
    <row r="1736" spans="1:8" ht="15" customHeight="1" x14ac:dyDescent="0.3">
      <c r="A1736" s="20" t="s">
        <v>25</v>
      </c>
      <c r="B1736" s="20">
        <v>2024</v>
      </c>
      <c r="C1736" s="20" t="s">
        <v>104</v>
      </c>
      <c r="D1736" s="20">
        <v>7</v>
      </c>
      <c r="E1736" s="20">
        <v>0</v>
      </c>
      <c r="F1736" s="22">
        <f>IFERROR(E1736/D1736*100,"")</f>
        <v>0</v>
      </c>
      <c r="G1736" s="23">
        <f>IFERROR(INDEX(Population_by_Province_Year!$B$5:$J$29,MATCH($A1736,Population_by_Province_Year!$A$5:$A$29,0),MATCH($B1736,Population_by_Province_Year!$B$4:$J$4,0)),"")</f>
        <v>585780</v>
      </c>
      <c r="H1736" s="22">
        <f>IFERROR(D1736/G1736*100000,"")</f>
        <v>1.1949878794086517</v>
      </c>
    </row>
    <row r="1737" spans="1:8" ht="15" customHeight="1" x14ac:dyDescent="0.3">
      <c r="A1737" s="20" t="s">
        <v>26</v>
      </c>
      <c r="B1737" s="20">
        <v>2024</v>
      </c>
      <c r="C1737" s="20" t="s">
        <v>104</v>
      </c>
      <c r="D1737" s="20">
        <v>17</v>
      </c>
      <c r="E1737" s="20">
        <v>0</v>
      </c>
      <c r="F1737" s="22">
        <f>IFERROR(E1737/D1737*100,"")</f>
        <v>0</v>
      </c>
      <c r="G1737" s="23">
        <f>IFERROR(INDEX(Population_by_Province_Year!$B$5:$J$29,MATCH($A1737,Population_by_Province_Year!$A$5:$A$29,0),MATCH($B1737,Population_by_Province_Year!$B$4:$J$4,0)),"")</f>
        <v>1004264</v>
      </c>
      <c r="H1737" s="22">
        <f>IFERROR(D1737/G1737*100000,"")</f>
        <v>1.6927819776473121</v>
      </c>
    </row>
    <row r="1738" spans="1:8" ht="15" customHeight="1" x14ac:dyDescent="0.3">
      <c r="A1738" s="20" t="s">
        <v>27</v>
      </c>
      <c r="B1738" s="20">
        <v>2024</v>
      </c>
      <c r="C1738" s="20" t="s">
        <v>104</v>
      </c>
      <c r="D1738" s="20">
        <v>32</v>
      </c>
      <c r="E1738" s="20">
        <v>1</v>
      </c>
      <c r="F1738" s="22">
        <f>IFERROR(E1738/D1738*100,"")</f>
        <v>3.125</v>
      </c>
      <c r="G1738" s="23">
        <f>IFERROR(INDEX(Population_by_Province_Year!$B$5:$J$29,MATCH($A1738,Population_by_Province_Year!$A$5:$A$29,0),MATCH($B1738,Population_by_Province_Year!$B$4:$J$4,0)),"")</f>
        <v>865958</v>
      </c>
      <c r="H1738" s="22">
        <f>IFERROR(D1738/G1738*100000,"")</f>
        <v>3.6953293346790494</v>
      </c>
    </row>
    <row r="1739" spans="1:8" ht="15" customHeight="1" x14ac:dyDescent="0.3">
      <c r="A1739" s="20" t="s">
        <v>3</v>
      </c>
      <c r="B1739" s="20">
        <v>2024</v>
      </c>
      <c r="C1739" s="20" t="s">
        <v>102</v>
      </c>
      <c r="D1739" s="20">
        <v>17</v>
      </c>
      <c r="E1739" s="20">
        <v>0</v>
      </c>
      <c r="F1739" s="22">
        <f>IFERROR(E1739/D1739*100,"")</f>
        <v>0</v>
      </c>
      <c r="G1739" s="23">
        <f>IFERROR(INDEX(Population_by_Province_Year!$B$5:$J$29,MATCH($A1739,Population_by_Province_Year!$A$5:$A$29,0),MATCH($B1739,Population_by_Province_Year!$B$4:$J$4,0)),"")</f>
        <v>960755</v>
      </c>
      <c r="H1739" s="22">
        <f>IFERROR(D1739/G1739*100000,"")</f>
        <v>1.7694417411306731</v>
      </c>
    </row>
    <row r="1740" spans="1:8" ht="15" customHeight="1" x14ac:dyDescent="0.3">
      <c r="A1740" s="20" t="s">
        <v>4</v>
      </c>
      <c r="B1740" s="20">
        <v>2024</v>
      </c>
      <c r="C1740" s="20" t="s">
        <v>102</v>
      </c>
      <c r="D1740" s="20">
        <v>13</v>
      </c>
      <c r="E1740" s="20">
        <v>0</v>
      </c>
      <c r="F1740" s="22">
        <f>IFERROR(E1740/D1740*100,"")</f>
        <v>0</v>
      </c>
      <c r="G1740" s="23">
        <f>IFERROR(INDEX(Population_by_Province_Year!$B$5:$J$29,MATCH($A1740,Population_by_Province_Year!$A$5:$A$29,0),MATCH($B1740,Population_by_Province_Year!$B$4:$J$4,0)),"")</f>
        <v>1111561</v>
      </c>
      <c r="H1740" s="22">
        <f>IFERROR(D1740/G1740*100000,"")</f>
        <v>1.1695264587368575</v>
      </c>
    </row>
    <row r="1741" spans="1:8" ht="15" customHeight="1" x14ac:dyDescent="0.3">
      <c r="A1741" s="20" t="s">
        <v>5</v>
      </c>
      <c r="B1741" s="20">
        <v>2024</v>
      </c>
      <c r="C1741" s="20" t="s">
        <v>102</v>
      </c>
      <c r="D1741" s="20">
        <v>54</v>
      </c>
      <c r="E1741" s="20">
        <v>0</v>
      </c>
      <c r="F1741" s="22">
        <f>IFERROR(E1741/D1741*100,"")</f>
        <v>0</v>
      </c>
      <c r="G1741" s="23">
        <f>IFERROR(INDEX(Population_by_Province_Year!$B$5:$J$29,MATCH($A1741,Population_by_Province_Year!$A$5:$A$29,0),MATCH($B1741,Population_by_Province_Year!$B$4:$J$4,0)),"")</f>
        <v>1003012</v>
      </c>
      <c r="H1741" s="22">
        <f>IFERROR(D1741/G1741*100000,"")</f>
        <v>5.3837840424640975</v>
      </c>
    </row>
    <row r="1742" spans="1:8" ht="15" customHeight="1" x14ac:dyDescent="0.3">
      <c r="A1742" s="20" t="s">
        <v>6</v>
      </c>
      <c r="B1742" s="20">
        <v>2024</v>
      </c>
      <c r="C1742" s="20" t="s">
        <v>102</v>
      </c>
      <c r="D1742" s="20">
        <v>45</v>
      </c>
      <c r="E1742" s="20">
        <v>0</v>
      </c>
      <c r="F1742" s="22">
        <f>IFERROR(E1742/D1742*100,"")</f>
        <v>0</v>
      </c>
      <c r="G1742" s="23">
        <f>IFERROR(INDEX(Population_by_Province_Year!$B$5:$J$29,MATCH($A1742,Population_by_Province_Year!$A$5:$A$29,0),MATCH($B1742,Population_by_Province_Year!$B$4:$J$4,0)),"")</f>
        <v>587486</v>
      </c>
      <c r="H1742" s="22">
        <f>IFERROR(D1742/G1742*100000,"")</f>
        <v>7.659756998464645</v>
      </c>
    </row>
    <row r="1743" spans="1:8" ht="15" customHeight="1" x14ac:dyDescent="0.3">
      <c r="A1743" s="20" t="s">
        <v>7</v>
      </c>
      <c r="B1743" s="20">
        <v>2024</v>
      </c>
      <c r="C1743" s="20" t="s">
        <v>102</v>
      </c>
      <c r="D1743" s="20">
        <v>25</v>
      </c>
      <c r="E1743" s="20">
        <v>0</v>
      </c>
      <c r="F1743" s="22">
        <f>IFERROR(E1743/D1743*100,"")</f>
        <v>0</v>
      </c>
      <c r="G1743" s="23">
        <f>IFERROR(INDEX(Population_by_Province_Year!$B$5:$J$29,MATCH($A1743,Population_by_Province_Year!$A$5:$A$29,0),MATCH($B1743,Population_by_Province_Year!$B$4:$J$4,0)),"")</f>
        <v>978189</v>
      </c>
      <c r="H1743" s="22">
        <f>IFERROR(D1743/G1743*100000,"")</f>
        <v>2.5557433174979476</v>
      </c>
    </row>
    <row r="1744" spans="1:8" ht="15" customHeight="1" x14ac:dyDescent="0.3">
      <c r="A1744" s="20" t="s">
        <v>8</v>
      </c>
      <c r="B1744" s="20">
        <v>2024</v>
      </c>
      <c r="C1744" s="20" t="s">
        <v>102</v>
      </c>
      <c r="D1744" s="20">
        <v>35</v>
      </c>
      <c r="E1744" s="20">
        <v>1</v>
      </c>
      <c r="F1744" s="22">
        <f>IFERROR(E1744/D1744*100,"")</f>
        <v>2.8571428571428572</v>
      </c>
      <c r="G1744" s="23">
        <f>IFERROR(INDEX(Population_by_Province_Year!$B$5:$J$29,MATCH($A1744,Population_by_Province_Year!$A$5:$A$29,0),MATCH($B1744,Population_by_Province_Year!$B$4:$J$4,0)),"")</f>
        <v>759734</v>
      </c>
      <c r="H1744" s="22">
        <f>IFERROR(D1744/G1744*100000,"")</f>
        <v>4.6068755643422561</v>
      </c>
    </row>
    <row r="1745" spans="1:8" ht="15" customHeight="1" x14ac:dyDescent="0.3">
      <c r="A1745" s="20" t="s">
        <v>9</v>
      </c>
      <c r="B1745" s="20">
        <v>2024</v>
      </c>
      <c r="C1745" s="20" t="s">
        <v>102</v>
      </c>
      <c r="D1745" s="20">
        <v>77</v>
      </c>
      <c r="E1745" s="20">
        <v>0</v>
      </c>
      <c r="F1745" s="22">
        <f>IFERROR(E1745/D1745*100,"")</f>
        <v>0</v>
      </c>
      <c r="G1745" s="23">
        <f>IFERROR(INDEX(Population_by_Province_Year!$B$5:$J$29,MATCH($A1745,Population_by_Province_Year!$A$5:$A$29,0),MATCH($B1745,Population_by_Province_Year!$B$4:$J$4,0)),"")</f>
        <v>661951</v>
      </c>
      <c r="H1745" s="22">
        <f>IFERROR(D1745/G1745*100000,"")</f>
        <v>11.632280939223598</v>
      </c>
    </row>
    <row r="1746" spans="1:8" ht="15" customHeight="1" x14ac:dyDescent="0.3">
      <c r="A1746" s="20" t="s">
        <v>10</v>
      </c>
      <c r="B1746" s="20">
        <v>2024</v>
      </c>
      <c r="C1746" s="20" t="s">
        <v>102</v>
      </c>
      <c r="D1746" s="20">
        <v>44</v>
      </c>
      <c r="E1746" s="20">
        <v>0</v>
      </c>
      <c r="F1746" s="22">
        <f>IFERROR(E1746/D1746*100,"")</f>
        <v>0</v>
      </c>
      <c r="G1746" s="23">
        <f>IFERROR(INDEX(Population_by_Province_Year!$B$5:$J$29,MATCH($A1746,Population_by_Province_Year!$A$5:$A$29,0),MATCH($B1746,Population_by_Province_Year!$B$4:$J$4,0)),"")</f>
        <v>1339422</v>
      </c>
      <c r="H1746" s="22">
        <f>IFERROR(D1746/G1746*100000,"")</f>
        <v>3.2849990518298191</v>
      </c>
    </row>
    <row r="1747" spans="1:8" ht="15" customHeight="1" x14ac:dyDescent="0.3">
      <c r="A1747" s="20" t="s">
        <v>11</v>
      </c>
      <c r="B1747" s="20">
        <v>2024</v>
      </c>
      <c r="C1747" s="20" t="s">
        <v>102</v>
      </c>
      <c r="D1747" s="20">
        <v>11</v>
      </c>
      <c r="E1747" s="20">
        <v>0</v>
      </c>
      <c r="F1747" s="22">
        <f>IFERROR(E1747/D1747*100,"")</f>
        <v>0</v>
      </c>
      <c r="G1747" s="23">
        <f>IFERROR(INDEX(Population_by_Province_Year!$B$5:$J$29,MATCH($A1747,Population_by_Province_Year!$A$5:$A$29,0),MATCH($B1747,Population_by_Province_Year!$B$4:$J$4,0)),"")</f>
        <v>47559</v>
      </c>
      <c r="H1747" s="22">
        <f>IFERROR(D1747/G1747*100000,"")</f>
        <v>23.129165878172376</v>
      </c>
    </row>
    <row r="1748" spans="1:8" ht="15" customHeight="1" x14ac:dyDescent="0.3">
      <c r="A1748" s="20" t="s">
        <v>12</v>
      </c>
      <c r="B1748" s="20">
        <v>2024</v>
      </c>
      <c r="C1748" s="20" t="s">
        <v>102</v>
      </c>
      <c r="D1748" s="20">
        <v>43</v>
      </c>
      <c r="E1748" s="20">
        <v>0</v>
      </c>
      <c r="F1748" s="22">
        <f>IFERROR(E1748/D1748*100,"")</f>
        <v>0</v>
      </c>
      <c r="G1748" s="23">
        <f>IFERROR(INDEX(Population_by_Province_Year!$B$5:$J$29,MATCH($A1748,Population_by_Province_Year!$A$5:$A$29,0),MATCH($B1748,Population_by_Province_Year!$B$4:$J$4,0)),"")</f>
        <v>140345</v>
      </c>
      <c r="H1748" s="22">
        <f>IFERROR(D1748/G1748*100000,"")</f>
        <v>30.638782999038089</v>
      </c>
    </row>
    <row r="1749" spans="1:8" ht="15" customHeight="1" x14ac:dyDescent="0.3">
      <c r="A1749" s="20" t="s">
        <v>13</v>
      </c>
      <c r="B1749" s="20">
        <v>2024</v>
      </c>
      <c r="C1749" s="20" t="s">
        <v>102</v>
      </c>
      <c r="D1749" s="20">
        <v>76</v>
      </c>
      <c r="E1749" s="20">
        <v>0</v>
      </c>
      <c r="F1749" s="22">
        <f>IFERROR(E1749/D1749*100,"")</f>
        <v>0</v>
      </c>
      <c r="G1749" s="23">
        <f>IFERROR(INDEX(Population_by_Province_Year!$B$5:$J$29,MATCH($A1749,Population_by_Province_Year!$A$5:$A$29,0),MATCH($B1749,Population_by_Province_Year!$B$4:$J$4,0)),"")</f>
        <v>417746</v>
      </c>
      <c r="H1749" s="22">
        <f>IFERROR(D1749/G1749*100000,"")</f>
        <v>18.192873181311132</v>
      </c>
    </row>
    <row r="1750" spans="1:8" ht="15" customHeight="1" x14ac:dyDescent="0.3">
      <c r="A1750" s="20" t="s">
        <v>14</v>
      </c>
      <c r="B1750" s="20">
        <v>2024</v>
      </c>
      <c r="C1750" s="20" t="s">
        <v>102</v>
      </c>
      <c r="D1750" s="20">
        <v>121</v>
      </c>
      <c r="E1750" s="20">
        <v>0</v>
      </c>
      <c r="F1750" s="22">
        <f>IFERROR(E1750/D1750*100,"")</f>
        <v>0</v>
      </c>
      <c r="G1750" s="23">
        <f>IFERROR(INDEX(Population_by_Province_Year!$B$5:$J$29,MATCH($A1750,Population_by_Province_Year!$A$5:$A$29,0),MATCH($B1750,Population_by_Province_Year!$B$4:$J$4,0)),"")</f>
        <v>102791</v>
      </c>
      <c r="H1750" s="22">
        <f>IFERROR(D1750/G1750*100000,"")</f>
        <v>117.71458590732651</v>
      </c>
    </row>
    <row r="1751" spans="1:8" ht="15" customHeight="1" x14ac:dyDescent="0.3">
      <c r="A1751" s="20" t="s">
        <v>15</v>
      </c>
      <c r="B1751" s="20">
        <v>2024</v>
      </c>
      <c r="C1751" s="20" t="s">
        <v>102</v>
      </c>
      <c r="D1751" s="20">
        <v>7</v>
      </c>
      <c r="E1751" s="20">
        <v>0</v>
      </c>
      <c r="F1751" s="22">
        <f>IFERROR(E1751/D1751*100,"")</f>
        <v>0</v>
      </c>
      <c r="G1751" s="23">
        <f>IFERROR(INDEX(Population_by_Province_Year!$B$5:$J$29,MATCH($A1751,Population_by_Province_Year!$A$5:$A$29,0),MATCH($B1751,Population_by_Province_Year!$B$4:$J$4,0)),"")</f>
        <v>307704</v>
      </c>
      <c r="H1751" s="22">
        <f>IFERROR(D1751/G1751*100000,"")</f>
        <v>2.2749135532849754</v>
      </c>
    </row>
    <row r="1752" spans="1:8" ht="15" customHeight="1" x14ac:dyDescent="0.3">
      <c r="A1752" s="20" t="s">
        <v>16</v>
      </c>
      <c r="B1752" s="20">
        <v>2024</v>
      </c>
      <c r="C1752" s="20" t="s">
        <v>102</v>
      </c>
      <c r="D1752" s="20">
        <v>8</v>
      </c>
      <c r="E1752" s="20">
        <v>0</v>
      </c>
      <c r="F1752" s="22">
        <f>IFERROR(E1752/D1752*100,"")</f>
        <v>0</v>
      </c>
      <c r="G1752" s="23">
        <f>IFERROR(INDEX(Population_by_Province_Year!$B$5:$J$29,MATCH($A1752,Population_by_Province_Year!$A$5:$A$29,0),MATCH($B1752,Population_by_Province_Year!$B$4:$J$4,0)),"")</f>
        <v>83729</v>
      </c>
      <c r="H1752" s="22">
        <f>IFERROR(D1752/G1752*100000,"")</f>
        <v>9.5546345949432094</v>
      </c>
    </row>
    <row r="1753" spans="1:8" ht="15" customHeight="1" x14ac:dyDescent="0.3">
      <c r="A1753" s="20" t="s">
        <v>17</v>
      </c>
      <c r="B1753" s="20">
        <v>2024</v>
      </c>
      <c r="C1753" s="20" t="s">
        <v>102</v>
      </c>
      <c r="D1753" s="20">
        <v>115</v>
      </c>
      <c r="E1753" s="20">
        <v>0</v>
      </c>
      <c r="F1753" s="22">
        <f>IFERROR(E1753/D1753*100,"")</f>
        <v>0</v>
      </c>
      <c r="G1753" s="23">
        <f>IFERROR(INDEX(Population_by_Province_Year!$B$5:$J$29,MATCH($A1753,Population_by_Province_Year!$A$5:$A$29,0),MATCH($B1753,Population_by_Province_Year!$B$4:$J$4,0)),"")</f>
        <v>2543729</v>
      </c>
      <c r="H1753" s="22">
        <f>IFERROR(D1753/G1753*100000,"")</f>
        <v>4.5209218434825411</v>
      </c>
    </row>
    <row r="1754" spans="1:8" ht="15" customHeight="1" x14ac:dyDescent="0.3">
      <c r="A1754" s="20" t="s">
        <v>18</v>
      </c>
      <c r="B1754" s="20">
        <v>2024</v>
      </c>
      <c r="C1754" s="20" t="s">
        <v>102</v>
      </c>
      <c r="D1754" s="20">
        <v>37</v>
      </c>
      <c r="E1754" s="20">
        <v>0</v>
      </c>
      <c r="F1754" s="22">
        <f>IFERROR(E1754/D1754*100,"")</f>
        <v>0</v>
      </c>
      <c r="G1754" s="23">
        <f>IFERROR(INDEX(Population_by_Province_Year!$B$5:$J$29,MATCH($A1754,Population_by_Province_Year!$A$5:$A$29,0),MATCH($B1754,Population_by_Province_Year!$B$4:$J$4,0)),"")</f>
        <v>345642</v>
      </c>
      <c r="H1754" s="22">
        <f>IFERROR(D1754/G1754*100000,"")</f>
        <v>10.704717597977098</v>
      </c>
    </row>
    <row r="1755" spans="1:8" ht="15" customHeight="1" x14ac:dyDescent="0.3">
      <c r="A1755" s="20" t="s">
        <v>19</v>
      </c>
      <c r="B1755" s="20">
        <v>2024</v>
      </c>
      <c r="C1755" s="20" t="s">
        <v>102</v>
      </c>
      <c r="D1755" s="20">
        <v>12</v>
      </c>
      <c r="E1755" s="20">
        <v>0</v>
      </c>
      <c r="F1755" s="22">
        <f>IFERROR(E1755/D1755*100,"")</f>
        <v>0</v>
      </c>
      <c r="G1755" s="23">
        <f>IFERROR(INDEX(Population_by_Province_Year!$B$5:$J$29,MATCH($A1755,Population_by_Province_Year!$A$5:$A$29,0),MATCH($B1755,Population_by_Province_Year!$B$4:$J$4,0)),"")</f>
        <v>284060</v>
      </c>
      <c r="H1755" s="22">
        <f>IFERROR(D1755/G1755*100000,"")</f>
        <v>4.2244596212067869</v>
      </c>
    </row>
    <row r="1756" spans="1:8" ht="15" customHeight="1" x14ac:dyDescent="0.3">
      <c r="A1756" s="20" t="s">
        <v>20</v>
      </c>
      <c r="B1756" s="20">
        <v>2024</v>
      </c>
      <c r="C1756" s="20" t="s">
        <v>102</v>
      </c>
      <c r="D1756" s="20">
        <v>21</v>
      </c>
      <c r="E1756" s="20">
        <v>0</v>
      </c>
      <c r="F1756" s="22">
        <f>IFERROR(E1756/D1756*100,"")</f>
        <v>0</v>
      </c>
      <c r="G1756" s="23">
        <f>IFERROR(INDEX(Population_by_Province_Year!$B$5:$J$29,MATCH($A1756,Population_by_Province_Year!$A$5:$A$29,0),MATCH($B1756,Population_by_Province_Year!$B$4:$J$4,0)),"")</f>
        <v>1179058</v>
      </c>
      <c r="H1756" s="22">
        <f>IFERROR(D1756/G1756*100000,"")</f>
        <v>1.7810828644562016</v>
      </c>
    </row>
    <row r="1757" spans="1:8" ht="15" customHeight="1" x14ac:dyDescent="0.3">
      <c r="A1757" s="20" t="s">
        <v>21</v>
      </c>
      <c r="B1757" s="20">
        <v>2024</v>
      </c>
      <c r="C1757" s="20" t="s">
        <v>102</v>
      </c>
      <c r="D1757" s="20">
        <v>5</v>
      </c>
      <c r="E1757" s="20">
        <v>0</v>
      </c>
      <c r="F1757" s="22">
        <f>IFERROR(E1757/D1757*100,"")</f>
        <v>0</v>
      </c>
      <c r="G1757" s="23">
        <f>IFERROR(INDEX(Population_by_Province_Year!$B$5:$J$29,MATCH($A1757,Population_by_Province_Year!$A$5:$A$29,0),MATCH($B1757,Population_by_Province_Year!$B$4:$J$4,0)),"")</f>
        <v>468127</v>
      </c>
      <c r="H1757" s="22">
        <f>IFERROR(D1757/G1757*100000,"")</f>
        <v>1.0680862244647285</v>
      </c>
    </row>
    <row r="1758" spans="1:8" ht="15" customHeight="1" x14ac:dyDescent="0.3">
      <c r="A1758" s="20" t="s">
        <v>22</v>
      </c>
      <c r="B1758" s="20">
        <v>2024</v>
      </c>
      <c r="C1758" s="20" t="s">
        <v>102</v>
      </c>
      <c r="D1758" s="20">
        <v>3</v>
      </c>
      <c r="E1758" s="20">
        <v>0</v>
      </c>
      <c r="F1758" s="22">
        <f>IFERROR(E1758/D1758*100,"")</f>
        <v>0</v>
      </c>
      <c r="G1758" s="23">
        <f>IFERROR(INDEX(Population_by_Province_Year!$B$5:$J$29,MATCH($A1758,Population_by_Province_Year!$A$5:$A$29,0),MATCH($B1758,Population_by_Province_Year!$B$4:$J$4,0)),"")</f>
        <v>242398</v>
      </c>
      <c r="H1758" s="22">
        <f>IFERROR(D1758/G1758*100000,"")</f>
        <v>1.2376339738776723</v>
      </c>
    </row>
    <row r="1759" spans="1:8" ht="15" customHeight="1" x14ac:dyDescent="0.3">
      <c r="A1759" s="20" t="s">
        <v>23</v>
      </c>
      <c r="B1759" s="20">
        <v>2024</v>
      </c>
      <c r="C1759" s="20" t="s">
        <v>102</v>
      </c>
      <c r="D1759" s="20">
        <v>68</v>
      </c>
      <c r="E1759" s="20">
        <v>0</v>
      </c>
      <c r="F1759" s="22">
        <f>IFERROR(E1759/D1759*100,"")</f>
        <v>0</v>
      </c>
      <c r="G1759" s="23">
        <f>IFERROR(INDEX(Population_by_Province_Year!$B$5:$J$29,MATCH($A1759,Population_by_Province_Year!$A$5:$A$29,0),MATCH($B1759,Population_by_Province_Year!$B$4:$J$4,0)),"")</f>
        <v>1130583</v>
      </c>
      <c r="H1759" s="22">
        <f>IFERROR(D1759/G1759*100000,"")</f>
        <v>6.0145960093155475</v>
      </c>
    </row>
    <row r="1760" spans="1:8" ht="15" customHeight="1" x14ac:dyDescent="0.3">
      <c r="A1760" s="20" t="s">
        <v>24</v>
      </c>
      <c r="B1760" s="20">
        <v>2024</v>
      </c>
      <c r="C1760" s="20" t="s">
        <v>102</v>
      </c>
      <c r="D1760" s="20">
        <v>5</v>
      </c>
      <c r="E1760" s="20">
        <v>0</v>
      </c>
      <c r="F1760" s="22">
        <f>IFERROR(E1760/D1760*100,"")</f>
        <v>0</v>
      </c>
      <c r="G1760" s="23">
        <f>IFERROR(INDEX(Population_by_Province_Year!$B$5:$J$29,MATCH($A1760,Population_by_Province_Year!$A$5:$A$29,0),MATCH($B1760,Population_by_Province_Year!$B$4:$J$4,0)),"")</f>
        <v>184723</v>
      </c>
      <c r="H1760" s="22">
        <f>IFERROR(D1760/G1760*100000,"")</f>
        <v>2.7067555204278841</v>
      </c>
    </row>
    <row r="1761" spans="1:8" ht="15" customHeight="1" x14ac:dyDescent="0.3">
      <c r="A1761" s="20" t="s">
        <v>25</v>
      </c>
      <c r="B1761" s="20">
        <v>2024</v>
      </c>
      <c r="C1761" s="20" t="s">
        <v>102</v>
      </c>
      <c r="D1761" s="20">
        <v>15</v>
      </c>
      <c r="E1761" s="20">
        <v>0</v>
      </c>
      <c r="F1761" s="22">
        <f>IFERROR(E1761/D1761*100,"")</f>
        <v>0</v>
      </c>
      <c r="G1761" s="23">
        <f>IFERROR(INDEX(Population_by_Province_Year!$B$5:$J$29,MATCH($A1761,Population_by_Province_Year!$A$5:$A$29,0),MATCH($B1761,Population_by_Province_Year!$B$4:$J$4,0)),"")</f>
        <v>585780</v>
      </c>
      <c r="H1761" s="22">
        <f>IFERROR(D1761/G1761*100000,"")</f>
        <v>2.5606883130185394</v>
      </c>
    </row>
    <row r="1762" spans="1:8" ht="15" customHeight="1" x14ac:dyDescent="0.3">
      <c r="A1762" s="20" t="s">
        <v>26</v>
      </c>
      <c r="B1762" s="20">
        <v>2024</v>
      </c>
      <c r="C1762" s="20" t="s">
        <v>102</v>
      </c>
      <c r="D1762" s="20">
        <v>10</v>
      </c>
      <c r="E1762" s="20">
        <v>0</v>
      </c>
      <c r="F1762" s="22">
        <f>IFERROR(E1762/D1762*100,"")</f>
        <v>0</v>
      </c>
      <c r="G1762" s="23">
        <f>IFERROR(INDEX(Population_by_Province_Year!$B$5:$J$29,MATCH($A1762,Population_by_Province_Year!$A$5:$A$29,0),MATCH($B1762,Population_by_Province_Year!$B$4:$J$4,0)),"")</f>
        <v>1004264</v>
      </c>
      <c r="H1762" s="22">
        <f>IFERROR(D1762/G1762*100000,"")</f>
        <v>0.99575410449841883</v>
      </c>
    </row>
    <row r="1763" spans="1:8" ht="15" customHeight="1" x14ac:dyDescent="0.3">
      <c r="A1763" s="20" t="s">
        <v>27</v>
      </c>
      <c r="B1763" s="20">
        <v>2024</v>
      </c>
      <c r="C1763" s="20" t="s">
        <v>102</v>
      </c>
      <c r="D1763" s="20">
        <v>69</v>
      </c>
      <c r="E1763" s="20">
        <v>0</v>
      </c>
      <c r="F1763" s="22">
        <f>IFERROR(E1763/D1763*100,"")</f>
        <v>0</v>
      </c>
      <c r="G1763" s="23">
        <f>IFERROR(INDEX(Population_by_Province_Year!$B$5:$J$29,MATCH($A1763,Population_by_Province_Year!$A$5:$A$29,0),MATCH($B1763,Population_by_Province_Year!$B$4:$J$4,0)),"")</f>
        <v>865958</v>
      </c>
      <c r="H1763" s="22">
        <f>IFERROR(D1763/G1763*100000,"")</f>
        <v>7.9680538779017001</v>
      </c>
    </row>
    <row r="1764" spans="1:8" ht="15" customHeight="1" x14ac:dyDescent="0.3">
      <c r="A1764" s="20" t="s">
        <v>3</v>
      </c>
      <c r="B1764" s="20">
        <v>2024</v>
      </c>
      <c r="C1764" s="20" t="s">
        <v>101</v>
      </c>
      <c r="D1764" s="20">
        <v>29</v>
      </c>
      <c r="E1764" s="20">
        <v>0</v>
      </c>
      <c r="F1764" s="22">
        <f>IFERROR(E1764/D1764*100,"")</f>
        <v>0</v>
      </c>
      <c r="G1764" s="23">
        <f>IFERROR(INDEX(Population_by_Province_Year!$B$5:$J$29,MATCH($A1764,Population_by_Province_Year!$A$5:$A$29,0),MATCH($B1764,Population_by_Province_Year!$B$4:$J$4,0)),"")</f>
        <v>960755</v>
      </c>
      <c r="H1764" s="22">
        <f>IFERROR(D1764/G1764*100000,"")</f>
        <v>3.0184594407523249</v>
      </c>
    </row>
    <row r="1765" spans="1:8" ht="15" customHeight="1" x14ac:dyDescent="0.3">
      <c r="A1765" s="20" t="s">
        <v>4</v>
      </c>
      <c r="B1765" s="20">
        <v>2024</v>
      </c>
      <c r="C1765" s="20" t="s">
        <v>101</v>
      </c>
      <c r="D1765" s="20">
        <v>36</v>
      </c>
      <c r="E1765" s="20">
        <v>0</v>
      </c>
      <c r="F1765" s="22">
        <f>IFERROR(E1765/D1765*100,"")</f>
        <v>0</v>
      </c>
      <c r="G1765" s="23">
        <f>IFERROR(INDEX(Population_by_Province_Year!$B$5:$J$29,MATCH($A1765,Population_by_Province_Year!$A$5:$A$29,0),MATCH($B1765,Population_by_Province_Year!$B$4:$J$4,0)),"")</f>
        <v>1111561</v>
      </c>
      <c r="H1765" s="22">
        <f>IFERROR(D1765/G1765*100000,"")</f>
        <v>3.2386886549636049</v>
      </c>
    </row>
    <row r="1766" spans="1:8" ht="15" customHeight="1" x14ac:dyDescent="0.3">
      <c r="A1766" s="20" t="s">
        <v>5</v>
      </c>
      <c r="B1766" s="20">
        <v>2024</v>
      </c>
      <c r="C1766" s="20" t="s">
        <v>101</v>
      </c>
      <c r="D1766" s="20">
        <v>166</v>
      </c>
      <c r="E1766" s="20">
        <v>1</v>
      </c>
      <c r="F1766" s="22">
        <f>IFERROR(E1766/D1766*100,"")</f>
        <v>0.60240963855421692</v>
      </c>
      <c r="G1766" s="23">
        <f>IFERROR(INDEX(Population_by_Province_Year!$B$5:$J$29,MATCH($A1766,Population_by_Province_Year!$A$5:$A$29,0),MATCH($B1766,Population_by_Province_Year!$B$4:$J$4,0)),"")</f>
        <v>1003012</v>
      </c>
      <c r="H1766" s="22">
        <f>IFERROR(D1766/G1766*100000,"")</f>
        <v>16.550150945352598</v>
      </c>
    </row>
    <row r="1767" spans="1:8" ht="15" customHeight="1" x14ac:dyDescent="0.3">
      <c r="A1767" s="20" t="s">
        <v>6</v>
      </c>
      <c r="B1767" s="20">
        <v>2024</v>
      </c>
      <c r="C1767" s="20" t="s">
        <v>101</v>
      </c>
      <c r="D1767" s="20">
        <v>105</v>
      </c>
      <c r="E1767" s="20">
        <v>0</v>
      </c>
      <c r="F1767" s="22">
        <f>IFERROR(E1767/D1767*100,"")</f>
        <v>0</v>
      </c>
      <c r="G1767" s="23">
        <f>IFERROR(INDEX(Population_by_Province_Year!$B$5:$J$29,MATCH($A1767,Population_by_Province_Year!$A$5:$A$29,0),MATCH($B1767,Population_by_Province_Year!$B$4:$J$4,0)),"")</f>
        <v>587486</v>
      </c>
      <c r="H1767" s="22">
        <f>IFERROR(D1767/G1767*100000,"")</f>
        <v>17.872766329750835</v>
      </c>
    </row>
    <row r="1768" spans="1:8" ht="15" customHeight="1" x14ac:dyDescent="0.3">
      <c r="A1768" s="20" t="s">
        <v>7</v>
      </c>
      <c r="B1768" s="20">
        <v>2024</v>
      </c>
      <c r="C1768" s="20" t="s">
        <v>101</v>
      </c>
      <c r="D1768" s="20">
        <v>41</v>
      </c>
      <c r="E1768" s="20">
        <v>0</v>
      </c>
      <c r="F1768" s="22">
        <f>IFERROR(E1768/D1768*100,"")</f>
        <v>0</v>
      </c>
      <c r="G1768" s="23">
        <f>IFERROR(INDEX(Population_by_Province_Year!$B$5:$J$29,MATCH($A1768,Population_by_Province_Year!$A$5:$A$29,0),MATCH($B1768,Population_by_Province_Year!$B$4:$J$4,0)),"")</f>
        <v>978189</v>
      </c>
      <c r="H1768" s="22">
        <f>IFERROR(D1768/G1768*100000,"")</f>
        <v>4.1914190406966343</v>
      </c>
    </row>
    <row r="1769" spans="1:8" ht="15" customHeight="1" x14ac:dyDescent="0.3">
      <c r="A1769" s="20" t="s">
        <v>8</v>
      </c>
      <c r="B1769" s="20">
        <v>2024</v>
      </c>
      <c r="C1769" s="20" t="s">
        <v>101</v>
      </c>
      <c r="D1769" s="20">
        <v>122</v>
      </c>
      <c r="E1769" s="20">
        <v>0</v>
      </c>
      <c r="F1769" s="22">
        <f>IFERROR(E1769/D1769*100,"")</f>
        <v>0</v>
      </c>
      <c r="G1769" s="23">
        <f>IFERROR(INDEX(Population_by_Province_Year!$B$5:$J$29,MATCH($A1769,Population_by_Province_Year!$A$5:$A$29,0),MATCH($B1769,Population_by_Province_Year!$B$4:$J$4,0)),"")</f>
        <v>759734</v>
      </c>
      <c r="H1769" s="22">
        <f>IFERROR(D1769/G1769*100000,"")</f>
        <v>16.058251967135867</v>
      </c>
    </row>
    <row r="1770" spans="1:8" ht="15" customHeight="1" x14ac:dyDescent="0.3">
      <c r="A1770" s="20" t="s">
        <v>9</v>
      </c>
      <c r="B1770" s="20">
        <v>2024</v>
      </c>
      <c r="C1770" s="20" t="s">
        <v>101</v>
      </c>
      <c r="D1770" s="20">
        <v>168</v>
      </c>
      <c r="E1770" s="20">
        <v>0</v>
      </c>
      <c r="F1770" s="22">
        <f>IFERROR(E1770/D1770*100,"")</f>
        <v>0</v>
      </c>
      <c r="G1770" s="23">
        <f>IFERROR(INDEX(Population_by_Province_Year!$B$5:$J$29,MATCH($A1770,Population_by_Province_Year!$A$5:$A$29,0),MATCH($B1770,Population_by_Province_Year!$B$4:$J$4,0)),"")</f>
        <v>661951</v>
      </c>
      <c r="H1770" s="22">
        <f>IFERROR(D1770/G1770*100000,"")</f>
        <v>25.379522049215126</v>
      </c>
    </row>
    <row r="1771" spans="1:8" ht="15" customHeight="1" x14ac:dyDescent="0.3">
      <c r="A1771" s="20" t="s">
        <v>10</v>
      </c>
      <c r="B1771" s="20">
        <v>2024</v>
      </c>
      <c r="C1771" s="20" t="s">
        <v>101</v>
      </c>
      <c r="D1771" s="20">
        <v>123</v>
      </c>
      <c r="E1771" s="20">
        <v>0</v>
      </c>
      <c r="F1771" s="22">
        <f>IFERROR(E1771/D1771*100,"")</f>
        <v>0</v>
      </c>
      <c r="G1771" s="23">
        <f>IFERROR(INDEX(Population_by_Province_Year!$B$5:$J$29,MATCH($A1771,Population_by_Province_Year!$A$5:$A$29,0),MATCH($B1771,Population_by_Province_Year!$B$4:$J$4,0)),"")</f>
        <v>1339422</v>
      </c>
      <c r="H1771" s="22">
        <f>IFERROR(D1771/G1771*100000,"")</f>
        <v>9.1830655312515397</v>
      </c>
    </row>
    <row r="1772" spans="1:8" ht="15" customHeight="1" x14ac:dyDescent="0.3">
      <c r="A1772" s="20" t="s">
        <v>11</v>
      </c>
      <c r="B1772" s="20">
        <v>2024</v>
      </c>
      <c r="C1772" s="20" t="s">
        <v>101</v>
      </c>
      <c r="D1772" s="20">
        <v>11</v>
      </c>
      <c r="E1772" s="20">
        <v>0</v>
      </c>
      <c r="F1772" s="22">
        <f>IFERROR(E1772/D1772*100,"")</f>
        <v>0</v>
      </c>
      <c r="G1772" s="23">
        <f>IFERROR(INDEX(Population_by_Province_Year!$B$5:$J$29,MATCH($A1772,Population_by_Province_Year!$A$5:$A$29,0),MATCH($B1772,Population_by_Province_Year!$B$4:$J$4,0)),"")</f>
        <v>47559</v>
      </c>
      <c r="H1772" s="22">
        <f>IFERROR(D1772/G1772*100000,"")</f>
        <v>23.129165878172376</v>
      </c>
    </row>
    <row r="1773" spans="1:8" ht="15" customHeight="1" x14ac:dyDescent="0.3">
      <c r="A1773" s="20" t="s">
        <v>12</v>
      </c>
      <c r="B1773" s="20">
        <v>2024</v>
      </c>
      <c r="C1773" s="20" t="s">
        <v>101</v>
      </c>
      <c r="D1773" s="20">
        <v>51</v>
      </c>
      <c r="E1773" s="20">
        <v>1</v>
      </c>
      <c r="F1773" s="22">
        <f>IFERROR(E1773/D1773*100,"")</f>
        <v>1.9607843137254901</v>
      </c>
      <c r="G1773" s="23">
        <f>IFERROR(INDEX(Population_by_Province_Year!$B$5:$J$29,MATCH($A1773,Population_by_Province_Year!$A$5:$A$29,0),MATCH($B1773,Population_by_Province_Year!$B$4:$J$4,0)),"")</f>
        <v>140345</v>
      </c>
      <c r="H1773" s="22">
        <f>IFERROR(D1773/G1773*100000,"")</f>
        <v>36.339021696533543</v>
      </c>
    </row>
    <row r="1774" spans="1:8" ht="15" customHeight="1" x14ac:dyDescent="0.3">
      <c r="A1774" s="20" t="s">
        <v>13</v>
      </c>
      <c r="B1774" s="20">
        <v>2024</v>
      </c>
      <c r="C1774" s="20" t="s">
        <v>101</v>
      </c>
      <c r="D1774" s="20">
        <v>158</v>
      </c>
      <c r="E1774" s="20">
        <v>1</v>
      </c>
      <c r="F1774" s="22">
        <f>IFERROR(E1774/D1774*100,"")</f>
        <v>0.63291139240506333</v>
      </c>
      <c r="G1774" s="23">
        <f>IFERROR(INDEX(Population_by_Province_Year!$B$5:$J$29,MATCH($A1774,Population_by_Province_Year!$A$5:$A$29,0),MATCH($B1774,Population_by_Province_Year!$B$4:$J$4,0)),"")</f>
        <v>417746</v>
      </c>
      <c r="H1774" s="22">
        <f>IFERROR(D1774/G1774*100000,"")</f>
        <v>37.822025824304717</v>
      </c>
    </row>
    <row r="1775" spans="1:8" ht="15" customHeight="1" x14ac:dyDescent="0.3">
      <c r="A1775" s="20" t="s">
        <v>14</v>
      </c>
      <c r="B1775" s="20">
        <v>2024</v>
      </c>
      <c r="C1775" s="20" t="s">
        <v>101</v>
      </c>
      <c r="D1775" s="20">
        <v>200</v>
      </c>
      <c r="E1775" s="20">
        <v>0</v>
      </c>
      <c r="F1775" s="22">
        <f>IFERROR(E1775/D1775*100,"")</f>
        <v>0</v>
      </c>
      <c r="G1775" s="23">
        <f>IFERROR(INDEX(Population_by_Province_Year!$B$5:$J$29,MATCH($A1775,Population_by_Province_Year!$A$5:$A$29,0),MATCH($B1775,Population_by_Province_Year!$B$4:$J$4,0)),"")</f>
        <v>102791</v>
      </c>
      <c r="H1775" s="22">
        <f>IFERROR(D1775/G1775*100000,"")</f>
        <v>194.56956348318431</v>
      </c>
    </row>
    <row r="1776" spans="1:8" ht="15" customHeight="1" x14ac:dyDescent="0.3">
      <c r="A1776" s="20" t="s">
        <v>15</v>
      </c>
      <c r="B1776" s="20">
        <v>2024</v>
      </c>
      <c r="C1776" s="20" t="s">
        <v>101</v>
      </c>
      <c r="D1776" s="20">
        <v>13</v>
      </c>
      <c r="E1776" s="20">
        <v>0</v>
      </c>
      <c r="F1776" s="22">
        <f>IFERROR(E1776/D1776*100,"")</f>
        <v>0</v>
      </c>
      <c r="G1776" s="23">
        <f>IFERROR(INDEX(Population_by_Province_Year!$B$5:$J$29,MATCH($A1776,Population_by_Province_Year!$A$5:$A$29,0),MATCH($B1776,Population_by_Province_Year!$B$4:$J$4,0)),"")</f>
        <v>307704</v>
      </c>
      <c r="H1776" s="22">
        <f>IFERROR(D1776/G1776*100000,"")</f>
        <v>4.2248394561006686</v>
      </c>
    </row>
    <row r="1777" spans="1:8" ht="15" customHeight="1" x14ac:dyDescent="0.3">
      <c r="A1777" s="20" t="s">
        <v>16</v>
      </c>
      <c r="B1777" s="20">
        <v>2024</v>
      </c>
      <c r="C1777" s="20" t="s">
        <v>101</v>
      </c>
      <c r="D1777" s="20">
        <v>10</v>
      </c>
      <c r="E1777" s="20">
        <v>0</v>
      </c>
      <c r="F1777" s="22">
        <f>IFERROR(E1777/D1777*100,"")</f>
        <v>0</v>
      </c>
      <c r="G1777" s="23">
        <f>IFERROR(INDEX(Population_by_Province_Year!$B$5:$J$29,MATCH($A1777,Population_by_Province_Year!$A$5:$A$29,0),MATCH($B1777,Population_by_Province_Year!$B$4:$J$4,0)),"")</f>
        <v>83729</v>
      </c>
      <c r="H1777" s="22">
        <f>IFERROR(D1777/G1777*100000,"")</f>
        <v>11.943293243679012</v>
      </c>
    </row>
    <row r="1778" spans="1:8" ht="15" customHeight="1" x14ac:dyDescent="0.3">
      <c r="A1778" s="20" t="s">
        <v>17</v>
      </c>
      <c r="B1778" s="20">
        <v>2024</v>
      </c>
      <c r="C1778" s="20" t="s">
        <v>101</v>
      </c>
      <c r="D1778" s="20">
        <v>261</v>
      </c>
      <c r="E1778" s="20">
        <v>0</v>
      </c>
      <c r="F1778" s="22">
        <f>IFERROR(E1778/D1778*100,"")</f>
        <v>0</v>
      </c>
      <c r="G1778" s="23">
        <f>IFERROR(INDEX(Population_by_Province_Year!$B$5:$J$29,MATCH($A1778,Population_by_Province_Year!$A$5:$A$29,0),MATCH($B1778,Population_by_Province_Year!$B$4:$J$4,0)),"")</f>
        <v>2543729</v>
      </c>
      <c r="H1778" s="22">
        <f>IFERROR(D1778/G1778*100000,"")</f>
        <v>10.260526966512549</v>
      </c>
    </row>
    <row r="1779" spans="1:8" ht="15" customHeight="1" x14ac:dyDescent="0.3">
      <c r="A1779" s="20" t="s">
        <v>18</v>
      </c>
      <c r="B1779" s="20">
        <v>2024</v>
      </c>
      <c r="C1779" s="20" t="s">
        <v>101</v>
      </c>
      <c r="D1779" s="20">
        <v>46</v>
      </c>
      <c r="E1779" s="20">
        <v>0</v>
      </c>
      <c r="F1779" s="22">
        <f>IFERROR(E1779/D1779*100,"")</f>
        <v>0</v>
      </c>
      <c r="G1779" s="23">
        <f>IFERROR(INDEX(Population_by_Province_Year!$B$5:$J$29,MATCH($A1779,Population_by_Province_Year!$A$5:$A$29,0),MATCH($B1779,Population_by_Province_Year!$B$4:$J$4,0)),"")</f>
        <v>345642</v>
      </c>
      <c r="H1779" s="22">
        <f>IFERROR(D1779/G1779*100000,"")</f>
        <v>13.308567824512068</v>
      </c>
    </row>
    <row r="1780" spans="1:8" ht="15" customHeight="1" x14ac:dyDescent="0.3">
      <c r="A1780" s="20" t="s">
        <v>19</v>
      </c>
      <c r="B1780" s="20">
        <v>2024</v>
      </c>
      <c r="C1780" s="20" t="s">
        <v>101</v>
      </c>
      <c r="D1780" s="20">
        <v>12</v>
      </c>
      <c r="E1780" s="20">
        <v>0</v>
      </c>
      <c r="F1780" s="22">
        <f>IFERROR(E1780/D1780*100,"")</f>
        <v>0</v>
      </c>
      <c r="G1780" s="23">
        <f>IFERROR(INDEX(Population_by_Province_Year!$B$5:$J$29,MATCH($A1780,Population_by_Province_Year!$A$5:$A$29,0),MATCH($B1780,Population_by_Province_Year!$B$4:$J$4,0)),"")</f>
        <v>284060</v>
      </c>
      <c r="H1780" s="22">
        <f>IFERROR(D1780/G1780*100000,"")</f>
        <v>4.2244596212067869</v>
      </c>
    </row>
    <row r="1781" spans="1:8" ht="15" customHeight="1" x14ac:dyDescent="0.3">
      <c r="A1781" s="20" t="s">
        <v>20</v>
      </c>
      <c r="B1781" s="20">
        <v>2024</v>
      </c>
      <c r="C1781" s="20" t="s">
        <v>101</v>
      </c>
      <c r="D1781" s="20">
        <v>76</v>
      </c>
      <c r="E1781" s="20">
        <v>0</v>
      </c>
      <c r="F1781" s="22">
        <f>IFERROR(E1781/D1781*100,"")</f>
        <v>0</v>
      </c>
      <c r="G1781" s="23">
        <f>IFERROR(INDEX(Population_by_Province_Year!$B$5:$J$29,MATCH($A1781,Population_by_Province_Year!$A$5:$A$29,0),MATCH($B1781,Population_by_Province_Year!$B$4:$J$4,0)),"")</f>
        <v>1179058</v>
      </c>
      <c r="H1781" s="22">
        <f>IFERROR(D1781/G1781*100000,"")</f>
        <v>6.4458236999367289</v>
      </c>
    </row>
    <row r="1782" spans="1:8" ht="15" customHeight="1" x14ac:dyDescent="0.3">
      <c r="A1782" s="20" t="s">
        <v>21</v>
      </c>
      <c r="B1782" s="20">
        <v>2024</v>
      </c>
      <c r="C1782" s="20" t="s">
        <v>101</v>
      </c>
      <c r="D1782" s="20">
        <v>10</v>
      </c>
      <c r="E1782" s="20">
        <v>0</v>
      </c>
      <c r="F1782" s="22">
        <f>IFERROR(E1782/D1782*100,"")</f>
        <v>0</v>
      </c>
      <c r="G1782" s="23">
        <f>IFERROR(INDEX(Population_by_Province_Year!$B$5:$J$29,MATCH($A1782,Population_by_Province_Year!$A$5:$A$29,0),MATCH($B1782,Population_by_Province_Year!$B$4:$J$4,0)),"")</f>
        <v>468127</v>
      </c>
      <c r="H1782" s="22">
        <f>IFERROR(D1782/G1782*100000,"")</f>
        <v>2.1361724489294569</v>
      </c>
    </row>
    <row r="1783" spans="1:8" ht="15" customHeight="1" x14ac:dyDescent="0.3">
      <c r="A1783" s="20" t="s">
        <v>22</v>
      </c>
      <c r="B1783" s="20">
        <v>2024</v>
      </c>
      <c r="C1783" s="20" t="s">
        <v>101</v>
      </c>
      <c r="D1783" s="20">
        <v>26</v>
      </c>
      <c r="E1783" s="20">
        <v>0</v>
      </c>
      <c r="F1783" s="22">
        <f>IFERROR(E1783/D1783*100,"")</f>
        <v>0</v>
      </c>
      <c r="G1783" s="23">
        <f>IFERROR(INDEX(Population_by_Province_Year!$B$5:$J$29,MATCH($A1783,Population_by_Province_Year!$A$5:$A$29,0),MATCH($B1783,Population_by_Province_Year!$B$4:$J$4,0)),"")</f>
        <v>242398</v>
      </c>
      <c r="H1783" s="22">
        <f>IFERROR(D1783/G1783*100000,"")</f>
        <v>10.726161106939827</v>
      </c>
    </row>
    <row r="1784" spans="1:8" ht="15" customHeight="1" x14ac:dyDescent="0.3">
      <c r="A1784" s="20" t="s">
        <v>23</v>
      </c>
      <c r="B1784" s="20">
        <v>2024</v>
      </c>
      <c r="C1784" s="20" t="s">
        <v>101</v>
      </c>
      <c r="D1784" s="20">
        <v>170</v>
      </c>
      <c r="E1784" s="20">
        <v>1</v>
      </c>
      <c r="F1784" s="22">
        <f>IFERROR(E1784/D1784*100,"")</f>
        <v>0.58823529411764708</v>
      </c>
      <c r="G1784" s="23">
        <f>IFERROR(INDEX(Population_by_Province_Year!$B$5:$J$29,MATCH($A1784,Population_by_Province_Year!$A$5:$A$29,0),MATCH($B1784,Population_by_Province_Year!$B$4:$J$4,0)),"")</f>
        <v>1130583</v>
      </c>
      <c r="H1784" s="22">
        <f>IFERROR(D1784/G1784*100000,"")</f>
        <v>15.03649002328887</v>
      </c>
    </row>
    <row r="1785" spans="1:8" ht="15" customHeight="1" x14ac:dyDescent="0.3">
      <c r="A1785" s="20" t="s">
        <v>24</v>
      </c>
      <c r="B1785" s="20">
        <v>2024</v>
      </c>
      <c r="C1785" s="20" t="s">
        <v>101</v>
      </c>
      <c r="D1785" s="20">
        <v>14</v>
      </c>
      <c r="E1785" s="20">
        <v>0</v>
      </c>
      <c r="F1785" s="22">
        <f>IFERROR(E1785/D1785*100,"")</f>
        <v>0</v>
      </c>
      <c r="G1785" s="23">
        <f>IFERROR(INDEX(Population_by_Province_Year!$B$5:$J$29,MATCH($A1785,Population_by_Province_Year!$A$5:$A$29,0),MATCH($B1785,Population_by_Province_Year!$B$4:$J$4,0)),"")</f>
        <v>184723</v>
      </c>
      <c r="H1785" s="22">
        <f>IFERROR(D1785/G1785*100000,"")</f>
        <v>7.5789154571980744</v>
      </c>
    </row>
    <row r="1786" spans="1:8" ht="15" customHeight="1" x14ac:dyDescent="0.3">
      <c r="A1786" s="20" t="s">
        <v>25</v>
      </c>
      <c r="B1786" s="20">
        <v>2024</v>
      </c>
      <c r="C1786" s="20" t="s">
        <v>101</v>
      </c>
      <c r="D1786" s="20">
        <v>70</v>
      </c>
      <c r="E1786" s="20">
        <v>0</v>
      </c>
      <c r="F1786" s="22">
        <f>IFERROR(E1786/D1786*100,"")</f>
        <v>0</v>
      </c>
      <c r="G1786" s="23">
        <f>IFERROR(INDEX(Population_by_Province_Year!$B$5:$J$29,MATCH($A1786,Population_by_Province_Year!$A$5:$A$29,0),MATCH($B1786,Population_by_Province_Year!$B$4:$J$4,0)),"")</f>
        <v>585780</v>
      </c>
      <c r="H1786" s="22">
        <f>IFERROR(D1786/G1786*100000,"")</f>
        <v>11.949878794086517</v>
      </c>
    </row>
    <row r="1787" spans="1:8" ht="15" customHeight="1" x14ac:dyDescent="0.3">
      <c r="A1787" s="20" t="s">
        <v>26</v>
      </c>
      <c r="B1787" s="20">
        <v>2024</v>
      </c>
      <c r="C1787" s="20" t="s">
        <v>101</v>
      </c>
      <c r="D1787" s="20">
        <v>32</v>
      </c>
      <c r="E1787" s="20">
        <v>0</v>
      </c>
      <c r="F1787" s="22">
        <f>IFERROR(E1787/D1787*100,"")</f>
        <v>0</v>
      </c>
      <c r="G1787" s="23">
        <f>IFERROR(INDEX(Population_by_Province_Year!$B$5:$J$29,MATCH($A1787,Population_by_Province_Year!$A$5:$A$29,0),MATCH($B1787,Population_by_Province_Year!$B$4:$J$4,0)),"")</f>
        <v>1004264</v>
      </c>
      <c r="H1787" s="22">
        <f>IFERROR(D1787/G1787*100000,"")</f>
        <v>3.18641313439494</v>
      </c>
    </row>
    <row r="1788" spans="1:8" ht="15" customHeight="1" x14ac:dyDescent="0.3">
      <c r="A1788" s="20" t="s">
        <v>27</v>
      </c>
      <c r="B1788" s="20">
        <v>2024</v>
      </c>
      <c r="C1788" s="20" t="s">
        <v>101</v>
      </c>
      <c r="D1788" s="20">
        <v>257</v>
      </c>
      <c r="E1788" s="20">
        <v>1</v>
      </c>
      <c r="F1788" s="22">
        <f>IFERROR(E1788/D1788*100,"")</f>
        <v>0.38910505836575876</v>
      </c>
      <c r="G1788" s="23">
        <f>IFERROR(INDEX(Population_by_Province_Year!$B$5:$J$29,MATCH($A1788,Population_by_Province_Year!$A$5:$A$29,0),MATCH($B1788,Population_by_Province_Year!$B$4:$J$4,0)),"")</f>
        <v>865958</v>
      </c>
      <c r="H1788" s="22">
        <f>IFERROR(D1788/G1788*100000,"")</f>
        <v>29.678113719141116</v>
      </c>
    </row>
    <row r="1789" spans="1:8" ht="15" customHeight="1" x14ac:dyDescent="0.3">
      <c r="A1789" s="20" t="s">
        <v>3</v>
      </c>
      <c r="B1789" s="20">
        <v>2024</v>
      </c>
      <c r="C1789" s="20" t="s">
        <v>97</v>
      </c>
      <c r="D1789" s="20">
        <v>83</v>
      </c>
      <c r="E1789" s="20">
        <v>0</v>
      </c>
      <c r="F1789" s="22">
        <f>IFERROR(E1789/D1789*100,"")</f>
        <v>0</v>
      </c>
      <c r="G1789" s="23">
        <f>IFERROR(INDEX(Population_by_Province_Year!$B$5:$J$29,MATCH($A1789,Population_by_Province_Year!$A$5:$A$29,0),MATCH($B1789,Population_by_Province_Year!$B$4:$J$4,0)),"")</f>
        <v>960755</v>
      </c>
      <c r="H1789" s="22">
        <f>IFERROR(D1789/G1789*100000,"")</f>
        <v>8.6390390890497581</v>
      </c>
    </row>
    <row r="1790" spans="1:8" ht="15" customHeight="1" x14ac:dyDescent="0.3">
      <c r="A1790" s="20" t="s">
        <v>4</v>
      </c>
      <c r="B1790" s="20">
        <v>2024</v>
      </c>
      <c r="C1790" s="20" t="s">
        <v>97</v>
      </c>
      <c r="D1790" s="20">
        <v>57</v>
      </c>
      <c r="E1790" s="20">
        <v>0</v>
      </c>
      <c r="F1790" s="22">
        <f>IFERROR(E1790/D1790*100,"")</f>
        <v>0</v>
      </c>
      <c r="G1790" s="23">
        <f>IFERROR(INDEX(Population_by_Province_Year!$B$5:$J$29,MATCH($A1790,Population_by_Province_Year!$A$5:$A$29,0),MATCH($B1790,Population_by_Province_Year!$B$4:$J$4,0)),"")</f>
        <v>1111561</v>
      </c>
      <c r="H1790" s="22">
        <f>IFERROR(D1790/G1790*100000,"")</f>
        <v>5.1279237036923746</v>
      </c>
    </row>
    <row r="1791" spans="1:8" ht="15" customHeight="1" x14ac:dyDescent="0.3">
      <c r="A1791" s="20" t="s">
        <v>5</v>
      </c>
      <c r="B1791" s="20">
        <v>2024</v>
      </c>
      <c r="C1791" s="20" t="s">
        <v>97</v>
      </c>
      <c r="D1791" s="20">
        <v>289</v>
      </c>
      <c r="E1791" s="20">
        <v>2</v>
      </c>
      <c r="F1791" s="22">
        <f>IFERROR(E1791/D1791*100,"")</f>
        <v>0.69204152249134954</v>
      </c>
      <c r="G1791" s="23">
        <f>IFERROR(INDEX(Population_by_Province_Year!$B$5:$J$29,MATCH($A1791,Population_by_Province_Year!$A$5:$A$29,0),MATCH($B1791,Population_by_Province_Year!$B$4:$J$4,0)),"")</f>
        <v>1003012</v>
      </c>
      <c r="H1791" s="22">
        <f>IFERROR(D1791/G1791*100000,"")</f>
        <v>28.813214597631934</v>
      </c>
    </row>
    <row r="1792" spans="1:8" ht="15" customHeight="1" x14ac:dyDescent="0.3">
      <c r="A1792" s="20" t="s">
        <v>6</v>
      </c>
      <c r="B1792" s="20">
        <v>2024</v>
      </c>
      <c r="C1792" s="20" t="s">
        <v>97</v>
      </c>
      <c r="D1792" s="20">
        <v>99</v>
      </c>
      <c r="E1792" s="20">
        <v>0</v>
      </c>
      <c r="F1792" s="22">
        <f>IFERROR(E1792/D1792*100,"")</f>
        <v>0</v>
      </c>
      <c r="G1792" s="23">
        <f>IFERROR(INDEX(Population_by_Province_Year!$B$5:$J$29,MATCH($A1792,Population_by_Province_Year!$A$5:$A$29,0),MATCH($B1792,Population_by_Province_Year!$B$4:$J$4,0)),"")</f>
        <v>587486</v>
      </c>
      <c r="H1792" s="22">
        <f>IFERROR(D1792/G1792*100000,"")</f>
        <v>16.851465396622217</v>
      </c>
    </row>
    <row r="1793" spans="1:8" ht="15" customHeight="1" x14ac:dyDescent="0.3">
      <c r="A1793" s="20" t="s">
        <v>7</v>
      </c>
      <c r="B1793" s="20">
        <v>2024</v>
      </c>
      <c r="C1793" s="20" t="s">
        <v>97</v>
      </c>
      <c r="D1793" s="20">
        <v>82</v>
      </c>
      <c r="E1793" s="20">
        <v>0</v>
      </c>
      <c r="F1793" s="22">
        <f>IFERROR(E1793/D1793*100,"")</f>
        <v>0</v>
      </c>
      <c r="G1793" s="23">
        <f>IFERROR(INDEX(Population_by_Province_Year!$B$5:$J$29,MATCH($A1793,Population_by_Province_Year!$A$5:$A$29,0),MATCH($B1793,Population_by_Province_Year!$B$4:$J$4,0)),"")</f>
        <v>978189</v>
      </c>
      <c r="H1793" s="22">
        <f>IFERROR(D1793/G1793*100000,"")</f>
        <v>8.3828380813932686</v>
      </c>
    </row>
    <row r="1794" spans="1:8" ht="15" customHeight="1" x14ac:dyDescent="0.3">
      <c r="A1794" s="20" t="s">
        <v>8</v>
      </c>
      <c r="B1794" s="20">
        <v>2024</v>
      </c>
      <c r="C1794" s="20" t="s">
        <v>97</v>
      </c>
      <c r="D1794" s="20">
        <v>214</v>
      </c>
      <c r="E1794" s="20">
        <v>1</v>
      </c>
      <c r="F1794" s="22">
        <f>IFERROR(E1794/D1794*100,"")</f>
        <v>0.46728971962616817</v>
      </c>
      <c r="G1794" s="23">
        <f>IFERROR(INDEX(Population_by_Province_Year!$B$5:$J$29,MATCH($A1794,Population_by_Province_Year!$A$5:$A$29,0),MATCH($B1794,Population_by_Province_Year!$B$4:$J$4,0)),"")</f>
        <v>759734</v>
      </c>
      <c r="H1794" s="22">
        <f>IFERROR(D1794/G1794*100000,"")</f>
        <v>28.1677534505498</v>
      </c>
    </row>
    <row r="1795" spans="1:8" ht="15" customHeight="1" x14ac:dyDescent="0.3">
      <c r="A1795" s="20" t="s">
        <v>9</v>
      </c>
      <c r="B1795" s="20">
        <v>2024</v>
      </c>
      <c r="C1795" s="20" t="s">
        <v>97</v>
      </c>
      <c r="D1795" s="20">
        <v>297</v>
      </c>
      <c r="E1795" s="20">
        <v>0</v>
      </c>
      <c r="F1795" s="22">
        <f>IFERROR(E1795/D1795*100,"")</f>
        <v>0</v>
      </c>
      <c r="G1795" s="23">
        <f>IFERROR(INDEX(Population_by_Province_Year!$B$5:$J$29,MATCH($A1795,Population_by_Province_Year!$A$5:$A$29,0),MATCH($B1795,Population_by_Province_Year!$B$4:$J$4,0)),"")</f>
        <v>661951</v>
      </c>
      <c r="H1795" s="22">
        <f>IFERROR(D1795/G1795*100000,"")</f>
        <v>44.867369337005307</v>
      </c>
    </row>
    <row r="1796" spans="1:8" ht="15" customHeight="1" x14ac:dyDescent="0.3">
      <c r="A1796" s="20" t="s">
        <v>10</v>
      </c>
      <c r="B1796" s="20">
        <v>2024</v>
      </c>
      <c r="C1796" s="20" t="s">
        <v>97</v>
      </c>
      <c r="D1796" s="20">
        <v>102</v>
      </c>
      <c r="E1796" s="20">
        <v>0</v>
      </c>
      <c r="F1796" s="22">
        <f>IFERROR(E1796/D1796*100,"")</f>
        <v>0</v>
      </c>
      <c r="G1796" s="23">
        <f>IFERROR(INDEX(Population_by_Province_Year!$B$5:$J$29,MATCH($A1796,Population_by_Province_Year!$A$5:$A$29,0),MATCH($B1796,Population_by_Province_Year!$B$4:$J$4,0)),"")</f>
        <v>1339422</v>
      </c>
      <c r="H1796" s="22">
        <f>IFERROR(D1796/G1796*100000,"")</f>
        <v>7.615225074696399</v>
      </c>
    </row>
    <row r="1797" spans="1:8" ht="15" customHeight="1" x14ac:dyDescent="0.3">
      <c r="A1797" s="20" t="s">
        <v>11</v>
      </c>
      <c r="B1797" s="20">
        <v>2024</v>
      </c>
      <c r="C1797" s="20" t="s">
        <v>97</v>
      </c>
      <c r="D1797" s="20">
        <v>28</v>
      </c>
      <c r="E1797" s="20">
        <v>0</v>
      </c>
      <c r="F1797" s="22">
        <f>IFERROR(E1797/D1797*100,"")</f>
        <v>0</v>
      </c>
      <c r="G1797" s="23">
        <f>IFERROR(INDEX(Population_by_Province_Year!$B$5:$J$29,MATCH($A1797,Population_by_Province_Year!$A$5:$A$29,0),MATCH($B1797,Population_by_Province_Year!$B$4:$J$4,0)),"")</f>
        <v>47559</v>
      </c>
      <c r="H1797" s="22">
        <f>IFERROR(D1797/G1797*100000,"")</f>
        <v>58.87424041716605</v>
      </c>
    </row>
    <row r="1798" spans="1:8" ht="15" customHeight="1" x14ac:dyDescent="0.3">
      <c r="A1798" s="20" t="s">
        <v>12</v>
      </c>
      <c r="B1798" s="20">
        <v>2024</v>
      </c>
      <c r="C1798" s="20" t="s">
        <v>97</v>
      </c>
      <c r="D1798" s="20">
        <v>30</v>
      </c>
      <c r="E1798" s="20">
        <v>0</v>
      </c>
      <c r="F1798" s="22">
        <f>IFERROR(E1798/D1798*100,"")</f>
        <v>0</v>
      </c>
      <c r="G1798" s="23">
        <f>IFERROR(INDEX(Population_by_Province_Year!$B$5:$J$29,MATCH($A1798,Population_by_Province_Year!$A$5:$A$29,0),MATCH($B1798,Population_by_Province_Year!$B$4:$J$4,0)),"")</f>
        <v>140345</v>
      </c>
      <c r="H1798" s="22">
        <f>IFERROR(D1798/G1798*100000,"")</f>
        <v>21.375895115607968</v>
      </c>
    </row>
    <row r="1799" spans="1:8" ht="15" customHeight="1" x14ac:dyDescent="0.3">
      <c r="A1799" s="20" t="s">
        <v>13</v>
      </c>
      <c r="B1799" s="20">
        <v>2024</v>
      </c>
      <c r="C1799" s="20" t="s">
        <v>97</v>
      </c>
      <c r="D1799" s="20">
        <v>298</v>
      </c>
      <c r="E1799" s="20">
        <v>2</v>
      </c>
      <c r="F1799" s="22">
        <f>IFERROR(E1799/D1799*100,"")</f>
        <v>0.67114093959731547</v>
      </c>
      <c r="G1799" s="23">
        <f>IFERROR(INDEX(Population_by_Province_Year!$B$5:$J$29,MATCH($A1799,Population_by_Province_Year!$A$5:$A$29,0),MATCH($B1799,Population_by_Province_Year!$B$4:$J$4,0)),"")</f>
        <v>417746</v>
      </c>
      <c r="H1799" s="22">
        <f>IFERROR(D1799/G1799*100000,"")</f>
        <v>71.335213263562068</v>
      </c>
    </row>
    <row r="1800" spans="1:8" ht="15" customHeight="1" x14ac:dyDescent="0.3">
      <c r="A1800" s="20" t="s">
        <v>14</v>
      </c>
      <c r="B1800" s="20">
        <v>2024</v>
      </c>
      <c r="C1800" s="20" t="s">
        <v>97</v>
      </c>
      <c r="D1800" s="20">
        <v>127</v>
      </c>
      <c r="E1800" s="20">
        <v>0</v>
      </c>
      <c r="F1800" s="22">
        <f>IFERROR(E1800/D1800*100,"")</f>
        <v>0</v>
      </c>
      <c r="G1800" s="23">
        <f>IFERROR(INDEX(Population_by_Province_Year!$B$5:$J$29,MATCH($A1800,Population_by_Province_Year!$A$5:$A$29,0),MATCH($B1800,Population_by_Province_Year!$B$4:$J$4,0)),"")</f>
        <v>102791</v>
      </c>
      <c r="H1800" s="22">
        <f>IFERROR(D1800/G1800*100000,"")</f>
        <v>123.55167281182206</v>
      </c>
    </row>
    <row r="1801" spans="1:8" ht="15" customHeight="1" x14ac:dyDescent="0.3">
      <c r="A1801" s="20" t="s">
        <v>15</v>
      </c>
      <c r="B1801" s="20">
        <v>2024</v>
      </c>
      <c r="C1801" s="20" t="s">
        <v>97</v>
      </c>
      <c r="D1801" s="20">
        <v>74</v>
      </c>
      <c r="E1801" s="20">
        <v>1</v>
      </c>
      <c r="F1801" s="22">
        <f>IFERROR(E1801/D1801*100,"")</f>
        <v>1.3513513513513513</v>
      </c>
      <c r="G1801" s="23">
        <f>IFERROR(INDEX(Population_by_Province_Year!$B$5:$J$29,MATCH($A1801,Population_by_Province_Year!$A$5:$A$29,0),MATCH($B1801,Population_by_Province_Year!$B$4:$J$4,0)),"")</f>
        <v>307704</v>
      </c>
      <c r="H1801" s="22">
        <f>IFERROR(D1801/G1801*100000,"")</f>
        <v>24.049086134726881</v>
      </c>
    </row>
    <row r="1802" spans="1:8" ht="15" customHeight="1" x14ac:dyDescent="0.3">
      <c r="A1802" s="20" t="s">
        <v>16</v>
      </c>
      <c r="B1802" s="20">
        <v>2024</v>
      </c>
      <c r="C1802" s="20" t="s">
        <v>97</v>
      </c>
      <c r="D1802" s="20">
        <v>32</v>
      </c>
      <c r="E1802" s="20">
        <v>0</v>
      </c>
      <c r="F1802" s="22">
        <f>IFERROR(E1802/D1802*100,"")</f>
        <v>0</v>
      </c>
      <c r="G1802" s="23">
        <f>IFERROR(INDEX(Population_by_Province_Year!$B$5:$J$29,MATCH($A1802,Population_by_Province_Year!$A$5:$A$29,0),MATCH($B1802,Population_by_Province_Year!$B$4:$J$4,0)),"")</f>
        <v>83729</v>
      </c>
      <c r="H1802" s="22">
        <f>IFERROR(D1802/G1802*100000,"")</f>
        <v>38.218538379772838</v>
      </c>
    </row>
    <row r="1803" spans="1:8" ht="15" customHeight="1" x14ac:dyDescent="0.3">
      <c r="A1803" s="20" t="s">
        <v>17</v>
      </c>
      <c r="B1803" s="20">
        <v>2024</v>
      </c>
      <c r="C1803" s="20" t="s">
        <v>97</v>
      </c>
      <c r="D1803" s="20">
        <v>228</v>
      </c>
      <c r="E1803" s="20">
        <v>0</v>
      </c>
      <c r="F1803" s="22">
        <f>IFERROR(E1803/D1803*100,"")</f>
        <v>0</v>
      </c>
      <c r="G1803" s="23">
        <f>IFERROR(INDEX(Population_by_Province_Year!$B$5:$J$29,MATCH($A1803,Population_by_Province_Year!$A$5:$A$29,0),MATCH($B1803,Population_by_Province_Year!$B$4:$J$4,0)),"")</f>
        <v>2543729</v>
      </c>
      <c r="H1803" s="22">
        <f>IFERROR(D1803/G1803*100000,"")</f>
        <v>8.963218959252341</v>
      </c>
    </row>
    <row r="1804" spans="1:8" ht="15" customHeight="1" x14ac:dyDescent="0.3">
      <c r="A1804" s="20" t="s">
        <v>18</v>
      </c>
      <c r="B1804" s="20">
        <v>2024</v>
      </c>
      <c r="C1804" s="20" t="s">
        <v>97</v>
      </c>
      <c r="D1804" s="20">
        <v>57</v>
      </c>
      <c r="E1804" s="20">
        <v>0</v>
      </c>
      <c r="F1804" s="22">
        <f>IFERROR(E1804/D1804*100,"")</f>
        <v>0</v>
      </c>
      <c r="G1804" s="23">
        <f>IFERROR(INDEX(Population_by_Province_Year!$B$5:$J$29,MATCH($A1804,Population_by_Province_Year!$A$5:$A$29,0),MATCH($B1804,Population_by_Province_Year!$B$4:$J$4,0)),"")</f>
        <v>345642</v>
      </c>
      <c r="H1804" s="22">
        <f>IFERROR(D1804/G1804*100000,"")</f>
        <v>16.491051434721474</v>
      </c>
    </row>
    <row r="1805" spans="1:8" ht="15" customHeight="1" x14ac:dyDescent="0.3">
      <c r="A1805" s="20" t="s">
        <v>19</v>
      </c>
      <c r="B1805" s="20">
        <v>2024</v>
      </c>
      <c r="C1805" s="20" t="s">
        <v>97</v>
      </c>
      <c r="D1805" s="20">
        <v>31</v>
      </c>
      <c r="E1805" s="20">
        <v>0</v>
      </c>
      <c r="F1805" s="22">
        <f>IFERROR(E1805/D1805*100,"")</f>
        <v>0</v>
      </c>
      <c r="G1805" s="23">
        <f>IFERROR(INDEX(Population_by_Province_Year!$B$5:$J$29,MATCH($A1805,Population_by_Province_Year!$A$5:$A$29,0),MATCH($B1805,Population_by_Province_Year!$B$4:$J$4,0)),"")</f>
        <v>284060</v>
      </c>
      <c r="H1805" s="22">
        <f>IFERROR(D1805/G1805*100000,"")</f>
        <v>10.913187354784201</v>
      </c>
    </row>
    <row r="1806" spans="1:8" ht="15" customHeight="1" x14ac:dyDescent="0.3">
      <c r="A1806" s="20" t="s">
        <v>20</v>
      </c>
      <c r="B1806" s="20">
        <v>2024</v>
      </c>
      <c r="C1806" s="20" t="s">
        <v>97</v>
      </c>
      <c r="D1806" s="20">
        <v>63</v>
      </c>
      <c r="E1806" s="20">
        <v>0</v>
      </c>
      <c r="F1806" s="22">
        <f>IFERROR(E1806/D1806*100,"")</f>
        <v>0</v>
      </c>
      <c r="G1806" s="23">
        <f>IFERROR(INDEX(Population_by_Province_Year!$B$5:$J$29,MATCH($A1806,Population_by_Province_Year!$A$5:$A$29,0),MATCH($B1806,Population_by_Province_Year!$B$4:$J$4,0)),"")</f>
        <v>1179058</v>
      </c>
      <c r="H1806" s="22">
        <f>IFERROR(D1806/G1806*100000,"")</f>
        <v>5.343248593368604</v>
      </c>
    </row>
    <row r="1807" spans="1:8" ht="15" customHeight="1" x14ac:dyDescent="0.3">
      <c r="A1807" s="20" t="s">
        <v>21</v>
      </c>
      <c r="B1807" s="20">
        <v>2024</v>
      </c>
      <c r="C1807" s="20" t="s">
        <v>97</v>
      </c>
      <c r="D1807" s="20">
        <v>34</v>
      </c>
      <c r="E1807" s="20">
        <v>0</v>
      </c>
      <c r="F1807" s="22">
        <f>IFERROR(E1807/D1807*100,"")</f>
        <v>0</v>
      </c>
      <c r="G1807" s="23">
        <f>IFERROR(INDEX(Population_by_Province_Year!$B$5:$J$29,MATCH($A1807,Population_by_Province_Year!$A$5:$A$29,0),MATCH($B1807,Population_by_Province_Year!$B$4:$J$4,0)),"")</f>
        <v>468127</v>
      </c>
      <c r="H1807" s="22">
        <f>IFERROR(D1807/G1807*100000,"")</f>
        <v>7.2629863263601537</v>
      </c>
    </row>
    <row r="1808" spans="1:8" ht="15" customHeight="1" x14ac:dyDescent="0.3">
      <c r="A1808" s="20" t="s">
        <v>22</v>
      </c>
      <c r="B1808" s="20">
        <v>2024</v>
      </c>
      <c r="C1808" s="20" t="s">
        <v>97</v>
      </c>
      <c r="D1808" s="20">
        <v>24</v>
      </c>
      <c r="E1808" s="20">
        <v>0</v>
      </c>
      <c r="F1808" s="22">
        <f>IFERROR(E1808/D1808*100,"")</f>
        <v>0</v>
      </c>
      <c r="G1808" s="23">
        <f>IFERROR(INDEX(Population_by_Province_Year!$B$5:$J$29,MATCH($A1808,Population_by_Province_Year!$A$5:$A$29,0),MATCH($B1808,Population_by_Province_Year!$B$4:$J$4,0)),"")</f>
        <v>242398</v>
      </c>
      <c r="H1808" s="22">
        <f>IFERROR(D1808/G1808*100000,"")</f>
        <v>9.9010717910213781</v>
      </c>
    </row>
    <row r="1809" spans="1:8" ht="15" customHeight="1" x14ac:dyDescent="0.3">
      <c r="A1809" s="20" t="s">
        <v>23</v>
      </c>
      <c r="B1809" s="20">
        <v>2024</v>
      </c>
      <c r="C1809" s="20" t="s">
        <v>97</v>
      </c>
      <c r="D1809" s="20">
        <v>349</v>
      </c>
      <c r="E1809" s="20">
        <v>0</v>
      </c>
      <c r="F1809" s="22">
        <f>IFERROR(E1809/D1809*100,"")</f>
        <v>0</v>
      </c>
      <c r="G1809" s="23">
        <f>IFERROR(INDEX(Population_by_Province_Year!$B$5:$J$29,MATCH($A1809,Population_by_Province_Year!$A$5:$A$29,0),MATCH($B1809,Population_by_Province_Year!$B$4:$J$4,0)),"")</f>
        <v>1130583</v>
      </c>
      <c r="H1809" s="22">
        <f>IFERROR(D1809/G1809*100000,"")</f>
        <v>30.869029518398914</v>
      </c>
    </row>
    <row r="1810" spans="1:8" ht="15" customHeight="1" x14ac:dyDescent="0.3">
      <c r="A1810" s="20" t="s">
        <v>24</v>
      </c>
      <c r="B1810" s="20">
        <v>2024</v>
      </c>
      <c r="C1810" s="20" t="s">
        <v>97</v>
      </c>
      <c r="D1810" s="20">
        <v>32</v>
      </c>
      <c r="E1810" s="20">
        <v>1</v>
      </c>
      <c r="F1810" s="22">
        <f>IFERROR(E1810/D1810*100,"")</f>
        <v>3.125</v>
      </c>
      <c r="G1810" s="23">
        <f>IFERROR(INDEX(Population_by_Province_Year!$B$5:$J$29,MATCH($A1810,Population_by_Province_Year!$A$5:$A$29,0),MATCH($B1810,Population_by_Province_Year!$B$4:$J$4,0)),"")</f>
        <v>184723</v>
      </c>
      <c r="H1810" s="22">
        <f>IFERROR(D1810/G1810*100000,"")</f>
        <v>17.323235330738456</v>
      </c>
    </row>
    <row r="1811" spans="1:8" ht="15" customHeight="1" x14ac:dyDescent="0.3">
      <c r="A1811" s="20" t="s">
        <v>25</v>
      </c>
      <c r="B1811" s="20">
        <v>2024</v>
      </c>
      <c r="C1811" s="20" t="s">
        <v>97</v>
      </c>
      <c r="D1811" s="20">
        <v>69</v>
      </c>
      <c r="E1811" s="20">
        <v>0</v>
      </c>
      <c r="F1811" s="22">
        <f>IFERROR(E1811/D1811*100,"")</f>
        <v>0</v>
      </c>
      <c r="G1811" s="23">
        <f>IFERROR(INDEX(Population_by_Province_Year!$B$5:$J$29,MATCH($A1811,Population_by_Province_Year!$A$5:$A$29,0),MATCH($B1811,Population_by_Province_Year!$B$4:$J$4,0)),"")</f>
        <v>585780</v>
      </c>
      <c r="H1811" s="22">
        <f>IFERROR(D1811/G1811*100000,"")</f>
        <v>11.779166239885281</v>
      </c>
    </row>
    <row r="1812" spans="1:8" ht="15" customHeight="1" x14ac:dyDescent="0.3">
      <c r="A1812" s="20" t="s">
        <v>26</v>
      </c>
      <c r="B1812" s="20">
        <v>2024</v>
      </c>
      <c r="C1812" s="20" t="s">
        <v>97</v>
      </c>
      <c r="D1812" s="20">
        <v>45</v>
      </c>
      <c r="E1812" s="20">
        <v>0</v>
      </c>
      <c r="F1812" s="22">
        <f>IFERROR(E1812/D1812*100,"")</f>
        <v>0</v>
      </c>
      <c r="G1812" s="23">
        <f>IFERROR(INDEX(Population_by_Province_Year!$B$5:$J$29,MATCH($A1812,Population_by_Province_Year!$A$5:$A$29,0),MATCH($B1812,Population_by_Province_Year!$B$4:$J$4,0)),"")</f>
        <v>1004264</v>
      </c>
      <c r="H1812" s="22">
        <f>IFERROR(D1812/G1812*100000,"")</f>
        <v>4.4808934702428838</v>
      </c>
    </row>
    <row r="1813" spans="1:8" ht="15" customHeight="1" x14ac:dyDescent="0.3">
      <c r="A1813" s="20" t="s">
        <v>27</v>
      </c>
      <c r="B1813" s="20">
        <v>2024</v>
      </c>
      <c r="C1813" s="20" t="s">
        <v>97</v>
      </c>
      <c r="D1813" s="20">
        <v>485</v>
      </c>
      <c r="E1813" s="20">
        <v>1</v>
      </c>
      <c r="F1813" s="22">
        <f>IFERROR(E1813/D1813*100,"")</f>
        <v>0.2061855670103093</v>
      </c>
      <c r="G1813" s="23">
        <f>IFERROR(INDEX(Population_by_Province_Year!$B$5:$J$29,MATCH($A1813,Population_by_Province_Year!$A$5:$A$29,0),MATCH($B1813,Population_by_Province_Year!$B$4:$J$4,0)),"")</f>
        <v>865958</v>
      </c>
      <c r="H1813" s="22">
        <f>IFERROR(D1813/G1813*100000,"")</f>
        <v>56.007335228729346</v>
      </c>
    </row>
    <row r="1814" spans="1:8" ht="15" customHeight="1" x14ac:dyDescent="0.3">
      <c r="A1814" s="20" t="s">
        <v>3</v>
      </c>
      <c r="B1814" s="20">
        <v>2024</v>
      </c>
      <c r="C1814" s="20" t="s">
        <v>107</v>
      </c>
      <c r="D1814" s="20">
        <v>89</v>
      </c>
      <c r="E1814" s="20">
        <v>0</v>
      </c>
      <c r="F1814" s="22">
        <f>IFERROR(E1814/D1814*100,"")</f>
        <v>0</v>
      </c>
      <c r="G1814" s="23">
        <f>IFERROR(INDEX(Population_by_Province_Year!$B$5:$J$29,MATCH($A1814,Population_by_Province_Year!$A$5:$A$29,0),MATCH($B1814,Population_by_Province_Year!$B$4:$J$4,0)),"")</f>
        <v>960755</v>
      </c>
      <c r="H1814" s="22">
        <f>IFERROR(D1814/G1814*100000,"")</f>
        <v>9.263547938860583</v>
      </c>
    </row>
    <row r="1815" spans="1:8" ht="15" customHeight="1" x14ac:dyDescent="0.3">
      <c r="A1815" s="20" t="s">
        <v>4</v>
      </c>
      <c r="B1815" s="20">
        <v>2024</v>
      </c>
      <c r="C1815" s="20" t="s">
        <v>107</v>
      </c>
      <c r="D1815" s="20">
        <v>31</v>
      </c>
      <c r="E1815" s="20">
        <v>0</v>
      </c>
      <c r="F1815" s="22">
        <f>IFERROR(E1815/D1815*100,"")</f>
        <v>0</v>
      </c>
      <c r="G1815" s="23">
        <f>IFERROR(INDEX(Population_by_Province_Year!$B$5:$J$29,MATCH($A1815,Population_by_Province_Year!$A$5:$A$29,0),MATCH($B1815,Population_by_Province_Year!$B$4:$J$4,0)),"")</f>
        <v>1111561</v>
      </c>
      <c r="H1815" s="22">
        <f>IFERROR(D1815/G1815*100000,"")</f>
        <v>2.7888707862186597</v>
      </c>
    </row>
    <row r="1816" spans="1:8" ht="15" customHeight="1" x14ac:dyDescent="0.3">
      <c r="A1816" s="20" t="s">
        <v>5</v>
      </c>
      <c r="B1816" s="20">
        <v>2024</v>
      </c>
      <c r="C1816" s="20" t="s">
        <v>107</v>
      </c>
      <c r="D1816" s="20">
        <v>131</v>
      </c>
      <c r="E1816" s="20">
        <v>2</v>
      </c>
      <c r="F1816" s="22">
        <f>IFERROR(E1816/D1816*100,"")</f>
        <v>1.5267175572519083</v>
      </c>
      <c r="G1816" s="23">
        <f>IFERROR(INDEX(Population_by_Province_Year!$B$5:$J$29,MATCH($A1816,Population_by_Province_Year!$A$5:$A$29,0),MATCH($B1816,Population_by_Province_Year!$B$4:$J$4,0)),"")</f>
        <v>1003012</v>
      </c>
      <c r="H1816" s="22">
        <f>IFERROR(D1816/G1816*100000,"")</f>
        <v>13.060661288199942</v>
      </c>
    </row>
    <row r="1817" spans="1:8" ht="15" customHeight="1" x14ac:dyDescent="0.3">
      <c r="A1817" s="20" t="s">
        <v>6</v>
      </c>
      <c r="B1817" s="20">
        <v>2024</v>
      </c>
      <c r="C1817" s="20" t="s">
        <v>107</v>
      </c>
      <c r="D1817" s="20">
        <v>52</v>
      </c>
      <c r="E1817" s="20">
        <v>0</v>
      </c>
      <c r="F1817" s="22">
        <f>IFERROR(E1817/D1817*100,"")</f>
        <v>0</v>
      </c>
      <c r="G1817" s="23">
        <f>IFERROR(INDEX(Population_by_Province_Year!$B$5:$J$29,MATCH($A1817,Population_by_Province_Year!$A$5:$A$29,0),MATCH($B1817,Population_by_Province_Year!$B$4:$J$4,0)),"")</f>
        <v>587486</v>
      </c>
      <c r="H1817" s="22">
        <f>IFERROR(D1817/G1817*100000,"")</f>
        <v>8.8512747537813663</v>
      </c>
    </row>
    <row r="1818" spans="1:8" ht="15" customHeight="1" x14ac:dyDescent="0.3">
      <c r="A1818" s="20" t="s">
        <v>7</v>
      </c>
      <c r="B1818" s="20">
        <v>2024</v>
      </c>
      <c r="C1818" s="20" t="s">
        <v>107</v>
      </c>
      <c r="D1818" s="20">
        <v>51</v>
      </c>
      <c r="E1818" s="20">
        <v>0</v>
      </c>
      <c r="F1818" s="22">
        <f>IFERROR(E1818/D1818*100,"")</f>
        <v>0</v>
      </c>
      <c r="G1818" s="23">
        <f>IFERROR(INDEX(Population_by_Province_Year!$B$5:$J$29,MATCH($A1818,Population_by_Province_Year!$A$5:$A$29,0),MATCH($B1818,Population_by_Province_Year!$B$4:$J$4,0)),"")</f>
        <v>978189</v>
      </c>
      <c r="H1818" s="22">
        <f>IFERROR(D1818/G1818*100000,"")</f>
        <v>5.2137163676958131</v>
      </c>
    </row>
    <row r="1819" spans="1:8" ht="15" customHeight="1" x14ac:dyDescent="0.3">
      <c r="A1819" s="20" t="s">
        <v>8</v>
      </c>
      <c r="B1819" s="20">
        <v>2024</v>
      </c>
      <c r="C1819" s="20" t="s">
        <v>107</v>
      </c>
      <c r="D1819" s="20">
        <v>116</v>
      </c>
      <c r="E1819" s="20">
        <v>0</v>
      </c>
      <c r="F1819" s="22">
        <f>IFERROR(E1819/D1819*100,"")</f>
        <v>0</v>
      </c>
      <c r="G1819" s="23">
        <f>IFERROR(INDEX(Population_by_Province_Year!$B$5:$J$29,MATCH($A1819,Population_by_Province_Year!$A$5:$A$29,0),MATCH($B1819,Population_by_Province_Year!$B$4:$J$4,0)),"")</f>
        <v>759734</v>
      </c>
      <c r="H1819" s="22">
        <f>IFERROR(D1819/G1819*100000,"")</f>
        <v>15.268501870391479</v>
      </c>
    </row>
    <row r="1820" spans="1:8" ht="15" customHeight="1" x14ac:dyDescent="0.3">
      <c r="A1820" s="20" t="s">
        <v>9</v>
      </c>
      <c r="B1820" s="20">
        <v>2024</v>
      </c>
      <c r="C1820" s="20" t="s">
        <v>107</v>
      </c>
      <c r="D1820" s="20">
        <v>217</v>
      </c>
      <c r="E1820" s="20">
        <v>0</v>
      </c>
      <c r="F1820" s="22">
        <f>IFERROR(E1820/D1820*100,"")</f>
        <v>0</v>
      </c>
      <c r="G1820" s="23">
        <f>IFERROR(INDEX(Population_by_Province_Year!$B$5:$J$29,MATCH($A1820,Population_by_Province_Year!$A$5:$A$29,0),MATCH($B1820,Population_by_Province_Year!$B$4:$J$4,0)),"")</f>
        <v>661951</v>
      </c>
      <c r="H1820" s="22">
        <f>IFERROR(D1820/G1820*100000,"")</f>
        <v>32.781882646902872</v>
      </c>
    </row>
    <row r="1821" spans="1:8" ht="15" customHeight="1" x14ac:dyDescent="0.3">
      <c r="A1821" s="20" t="s">
        <v>10</v>
      </c>
      <c r="B1821" s="20">
        <v>2024</v>
      </c>
      <c r="C1821" s="20" t="s">
        <v>107</v>
      </c>
      <c r="D1821" s="20">
        <v>72</v>
      </c>
      <c r="E1821" s="20">
        <v>0</v>
      </c>
      <c r="F1821" s="22">
        <f>IFERROR(E1821/D1821*100,"")</f>
        <v>0</v>
      </c>
      <c r="G1821" s="23">
        <f>IFERROR(INDEX(Population_by_Province_Year!$B$5:$J$29,MATCH($A1821,Population_by_Province_Year!$A$5:$A$29,0),MATCH($B1821,Population_by_Province_Year!$B$4:$J$4,0)),"")</f>
        <v>1339422</v>
      </c>
      <c r="H1821" s="22">
        <f>IFERROR(D1821/G1821*100000,"")</f>
        <v>5.3754529939033402</v>
      </c>
    </row>
    <row r="1822" spans="1:8" ht="15" customHeight="1" x14ac:dyDescent="0.3">
      <c r="A1822" s="20" t="s">
        <v>11</v>
      </c>
      <c r="B1822" s="20">
        <v>2024</v>
      </c>
      <c r="C1822" s="20" t="s">
        <v>107</v>
      </c>
      <c r="D1822" s="20">
        <v>16</v>
      </c>
      <c r="E1822" s="20">
        <v>0</v>
      </c>
      <c r="F1822" s="22">
        <f>IFERROR(E1822/D1822*100,"")</f>
        <v>0</v>
      </c>
      <c r="G1822" s="23">
        <f>IFERROR(INDEX(Population_by_Province_Year!$B$5:$J$29,MATCH($A1822,Population_by_Province_Year!$A$5:$A$29,0),MATCH($B1822,Population_by_Province_Year!$B$4:$J$4,0)),"")</f>
        <v>47559</v>
      </c>
      <c r="H1822" s="22">
        <f>IFERROR(D1822/G1822*100000,"")</f>
        <v>33.642423095523455</v>
      </c>
    </row>
    <row r="1823" spans="1:8" ht="15" customHeight="1" x14ac:dyDescent="0.3">
      <c r="A1823" s="20" t="s">
        <v>12</v>
      </c>
      <c r="B1823" s="20">
        <v>2024</v>
      </c>
      <c r="C1823" s="20" t="s">
        <v>107</v>
      </c>
      <c r="D1823" s="20">
        <v>25</v>
      </c>
      <c r="E1823" s="20">
        <v>0</v>
      </c>
      <c r="F1823" s="22">
        <f>IFERROR(E1823/D1823*100,"")</f>
        <v>0</v>
      </c>
      <c r="G1823" s="23">
        <f>IFERROR(INDEX(Population_by_Province_Year!$B$5:$J$29,MATCH($A1823,Population_by_Province_Year!$A$5:$A$29,0),MATCH($B1823,Population_by_Province_Year!$B$4:$J$4,0)),"")</f>
        <v>140345</v>
      </c>
      <c r="H1823" s="22">
        <f>IFERROR(D1823/G1823*100000,"")</f>
        <v>17.813245929673307</v>
      </c>
    </row>
    <row r="1824" spans="1:8" ht="15" customHeight="1" x14ac:dyDescent="0.3">
      <c r="A1824" s="20" t="s">
        <v>13</v>
      </c>
      <c r="B1824" s="20">
        <v>2024</v>
      </c>
      <c r="C1824" s="20" t="s">
        <v>107</v>
      </c>
      <c r="D1824" s="20">
        <v>123</v>
      </c>
      <c r="E1824" s="20">
        <v>0</v>
      </c>
      <c r="F1824" s="22">
        <f>IFERROR(E1824/D1824*100,"")</f>
        <v>0</v>
      </c>
      <c r="G1824" s="23">
        <f>IFERROR(INDEX(Population_by_Province_Year!$B$5:$J$29,MATCH($A1824,Population_by_Province_Year!$A$5:$A$29,0),MATCH($B1824,Population_by_Province_Year!$B$4:$J$4,0)),"")</f>
        <v>417746</v>
      </c>
      <c r="H1824" s="22">
        <f>IFERROR(D1824/G1824*100000,"")</f>
        <v>29.443728964490386</v>
      </c>
    </row>
    <row r="1825" spans="1:8" ht="15" customHeight="1" x14ac:dyDescent="0.3">
      <c r="A1825" s="20" t="s">
        <v>14</v>
      </c>
      <c r="B1825" s="20">
        <v>2024</v>
      </c>
      <c r="C1825" s="20" t="s">
        <v>107</v>
      </c>
      <c r="D1825" s="20">
        <v>60</v>
      </c>
      <c r="E1825" s="20">
        <v>0</v>
      </c>
      <c r="F1825" s="22">
        <f>IFERROR(E1825/D1825*100,"")</f>
        <v>0</v>
      </c>
      <c r="G1825" s="23">
        <f>IFERROR(INDEX(Population_by_Province_Year!$B$5:$J$29,MATCH($A1825,Population_by_Province_Year!$A$5:$A$29,0),MATCH($B1825,Population_by_Province_Year!$B$4:$J$4,0)),"")</f>
        <v>102791</v>
      </c>
      <c r="H1825" s="22">
        <f>IFERROR(D1825/G1825*100000,"")</f>
        <v>58.370869044955292</v>
      </c>
    </row>
    <row r="1826" spans="1:8" ht="15" customHeight="1" x14ac:dyDescent="0.3">
      <c r="A1826" s="20" t="s">
        <v>15</v>
      </c>
      <c r="B1826" s="20">
        <v>2024</v>
      </c>
      <c r="C1826" s="20" t="s">
        <v>107</v>
      </c>
      <c r="D1826" s="20">
        <v>99</v>
      </c>
      <c r="E1826" s="20">
        <v>0</v>
      </c>
      <c r="F1826" s="22">
        <f>IFERROR(E1826/D1826*100,"")</f>
        <v>0</v>
      </c>
      <c r="G1826" s="23">
        <f>IFERROR(INDEX(Population_by_Province_Year!$B$5:$J$29,MATCH($A1826,Population_by_Province_Year!$A$5:$A$29,0),MATCH($B1826,Population_by_Province_Year!$B$4:$J$4,0)),"")</f>
        <v>307704</v>
      </c>
      <c r="H1826" s="22">
        <f>IFERROR(D1826/G1826*100000,"")</f>
        <v>32.173777396458938</v>
      </c>
    </row>
    <row r="1827" spans="1:8" ht="15" customHeight="1" x14ac:dyDescent="0.3">
      <c r="A1827" s="20" t="s">
        <v>16</v>
      </c>
      <c r="B1827" s="20">
        <v>2024</v>
      </c>
      <c r="C1827" s="20" t="s">
        <v>107</v>
      </c>
      <c r="D1827" s="20">
        <v>27</v>
      </c>
      <c r="E1827" s="20">
        <v>0</v>
      </c>
      <c r="F1827" s="22">
        <f>IFERROR(E1827/D1827*100,"")</f>
        <v>0</v>
      </c>
      <c r="G1827" s="23">
        <f>IFERROR(INDEX(Population_by_Province_Year!$B$5:$J$29,MATCH($A1827,Population_by_Province_Year!$A$5:$A$29,0),MATCH($B1827,Population_by_Province_Year!$B$4:$J$4,0)),"")</f>
        <v>83729</v>
      </c>
      <c r="H1827" s="22">
        <f>IFERROR(D1827/G1827*100000,"")</f>
        <v>32.246891757933334</v>
      </c>
    </row>
    <row r="1828" spans="1:8" ht="15" customHeight="1" x14ac:dyDescent="0.3">
      <c r="A1828" s="20" t="s">
        <v>17</v>
      </c>
      <c r="B1828" s="20">
        <v>2024</v>
      </c>
      <c r="C1828" s="20" t="s">
        <v>107</v>
      </c>
      <c r="D1828" s="20">
        <v>195</v>
      </c>
      <c r="E1828" s="20">
        <v>0</v>
      </c>
      <c r="F1828" s="22">
        <f>IFERROR(E1828/D1828*100,"")</f>
        <v>0</v>
      </c>
      <c r="G1828" s="23">
        <f>IFERROR(INDEX(Population_by_Province_Year!$B$5:$J$29,MATCH($A1828,Population_by_Province_Year!$A$5:$A$29,0),MATCH($B1828,Population_by_Province_Year!$B$4:$J$4,0)),"")</f>
        <v>2543729</v>
      </c>
      <c r="H1828" s="22">
        <f>IFERROR(D1828/G1828*100000,"")</f>
        <v>7.6659109519921342</v>
      </c>
    </row>
    <row r="1829" spans="1:8" ht="15" customHeight="1" x14ac:dyDescent="0.3">
      <c r="A1829" s="20" t="s">
        <v>18</v>
      </c>
      <c r="B1829" s="20">
        <v>2024</v>
      </c>
      <c r="C1829" s="20" t="s">
        <v>107</v>
      </c>
      <c r="D1829" s="20">
        <v>55</v>
      </c>
      <c r="E1829" s="20">
        <v>0</v>
      </c>
      <c r="F1829" s="22">
        <f>IFERROR(E1829/D1829*100,"")</f>
        <v>0</v>
      </c>
      <c r="G1829" s="23">
        <f>IFERROR(INDEX(Population_by_Province_Year!$B$5:$J$29,MATCH($A1829,Population_by_Province_Year!$A$5:$A$29,0),MATCH($B1829,Population_by_Province_Year!$B$4:$J$4,0)),"")</f>
        <v>345642</v>
      </c>
      <c r="H1829" s="22">
        <f>IFERROR(D1829/G1829*100000,"")</f>
        <v>15.912418051047039</v>
      </c>
    </row>
    <row r="1830" spans="1:8" ht="15" customHeight="1" x14ac:dyDescent="0.3">
      <c r="A1830" s="20" t="s">
        <v>19</v>
      </c>
      <c r="B1830" s="20">
        <v>2024</v>
      </c>
      <c r="C1830" s="20" t="s">
        <v>107</v>
      </c>
      <c r="D1830" s="20">
        <v>39</v>
      </c>
      <c r="E1830" s="20">
        <v>0</v>
      </c>
      <c r="F1830" s="22">
        <f>IFERROR(E1830/D1830*100,"")</f>
        <v>0</v>
      </c>
      <c r="G1830" s="23">
        <f>IFERROR(INDEX(Population_by_Province_Year!$B$5:$J$29,MATCH($A1830,Population_by_Province_Year!$A$5:$A$29,0),MATCH($B1830,Population_by_Province_Year!$B$4:$J$4,0)),"")</f>
        <v>284060</v>
      </c>
      <c r="H1830" s="22">
        <f>IFERROR(D1830/G1830*100000,"")</f>
        <v>13.729493768922058</v>
      </c>
    </row>
    <row r="1831" spans="1:8" ht="15" customHeight="1" x14ac:dyDescent="0.3">
      <c r="A1831" s="20" t="s">
        <v>20</v>
      </c>
      <c r="B1831" s="20">
        <v>2024</v>
      </c>
      <c r="C1831" s="20" t="s">
        <v>107</v>
      </c>
      <c r="D1831" s="20">
        <v>32</v>
      </c>
      <c r="E1831" s="20">
        <v>0</v>
      </c>
      <c r="F1831" s="22">
        <f>IFERROR(E1831/D1831*100,"")</f>
        <v>0</v>
      </c>
      <c r="G1831" s="23">
        <f>IFERROR(INDEX(Population_by_Province_Year!$B$5:$J$29,MATCH($A1831,Population_by_Province_Year!$A$5:$A$29,0),MATCH($B1831,Population_by_Province_Year!$B$4:$J$4,0)),"")</f>
        <v>1179058</v>
      </c>
      <c r="H1831" s="22">
        <f>IFERROR(D1831/G1831*100000,"")</f>
        <v>2.7140310315523068</v>
      </c>
    </row>
    <row r="1832" spans="1:8" ht="15" customHeight="1" x14ac:dyDescent="0.3">
      <c r="A1832" s="20" t="s">
        <v>21</v>
      </c>
      <c r="B1832" s="20">
        <v>2024</v>
      </c>
      <c r="C1832" s="20" t="s">
        <v>107</v>
      </c>
      <c r="D1832" s="20">
        <v>32</v>
      </c>
      <c r="E1832" s="20">
        <v>0</v>
      </c>
      <c r="F1832" s="22">
        <f>IFERROR(E1832/D1832*100,"")</f>
        <v>0</v>
      </c>
      <c r="G1832" s="23">
        <f>IFERROR(INDEX(Population_by_Province_Year!$B$5:$J$29,MATCH($A1832,Population_by_Province_Year!$A$5:$A$29,0),MATCH($B1832,Population_by_Province_Year!$B$4:$J$4,0)),"")</f>
        <v>468127</v>
      </c>
      <c r="H1832" s="22">
        <f>IFERROR(D1832/G1832*100000,"")</f>
        <v>6.8357518365742633</v>
      </c>
    </row>
    <row r="1833" spans="1:8" ht="15" customHeight="1" x14ac:dyDescent="0.3">
      <c r="A1833" s="20" t="s">
        <v>22</v>
      </c>
      <c r="B1833" s="20">
        <v>2024</v>
      </c>
      <c r="C1833" s="20" t="s">
        <v>107</v>
      </c>
      <c r="D1833" s="20">
        <v>18</v>
      </c>
      <c r="E1833" s="20">
        <v>0</v>
      </c>
      <c r="F1833" s="22">
        <f>IFERROR(E1833/D1833*100,"")</f>
        <v>0</v>
      </c>
      <c r="G1833" s="23">
        <f>IFERROR(INDEX(Population_by_Province_Year!$B$5:$J$29,MATCH($A1833,Population_by_Province_Year!$A$5:$A$29,0),MATCH($B1833,Population_by_Province_Year!$B$4:$J$4,0)),"")</f>
        <v>242398</v>
      </c>
      <c r="H1833" s="22">
        <f>IFERROR(D1833/G1833*100000,"")</f>
        <v>7.425803843266034</v>
      </c>
    </row>
    <row r="1834" spans="1:8" ht="15" customHeight="1" x14ac:dyDescent="0.3">
      <c r="A1834" s="20" t="s">
        <v>23</v>
      </c>
      <c r="B1834" s="20">
        <v>2024</v>
      </c>
      <c r="C1834" s="20" t="s">
        <v>107</v>
      </c>
      <c r="D1834" s="20">
        <v>332</v>
      </c>
      <c r="E1834" s="20">
        <v>0</v>
      </c>
      <c r="F1834" s="22">
        <f>IFERROR(E1834/D1834*100,"")</f>
        <v>0</v>
      </c>
      <c r="G1834" s="23">
        <f>IFERROR(INDEX(Population_by_Province_Year!$B$5:$J$29,MATCH($A1834,Population_by_Province_Year!$A$5:$A$29,0),MATCH($B1834,Population_by_Province_Year!$B$4:$J$4,0)),"")</f>
        <v>1130583</v>
      </c>
      <c r="H1834" s="22">
        <f>IFERROR(D1834/G1834*100000,"")</f>
        <v>29.365380516070026</v>
      </c>
    </row>
    <row r="1835" spans="1:8" ht="15" customHeight="1" x14ac:dyDescent="0.3">
      <c r="A1835" s="20" t="s">
        <v>24</v>
      </c>
      <c r="B1835" s="20">
        <v>2024</v>
      </c>
      <c r="C1835" s="20" t="s">
        <v>107</v>
      </c>
      <c r="D1835" s="20">
        <v>38</v>
      </c>
      <c r="E1835" s="20">
        <v>1</v>
      </c>
      <c r="F1835" s="22">
        <f>IFERROR(E1835/D1835*100,"")</f>
        <v>2.6315789473684208</v>
      </c>
      <c r="G1835" s="23">
        <f>IFERROR(INDEX(Population_by_Province_Year!$B$5:$J$29,MATCH($A1835,Population_by_Province_Year!$A$5:$A$29,0),MATCH($B1835,Population_by_Province_Year!$B$4:$J$4,0)),"")</f>
        <v>184723</v>
      </c>
      <c r="H1835" s="22">
        <f>IFERROR(D1835/G1835*100000,"")</f>
        <v>20.571341955251917</v>
      </c>
    </row>
    <row r="1836" spans="1:8" ht="15" customHeight="1" x14ac:dyDescent="0.3">
      <c r="A1836" s="20" t="s">
        <v>25</v>
      </c>
      <c r="B1836" s="20">
        <v>2024</v>
      </c>
      <c r="C1836" s="20" t="s">
        <v>107</v>
      </c>
      <c r="D1836" s="20">
        <v>59</v>
      </c>
      <c r="E1836" s="20">
        <v>1</v>
      </c>
      <c r="F1836" s="22">
        <f>IFERROR(E1836/D1836*100,"")</f>
        <v>1.6949152542372881</v>
      </c>
      <c r="G1836" s="23">
        <f>IFERROR(INDEX(Population_by_Province_Year!$B$5:$J$29,MATCH($A1836,Population_by_Province_Year!$A$5:$A$29,0),MATCH($B1836,Population_by_Province_Year!$B$4:$J$4,0)),"")</f>
        <v>585780</v>
      </c>
      <c r="H1836" s="22">
        <f>IFERROR(D1836/G1836*100000,"")</f>
        <v>10.072040697872922</v>
      </c>
    </row>
    <row r="1837" spans="1:8" ht="15" customHeight="1" x14ac:dyDescent="0.3">
      <c r="A1837" s="20" t="s">
        <v>26</v>
      </c>
      <c r="B1837" s="20">
        <v>2024</v>
      </c>
      <c r="C1837" s="20" t="s">
        <v>107</v>
      </c>
      <c r="D1837" s="20">
        <v>22</v>
      </c>
      <c r="E1837" s="20">
        <v>0</v>
      </c>
      <c r="F1837" s="22">
        <f>IFERROR(E1837/D1837*100,"")</f>
        <v>0</v>
      </c>
      <c r="G1837" s="23">
        <f>IFERROR(INDEX(Population_by_Province_Year!$B$5:$J$29,MATCH($A1837,Population_by_Province_Year!$A$5:$A$29,0),MATCH($B1837,Population_by_Province_Year!$B$4:$J$4,0)),"")</f>
        <v>1004264</v>
      </c>
      <c r="H1837" s="22">
        <f>IFERROR(D1837/G1837*100000,"")</f>
        <v>2.1906590298965214</v>
      </c>
    </row>
    <row r="1838" spans="1:8" ht="15" customHeight="1" x14ac:dyDescent="0.3">
      <c r="A1838" s="20" t="s">
        <v>27</v>
      </c>
      <c r="B1838" s="20">
        <v>2024</v>
      </c>
      <c r="C1838" s="20" t="s">
        <v>107</v>
      </c>
      <c r="D1838" s="20">
        <v>224</v>
      </c>
      <c r="E1838" s="20">
        <v>0</v>
      </c>
      <c r="F1838" s="22">
        <f>IFERROR(E1838/D1838*100,"")</f>
        <v>0</v>
      </c>
      <c r="G1838" s="23">
        <f>IFERROR(INDEX(Population_by_Province_Year!$B$5:$J$29,MATCH($A1838,Population_by_Province_Year!$A$5:$A$29,0),MATCH($B1838,Population_by_Province_Year!$B$4:$J$4,0)),"")</f>
        <v>865958</v>
      </c>
      <c r="H1838" s="22">
        <f>IFERROR(D1838/G1838*100000,"")</f>
        <v>25.867305342753344</v>
      </c>
    </row>
    <row r="1839" spans="1:8" ht="15" customHeight="1" x14ac:dyDescent="0.3">
      <c r="A1839" s="20" t="s">
        <v>3</v>
      </c>
      <c r="B1839" s="20">
        <v>2024</v>
      </c>
      <c r="C1839" s="20" t="s">
        <v>106</v>
      </c>
      <c r="D1839" s="20">
        <v>99</v>
      </c>
      <c r="E1839" s="20">
        <v>0</v>
      </c>
      <c r="F1839" s="22">
        <f>IFERROR(E1839/D1839*100,"")</f>
        <v>0</v>
      </c>
      <c r="G1839" s="23">
        <f>IFERROR(INDEX(Population_by_Province_Year!$B$5:$J$29,MATCH($A1839,Population_by_Province_Year!$A$5:$A$29,0),MATCH($B1839,Population_by_Province_Year!$B$4:$J$4,0)),"")</f>
        <v>960755</v>
      </c>
      <c r="H1839" s="22">
        <f>IFERROR(D1839/G1839*100000,"")</f>
        <v>10.304396021878626</v>
      </c>
    </row>
    <row r="1840" spans="1:8" ht="15" customHeight="1" x14ac:dyDescent="0.3">
      <c r="A1840" s="20" t="s">
        <v>4</v>
      </c>
      <c r="B1840" s="20">
        <v>2024</v>
      </c>
      <c r="C1840" s="20" t="s">
        <v>106</v>
      </c>
      <c r="D1840" s="20">
        <v>44</v>
      </c>
      <c r="E1840" s="20">
        <v>0</v>
      </c>
      <c r="F1840" s="22">
        <f>IFERROR(E1840/D1840*100,"")</f>
        <v>0</v>
      </c>
      <c r="G1840" s="23">
        <f>IFERROR(INDEX(Population_by_Province_Year!$B$5:$J$29,MATCH($A1840,Population_by_Province_Year!$A$5:$A$29,0),MATCH($B1840,Population_by_Province_Year!$B$4:$J$4,0)),"")</f>
        <v>1111561</v>
      </c>
      <c r="H1840" s="22">
        <f>IFERROR(D1840/G1840*100000,"")</f>
        <v>3.9583972449555178</v>
      </c>
    </row>
    <row r="1841" spans="1:8" ht="15" customHeight="1" x14ac:dyDescent="0.3">
      <c r="A1841" s="20" t="s">
        <v>5</v>
      </c>
      <c r="B1841" s="20">
        <v>2024</v>
      </c>
      <c r="C1841" s="20" t="s">
        <v>106</v>
      </c>
      <c r="D1841" s="20">
        <v>148</v>
      </c>
      <c r="E1841" s="20">
        <v>0</v>
      </c>
      <c r="F1841" s="22">
        <f>IFERROR(E1841/D1841*100,"")</f>
        <v>0</v>
      </c>
      <c r="G1841" s="23">
        <f>IFERROR(INDEX(Population_by_Province_Year!$B$5:$J$29,MATCH($A1841,Population_by_Province_Year!$A$5:$A$29,0),MATCH($B1841,Population_by_Province_Year!$B$4:$J$4,0)),"")</f>
        <v>1003012</v>
      </c>
      <c r="H1841" s="22">
        <f>IFERROR(D1841/G1841*100000,"")</f>
        <v>14.755556264531231</v>
      </c>
    </row>
    <row r="1842" spans="1:8" ht="15" customHeight="1" x14ac:dyDescent="0.3">
      <c r="A1842" s="20" t="s">
        <v>6</v>
      </c>
      <c r="B1842" s="20">
        <v>2024</v>
      </c>
      <c r="C1842" s="20" t="s">
        <v>106</v>
      </c>
      <c r="D1842" s="20">
        <v>39</v>
      </c>
      <c r="E1842" s="20">
        <v>0</v>
      </c>
      <c r="F1842" s="22">
        <f>IFERROR(E1842/D1842*100,"")</f>
        <v>0</v>
      </c>
      <c r="G1842" s="23">
        <f>IFERROR(INDEX(Population_by_Province_Year!$B$5:$J$29,MATCH($A1842,Population_by_Province_Year!$A$5:$A$29,0),MATCH($B1842,Population_by_Province_Year!$B$4:$J$4,0)),"")</f>
        <v>587486</v>
      </c>
      <c r="H1842" s="22">
        <f>IFERROR(D1842/G1842*100000,"")</f>
        <v>6.6384560653360252</v>
      </c>
    </row>
    <row r="1843" spans="1:8" ht="15" customHeight="1" x14ac:dyDescent="0.3">
      <c r="A1843" s="20" t="s">
        <v>7</v>
      </c>
      <c r="B1843" s="20">
        <v>2024</v>
      </c>
      <c r="C1843" s="20" t="s">
        <v>106</v>
      </c>
      <c r="D1843" s="20">
        <v>62</v>
      </c>
      <c r="E1843" s="20">
        <v>0</v>
      </c>
      <c r="F1843" s="22">
        <f>IFERROR(E1843/D1843*100,"")</f>
        <v>0</v>
      </c>
      <c r="G1843" s="23">
        <f>IFERROR(INDEX(Population_by_Province_Year!$B$5:$J$29,MATCH($A1843,Population_by_Province_Year!$A$5:$A$29,0),MATCH($B1843,Population_by_Province_Year!$B$4:$J$4,0)),"")</f>
        <v>978189</v>
      </c>
      <c r="H1843" s="22">
        <f>IFERROR(D1843/G1843*100000,"")</f>
        <v>6.33824342739491</v>
      </c>
    </row>
    <row r="1844" spans="1:8" ht="15" customHeight="1" x14ac:dyDescent="0.3">
      <c r="A1844" s="20" t="s">
        <v>8</v>
      </c>
      <c r="B1844" s="20">
        <v>2024</v>
      </c>
      <c r="C1844" s="20" t="s">
        <v>106</v>
      </c>
      <c r="D1844" s="20">
        <v>102</v>
      </c>
      <c r="E1844" s="20">
        <v>0</v>
      </c>
      <c r="F1844" s="22">
        <f>IFERROR(E1844/D1844*100,"")</f>
        <v>0</v>
      </c>
      <c r="G1844" s="23">
        <f>IFERROR(INDEX(Population_by_Province_Year!$B$5:$J$29,MATCH($A1844,Population_by_Province_Year!$A$5:$A$29,0),MATCH($B1844,Population_by_Province_Year!$B$4:$J$4,0)),"")</f>
        <v>759734</v>
      </c>
      <c r="H1844" s="22">
        <f>IFERROR(D1844/G1844*100000,"")</f>
        <v>13.425751644654575</v>
      </c>
    </row>
    <row r="1845" spans="1:8" ht="15" customHeight="1" x14ac:dyDescent="0.3">
      <c r="A1845" s="20" t="s">
        <v>9</v>
      </c>
      <c r="B1845" s="20">
        <v>2024</v>
      </c>
      <c r="C1845" s="20" t="s">
        <v>106</v>
      </c>
      <c r="D1845" s="20">
        <v>158</v>
      </c>
      <c r="E1845" s="20">
        <v>0</v>
      </c>
      <c r="F1845" s="22">
        <f>IFERROR(E1845/D1845*100,"")</f>
        <v>0</v>
      </c>
      <c r="G1845" s="23">
        <f>IFERROR(INDEX(Population_by_Province_Year!$B$5:$J$29,MATCH($A1845,Population_by_Province_Year!$A$5:$A$29,0),MATCH($B1845,Population_by_Province_Year!$B$4:$J$4,0)),"")</f>
        <v>661951</v>
      </c>
      <c r="H1845" s="22">
        <f>IFERROR(D1845/G1845*100000,"")</f>
        <v>23.868836212952317</v>
      </c>
    </row>
    <row r="1846" spans="1:8" ht="15" customHeight="1" x14ac:dyDescent="0.3">
      <c r="A1846" s="20" t="s">
        <v>10</v>
      </c>
      <c r="B1846" s="20">
        <v>2024</v>
      </c>
      <c r="C1846" s="20" t="s">
        <v>106</v>
      </c>
      <c r="D1846" s="20">
        <v>74</v>
      </c>
      <c r="E1846" s="20">
        <v>0</v>
      </c>
      <c r="F1846" s="22">
        <f>IFERROR(E1846/D1846*100,"")</f>
        <v>0</v>
      </c>
      <c r="G1846" s="23">
        <f>IFERROR(INDEX(Population_by_Province_Year!$B$5:$J$29,MATCH($A1846,Population_by_Province_Year!$A$5:$A$29,0),MATCH($B1846,Population_by_Province_Year!$B$4:$J$4,0)),"")</f>
        <v>1339422</v>
      </c>
      <c r="H1846" s="22">
        <f>IFERROR(D1846/G1846*100000,"")</f>
        <v>5.5247711326228774</v>
      </c>
    </row>
    <row r="1847" spans="1:8" ht="15" customHeight="1" x14ac:dyDescent="0.3">
      <c r="A1847" s="20" t="s">
        <v>11</v>
      </c>
      <c r="B1847" s="20">
        <v>2024</v>
      </c>
      <c r="C1847" s="20" t="s">
        <v>106</v>
      </c>
      <c r="D1847" s="20">
        <v>20</v>
      </c>
      <c r="E1847" s="20">
        <v>0</v>
      </c>
      <c r="F1847" s="22">
        <f>IFERROR(E1847/D1847*100,"")</f>
        <v>0</v>
      </c>
      <c r="G1847" s="23">
        <f>IFERROR(INDEX(Population_by_Province_Year!$B$5:$J$29,MATCH($A1847,Population_by_Province_Year!$A$5:$A$29,0),MATCH($B1847,Population_by_Province_Year!$B$4:$J$4,0)),"")</f>
        <v>47559</v>
      </c>
      <c r="H1847" s="22">
        <f>IFERROR(D1847/G1847*100000,"")</f>
        <v>42.053028869404315</v>
      </c>
    </row>
    <row r="1848" spans="1:8" ht="15" customHeight="1" x14ac:dyDescent="0.3">
      <c r="A1848" s="20" t="s">
        <v>12</v>
      </c>
      <c r="B1848" s="20">
        <v>2024</v>
      </c>
      <c r="C1848" s="20" t="s">
        <v>106</v>
      </c>
      <c r="D1848" s="20">
        <v>22</v>
      </c>
      <c r="E1848" s="20">
        <v>0</v>
      </c>
      <c r="F1848" s="22">
        <f>IFERROR(E1848/D1848*100,"")</f>
        <v>0</v>
      </c>
      <c r="G1848" s="23">
        <f>IFERROR(INDEX(Population_by_Province_Year!$B$5:$J$29,MATCH($A1848,Population_by_Province_Year!$A$5:$A$29,0),MATCH($B1848,Population_by_Province_Year!$B$4:$J$4,0)),"")</f>
        <v>140345</v>
      </c>
      <c r="H1848" s="22">
        <f>IFERROR(D1848/G1848*100000,"")</f>
        <v>15.675656418112508</v>
      </c>
    </row>
    <row r="1849" spans="1:8" ht="15" customHeight="1" x14ac:dyDescent="0.3">
      <c r="A1849" s="20" t="s">
        <v>13</v>
      </c>
      <c r="B1849" s="20">
        <v>2024</v>
      </c>
      <c r="C1849" s="20" t="s">
        <v>106</v>
      </c>
      <c r="D1849" s="20">
        <v>114</v>
      </c>
      <c r="E1849" s="20">
        <v>0</v>
      </c>
      <c r="F1849" s="22">
        <f>IFERROR(E1849/D1849*100,"")</f>
        <v>0</v>
      </c>
      <c r="G1849" s="23">
        <f>IFERROR(INDEX(Population_by_Province_Year!$B$5:$J$29,MATCH($A1849,Population_by_Province_Year!$A$5:$A$29,0),MATCH($B1849,Population_by_Province_Year!$B$4:$J$4,0)),"")</f>
        <v>417746</v>
      </c>
      <c r="H1849" s="22">
        <f>IFERROR(D1849/G1849*100000,"")</f>
        <v>27.289309771966696</v>
      </c>
    </row>
    <row r="1850" spans="1:8" ht="15" customHeight="1" x14ac:dyDescent="0.3">
      <c r="A1850" s="20" t="s">
        <v>14</v>
      </c>
      <c r="B1850" s="20">
        <v>2024</v>
      </c>
      <c r="C1850" s="20" t="s">
        <v>106</v>
      </c>
      <c r="D1850" s="20">
        <v>21</v>
      </c>
      <c r="E1850" s="20">
        <v>0</v>
      </c>
      <c r="F1850" s="22">
        <f>IFERROR(E1850/D1850*100,"")</f>
        <v>0</v>
      </c>
      <c r="G1850" s="23">
        <f>IFERROR(INDEX(Population_by_Province_Year!$B$5:$J$29,MATCH($A1850,Population_by_Province_Year!$A$5:$A$29,0),MATCH($B1850,Population_by_Province_Year!$B$4:$J$4,0)),"")</f>
        <v>102791</v>
      </c>
      <c r="H1850" s="22">
        <f>IFERROR(D1850/G1850*100000,"")</f>
        <v>20.429804165734353</v>
      </c>
    </row>
    <row r="1851" spans="1:8" ht="15" customHeight="1" x14ac:dyDescent="0.3">
      <c r="A1851" s="20" t="s">
        <v>15</v>
      </c>
      <c r="B1851" s="20">
        <v>2024</v>
      </c>
      <c r="C1851" s="20" t="s">
        <v>106</v>
      </c>
      <c r="D1851" s="20">
        <v>67</v>
      </c>
      <c r="E1851" s="20">
        <v>0</v>
      </c>
      <c r="F1851" s="22">
        <f>IFERROR(E1851/D1851*100,"")</f>
        <v>0</v>
      </c>
      <c r="G1851" s="23">
        <f>IFERROR(INDEX(Population_by_Province_Year!$B$5:$J$29,MATCH($A1851,Population_by_Province_Year!$A$5:$A$29,0),MATCH($B1851,Population_by_Province_Year!$B$4:$J$4,0)),"")</f>
        <v>307704</v>
      </c>
      <c r="H1851" s="22">
        <f>IFERROR(D1851/G1851*100000,"")</f>
        <v>21.774172581441903</v>
      </c>
    </row>
    <row r="1852" spans="1:8" ht="15" customHeight="1" x14ac:dyDescent="0.3">
      <c r="A1852" s="20" t="s">
        <v>16</v>
      </c>
      <c r="B1852" s="20">
        <v>2024</v>
      </c>
      <c r="C1852" s="20" t="s">
        <v>106</v>
      </c>
      <c r="D1852" s="20">
        <v>54</v>
      </c>
      <c r="E1852" s="20">
        <v>0</v>
      </c>
      <c r="F1852" s="22">
        <f>IFERROR(E1852/D1852*100,"")</f>
        <v>0</v>
      </c>
      <c r="G1852" s="23">
        <f>IFERROR(INDEX(Population_by_Province_Year!$B$5:$J$29,MATCH($A1852,Population_by_Province_Year!$A$5:$A$29,0),MATCH($B1852,Population_by_Province_Year!$B$4:$J$4,0)),"")</f>
        <v>83729</v>
      </c>
      <c r="H1852" s="22">
        <f>IFERROR(D1852/G1852*100000,"")</f>
        <v>64.493783515866667</v>
      </c>
    </row>
    <row r="1853" spans="1:8" ht="15" customHeight="1" x14ac:dyDescent="0.3">
      <c r="A1853" s="20" t="s">
        <v>17</v>
      </c>
      <c r="B1853" s="20">
        <v>2024</v>
      </c>
      <c r="C1853" s="20" t="s">
        <v>106</v>
      </c>
      <c r="D1853" s="20">
        <v>201</v>
      </c>
      <c r="E1853" s="20">
        <v>0</v>
      </c>
      <c r="F1853" s="22">
        <f>IFERROR(E1853/D1853*100,"")</f>
        <v>0</v>
      </c>
      <c r="G1853" s="23">
        <f>IFERROR(INDEX(Population_by_Province_Year!$B$5:$J$29,MATCH($A1853,Population_by_Province_Year!$A$5:$A$29,0),MATCH($B1853,Population_by_Province_Year!$B$4:$J$4,0)),"")</f>
        <v>2543729</v>
      </c>
      <c r="H1853" s="22">
        <f>IFERROR(D1853/G1853*100000,"")</f>
        <v>7.9017851351303534</v>
      </c>
    </row>
    <row r="1854" spans="1:8" ht="15" customHeight="1" x14ac:dyDescent="0.3">
      <c r="A1854" s="20" t="s">
        <v>18</v>
      </c>
      <c r="B1854" s="20">
        <v>2024</v>
      </c>
      <c r="C1854" s="20" t="s">
        <v>106</v>
      </c>
      <c r="D1854" s="20">
        <v>33</v>
      </c>
      <c r="E1854" s="20">
        <v>0</v>
      </c>
      <c r="F1854" s="22">
        <f>IFERROR(E1854/D1854*100,"")</f>
        <v>0</v>
      </c>
      <c r="G1854" s="23">
        <f>IFERROR(INDEX(Population_by_Province_Year!$B$5:$J$29,MATCH($A1854,Population_by_Province_Year!$A$5:$A$29,0),MATCH($B1854,Population_by_Province_Year!$B$4:$J$4,0)),"")</f>
        <v>345642</v>
      </c>
      <c r="H1854" s="22">
        <f>IFERROR(D1854/G1854*100000,"")</f>
        <v>9.5474508306282218</v>
      </c>
    </row>
    <row r="1855" spans="1:8" ht="15" customHeight="1" x14ac:dyDescent="0.3">
      <c r="A1855" s="20" t="s">
        <v>19</v>
      </c>
      <c r="B1855" s="20">
        <v>2024</v>
      </c>
      <c r="C1855" s="20" t="s">
        <v>106</v>
      </c>
      <c r="D1855" s="20">
        <v>48</v>
      </c>
      <c r="E1855" s="20">
        <v>0</v>
      </c>
      <c r="F1855" s="22">
        <f>IFERROR(E1855/D1855*100,"")</f>
        <v>0</v>
      </c>
      <c r="G1855" s="23">
        <f>IFERROR(INDEX(Population_by_Province_Year!$B$5:$J$29,MATCH($A1855,Population_by_Province_Year!$A$5:$A$29,0),MATCH($B1855,Population_by_Province_Year!$B$4:$J$4,0)),"")</f>
        <v>284060</v>
      </c>
      <c r="H1855" s="22">
        <f>IFERROR(D1855/G1855*100000,"")</f>
        <v>16.897838484827147</v>
      </c>
    </row>
    <row r="1856" spans="1:8" ht="15" customHeight="1" x14ac:dyDescent="0.3">
      <c r="A1856" s="20" t="s">
        <v>20</v>
      </c>
      <c r="B1856" s="20">
        <v>2024</v>
      </c>
      <c r="C1856" s="20" t="s">
        <v>106</v>
      </c>
      <c r="D1856" s="20">
        <v>30</v>
      </c>
      <c r="E1856" s="20">
        <v>0</v>
      </c>
      <c r="F1856" s="22">
        <f>IFERROR(E1856/D1856*100,"")</f>
        <v>0</v>
      </c>
      <c r="G1856" s="23">
        <f>IFERROR(INDEX(Population_by_Province_Year!$B$5:$J$29,MATCH($A1856,Population_by_Province_Year!$A$5:$A$29,0),MATCH($B1856,Population_by_Province_Year!$B$4:$J$4,0)),"")</f>
        <v>1179058</v>
      </c>
      <c r="H1856" s="22">
        <f>IFERROR(D1856/G1856*100000,"")</f>
        <v>2.5444040920802879</v>
      </c>
    </row>
    <row r="1857" spans="1:8" ht="15" customHeight="1" x14ac:dyDescent="0.3">
      <c r="A1857" s="20" t="s">
        <v>21</v>
      </c>
      <c r="B1857" s="20">
        <v>2024</v>
      </c>
      <c r="C1857" s="20" t="s">
        <v>106</v>
      </c>
      <c r="D1857" s="20">
        <v>23</v>
      </c>
      <c r="E1857" s="20">
        <v>0</v>
      </c>
      <c r="F1857" s="22">
        <f>IFERROR(E1857/D1857*100,"")</f>
        <v>0</v>
      </c>
      <c r="G1857" s="23">
        <f>IFERROR(INDEX(Population_by_Province_Year!$B$5:$J$29,MATCH($A1857,Population_by_Province_Year!$A$5:$A$29,0),MATCH($B1857,Population_by_Province_Year!$B$4:$J$4,0)),"")</f>
        <v>468127</v>
      </c>
      <c r="H1857" s="22">
        <f>IFERROR(D1857/G1857*100000,"")</f>
        <v>4.9131966325377512</v>
      </c>
    </row>
    <row r="1858" spans="1:8" ht="15" customHeight="1" x14ac:dyDescent="0.3">
      <c r="A1858" s="20" t="s">
        <v>22</v>
      </c>
      <c r="B1858" s="20">
        <v>2024</v>
      </c>
      <c r="C1858" s="20" t="s">
        <v>106</v>
      </c>
      <c r="D1858" s="20">
        <v>9</v>
      </c>
      <c r="E1858" s="20">
        <v>0</v>
      </c>
      <c r="F1858" s="22">
        <f>IFERROR(E1858/D1858*100,"")</f>
        <v>0</v>
      </c>
      <c r="G1858" s="23">
        <f>IFERROR(INDEX(Population_by_Province_Year!$B$5:$J$29,MATCH($A1858,Population_by_Province_Year!$A$5:$A$29,0),MATCH($B1858,Population_by_Province_Year!$B$4:$J$4,0)),"")</f>
        <v>242398</v>
      </c>
      <c r="H1858" s="22">
        <f>IFERROR(D1858/G1858*100000,"")</f>
        <v>3.712901921633017</v>
      </c>
    </row>
    <row r="1859" spans="1:8" ht="15" customHeight="1" x14ac:dyDescent="0.3">
      <c r="A1859" s="20" t="s">
        <v>23</v>
      </c>
      <c r="B1859" s="20">
        <v>2024</v>
      </c>
      <c r="C1859" s="20" t="s">
        <v>106</v>
      </c>
      <c r="D1859" s="20">
        <v>204</v>
      </c>
      <c r="E1859" s="20">
        <v>0</v>
      </c>
      <c r="F1859" s="22">
        <f>IFERROR(E1859/D1859*100,"")</f>
        <v>0</v>
      </c>
      <c r="G1859" s="23">
        <f>IFERROR(INDEX(Population_by_Province_Year!$B$5:$J$29,MATCH($A1859,Population_by_Province_Year!$A$5:$A$29,0),MATCH($B1859,Population_by_Province_Year!$B$4:$J$4,0)),"")</f>
        <v>1130583</v>
      </c>
      <c r="H1859" s="22">
        <f>IFERROR(D1859/G1859*100000,"")</f>
        <v>18.043788027946643</v>
      </c>
    </row>
    <row r="1860" spans="1:8" ht="15" customHeight="1" x14ac:dyDescent="0.3">
      <c r="A1860" s="20" t="s">
        <v>24</v>
      </c>
      <c r="B1860" s="20">
        <v>2024</v>
      </c>
      <c r="C1860" s="20" t="s">
        <v>106</v>
      </c>
      <c r="D1860" s="20">
        <v>24</v>
      </c>
      <c r="E1860" s="20">
        <v>0</v>
      </c>
      <c r="F1860" s="22">
        <f>IFERROR(E1860/D1860*100,"")</f>
        <v>0</v>
      </c>
      <c r="G1860" s="23">
        <f>IFERROR(INDEX(Population_by_Province_Year!$B$5:$J$29,MATCH($A1860,Population_by_Province_Year!$A$5:$A$29,0),MATCH($B1860,Population_by_Province_Year!$B$4:$J$4,0)),"")</f>
        <v>184723</v>
      </c>
      <c r="H1860" s="22">
        <f>IFERROR(D1860/G1860*100000,"")</f>
        <v>12.992426498053842</v>
      </c>
    </row>
    <row r="1861" spans="1:8" ht="15" customHeight="1" x14ac:dyDescent="0.3">
      <c r="A1861" s="20" t="s">
        <v>25</v>
      </c>
      <c r="B1861" s="20">
        <v>2024</v>
      </c>
      <c r="C1861" s="20" t="s">
        <v>106</v>
      </c>
      <c r="D1861" s="20">
        <v>25</v>
      </c>
      <c r="E1861" s="20">
        <v>0</v>
      </c>
      <c r="F1861" s="22">
        <f>IFERROR(E1861/D1861*100,"")</f>
        <v>0</v>
      </c>
      <c r="G1861" s="23">
        <f>IFERROR(INDEX(Population_by_Province_Year!$B$5:$J$29,MATCH($A1861,Population_by_Province_Year!$A$5:$A$29,0),MATCH($B1861,Population_by_Province_Year!$B$4:$J$4,0)),"")</f>
        <v>585780</v>
      </c>
      <c r="H1861" s="22">
        <f>IFERROR(D1861/G1861*100000,"")</f>
        <v>4.2678138550308988</v>
      </c>
    </row>
    <row r="1862" spans="1:8" ht="15" customHeight="1" x14ac:dyDescent="0.3">
      <c r="A1862" s="20" t="s">
        <v>26</v>
      </c>
      <c r="B1862" s="20">
        <v>2024</v>
      </c>
      <c r="C1862" s="20" t="s">
        <v>106</v>
      </c>
      <c r="D1862" s="20">
        <v>33</v>
      </c>
      <c r="E1862" s="20">
        <v>0</v>
      </c>
      <c r="F1862" s="22">
        <f>IFERROR(E1862/D1862*100,"")</f>
        <v>0</v>
      </c>
      <c r="G1862" s="23">
        <f>IFERROR(INDEX(Population_by_Province_Year!$B$5:$J$29,MATCH($A1862,Population_by_Province_Year!$A$5:$A$29,0),MATCH($B1862,Population_by_Province_Year!$B$4:$J$4,0)),"")</f>
        <v>1004264</v>
      </c>
      <c r="H1862" s="22">
        <f>IFERROR(D1862/G1862*100000,"")</f>
        <v>3.2859885448447819</v>
      </c>
    </row>
    <row r="1863" spans="1:8" ht="15" customHeight="1" x14ac:dyDescent="0.3">
      <c r="A1863" s="20" t="s">
        <v>27</v>
      </c>
      <c r="B1863" s="20">
        <v>2024</v>
      </c>
      <c r="C1863" s="20" t="s">
        <v>106</v>
      </c>
      <c r="D1863" s="20">
        <v>162</v>
      </c>
      <c r="E1863" s="20">
        <v>2</v>
      </c>
      <c r="F1863" s="22">
        <f>IFERROR(E1863/D1863*100,"")</f>
        <v>1.2345679012345678</v>
      </c>
      <c r="G1863" s="23">
        <f>IFERROR(INDEX(Population_by_Province_Year!$B$5:$J$29,MATCH($A1863,Population_by_Province_Year!$A$5:$A$29,0),MATCH($B1863,Population_by_Province_Year!$B$4:$J$4,0)),"")</f>
        <v>865958</v>
      </c>
      <c r="H1863" s="22">
        <f>IFERROR(D1863/G1863*100000,"")</f>
        <v>18.707604756812685</v>
      </c>
    </row>
    <row r="1864" spans="1:8" ht="15" customHeight="1" x14ac:dyDescent="0.3">
      <c r="A1864" s="20" t="s">
        <v>5</v>
      </c>
      <c r="B1864" s="20">
        <v>2024</v>
      </c>
      <c r="C1864" s="20" t="s">
        <v>105</v>
      </c>
      <c r="D1864" s="20">
        <v>3</v>
      </c>
      <c r="E1864" s="20">
        <v>0</v>
      </c>
      <c r="F1864" s="22">
        <f>IFERROR(E1864/D1864*100,"")</f>
        <v>0</v>
      </c>
      <c r="G1864" s="23">
        <f>IFERROR(INDEX(Population_by_Province_Year!$B$5:$J$29,MATCH($A1864,Population_by_Province_Year!$A$5:$A$29,0),MATCH($B1864,Population_by_Province_Year!$B$4:$J$4,0)),"")</f>
        <v>1003012</v>
      </c>
      <c r="H1864" s="22">
        <f>IFERROR(D1864/G1864*100000,"")</f>
        <v>0.29909911347022766</v>
      </c>
    </row>
    <row r="1865" spans="1:8" ht="15" customHeight="1" x14ac:dyDescent="0.3">
      <c r="A1865" s="20" t="s">
        <v>6</v>
      </c>
      <c r="B1865" s="20">
        <v>2024</v>
      </c>
      <c r="C1865" s="20" t="s">
        <v>105</v>
      </c>
      <c r="D1865" s="20">
        <v>2</v>
      </c>
      <c r="E1865" s="20">
        <v>0</v>
      </c>
      <c r="F1865" s="22">
        <f>IFERROR(E1865/D1865*100,"")</f>
        <v>0</v>
      </c>
      <c r="G1865" s="23">
        <f>IFERROR(INDEX(Population_by_Province_Year!$B$5:$J$29,MATCH($A1865,Population_by_Province_Year!$A$5:$A$29,0),MATCH($B1865,Population_by_Province_Year!$B$4:$J$4,0)),"")</f>
        <v>587486</v>
      </c>
      <c r="H1865" s="22">
        <f>IFERROR(D1865/G1865*100000,"")</f>
        <v>0.34043364437620638</v>
      </c>
    </row>
    <row r="1866" spans="1:8" ht="15" customHeight="1" x14ac:dyDescent="0.3">
      <c r="A1866" s="20" t="s">
        <v>8</v>
      </c>
      <c r="B1866" s="20">
        <v>2024</v>
      </c>
      <c r="C1866" s="20" t="s">
        <v>105</v>
      </c>
      <c r="D1866" s="20">
        <v>3</v>
      </c>
      <c r="E1866" s="20">
        <v>0</v>
      </c>
      <c r="F1866" s="22">
        <f>IFERROR(E1866/D1866*100,"")</f>
        <v>0</v>
      </c>
      <c r="G1866" s="23">
        <f>IFERROR(INDEX(Population_by_Province_Year!$B$5:$J$29,MATCH($A1866,Population_by_Province_Year!$A$5:$A$29,0),MATCH($B1866,Population_by_Province_Year!$B$4:$J$4,0)),"")</f>
        <v>759734</v>
      </c>
      <c r="H1866" s="22">
        <f>IFERROR(D1866/G1866*100000,"")</f>
        <v>0.39487504837219339</v>
      </c>
    </row>
    <row r="1867" spans="1:8" ht="15" customHeight="1" x14ac:dyDescent="0.3">
      <c r="A1867" s="20" t="s">
        <v>9</v>
      </c>
      <c r="B1867" s="20">
        <v>2024</v>
      </c>
      <c r="C1867" s="20" t="s">
        <v>105</v>
      </c>
      <c r="D1867" s="20">
        <v>2</v>
      </c>
      <c r="E1867" s="20">
        <v>0</v>
      </c>
      <c r="F1867" s="22">
        <f>IFERROR(E1867/D1867*100,"")</f>
        <v>0</v>
      </c>
      <c r="G1867" s="23">
        <f>IFERROR(INDEX(Population_by_Province_Year!$B$5:$J$29,MATCH($A1867,Population_by_Province_Year!$A$5:$A$29,0),MATCH($B1867,Population_by_Province_Year!$B$4:$J$4,0)),"")</f>
        <v>661951</v>
      </c>
      <c r="H1867" s="22">
        <f>IFERROR(D1867/G1867*100000,"")</f>
        <v>0.30213716725256101</v>
      </c>
    </row>
    <row r="1868" spans="1:8" ht="15" customHeight="1" x14ac:dyDescent="0.3">
      <c r="A1868" s="20" t="s">
        <v>13</v>
      </c>
      <c r="B1868" s="20">
        <v>2024</v>
      </c>
      <c r="C1868" s="20" t="s">
        <v>105</v>
      </c>
      <c r="D1868" s="20">
        <v>2</v>
      </c>
      <c r="E1868" s="20">
        <v>0</v>
      </c>
      <c r="F1868" s="22">
        <f>IFERROR(E1868/D1868*100,"")</f>
        <v>0</v>
      </c>
      <c r="G1868" s="23">
        <f>IFERROR(INDEX(Population_by_Province_Year!$B$5:$J$29,MATCH($A1868,Population_by_Province_Year!$A$5:$A$29,0),MATCH($B1868,Population_by_Province_Year!$B$4:$J$4,0)),"")</f>
        <v>417746</v>
      </c>
      <c r="H1868" s="22">
        <f>IFERROR(D1868/G1868*100000,"")</f>
        <v>0.47875982056081923</v>
      </c>
    </row>
    <row r="1869" spans="1:8" ht="15" customHeight="1" x14ac:dyDescent="0.3">
      <c r="A1869" s="20" t="s">
        <v>15</v>
      </c>
      <c r="B1869" s="20">
        <v>2024</v>
      </c>
      <c r="C1869" s="20" t="s">
        <v>105</v>
      </c>
      <c r="D1869" s="20">
        <v>1</v>
      </c>
      <c r="E1869" s="20">
        <v>0</v>
      </c>
      <c r="F1869" s="22">
        <f>IFERROR(E1869/D1869*100,"")</f>
        <v>0</v>
      </c>
      <c r="G1869" s="23">
        <f>IFERROR(INDEX(Population_by_Province_Year!$B$5:$J$29,MATCH($A1869,Population_by_Province_Year!$A$5:$A$29,0),MATCH($B1869,Population_by_Province_Year!$B$4:$J$4,0)),"")</f>
        <v>307704</v>
      </c>
      <c r="H1869" s="22">
        <f>IFERROR(D1869/G1869*100000,"")</f>
        <v>0.32498765046928219</v>
      </c>
    </row>
    <row r="1870" spans="1:8" ht="15" customHeight="1" x14ac:dyDescent="0.3">
      <c r="A1870" s="20" t="s">
        <v>17</v>
      </c>
      <c r="B1870" s="20">
        <v>2024</v>
      </c>
      <c r="C1870" s="20" t="s">
        <v>105</v>
      </c>
      <c r="D1870" s="20">
        <v>1</v>
      </c>
      <c r="E1870" s="20">
        <v>0</v>
      </c>
      <c r="F1870" s="22">
        <f>IFERROR(E1870/D1870*100,"")</f>
        <v>0</v>
      </c>
      <c r="G1870" s="23">
        <f>IFERROR(INDEX(Population_by_Province_Year!$B$5:$J$29,MATCH($A1870,Population_by_Province_Year!$A$5:$A$29,0),MATCH($B1870,Population_by_Province_Year!$B$4:$J$4,0)),"")</f>
        <v>2543729</v>
      </c>
      <c r="H1870" s="22">
        <f>IFERROR(D1870/G1870*100000,"")</f>
        <v>3.9312363856369915E-2</v>
      </c>
    </row>
    <row r="1871" spans="1:8" ht="15" customHeight="1" x14ac:dyDescent="0.3">
      <c r="A1871" s="20" t="s">
        <v>20</v>
      </c>
      <c r="B1871" s="20">
        <v>2024</v>
      </c>
      <c r="C1871" s="20" t="s">
        <v>105</v>
      </c>
      <c r="D1871" s="20">
        <v>1</v>
      </c>
      <c r="E1871" s="20">
        <v>0</v>
      </c>
      <c r="F1871" s="22">
        <f>IFERROR(E1871/D1871*100,"")</f>
        <v>0</v>
      </c>
      <c r="G1871" s="23">
        <f>IFERROR(INDEX(Population_by_Province_Year!$B$5:$J$29,MATCH($A1871,Population_by_Province_Year!$A$5:$A$29,0),MATCH($B1871,Population_by_Province_Year!$B$4:$J$4,0)),"")</f>
        <v>1179058</v>
      </c>
      <c r="H1871" s="22">
        <f>IFERROR(D1871/G1871*100000,"")</f>
        <v>8.4813469736009589E-2</v>
      </c>
    </row>
    <row r="1872" spans="1:8" ht="15" customHeight="1" x14ac:dyDescent="0.3">
      <c r="A1872" s="20" t="s">
        <v>23</v>
      </c>
      <c r="B1872" s="20">
        <v>2024</v>
      </c>
      <c r="C1872" s="20" t="s">
        <v>105</v>
      </c>
      <c r="D1872" s="20">
        <v>1</v>
      </c>
      <c r="E1872" s="20">
        <v>0</v>
      </c>
      <c r="F1872" s="22">
        <f>IFERROR(E1872/D1872*100,"")</f>
        <v>0</v>
      </c>
      <c r="G1872" s="23">
        <f>IFERROR(INDEX(Population_by_Province_Year!$B$5:$J$29,MATCH($A1872,Population_by_Province_Year!$A$5:$A$29,0),MATCH($B1872,Population_by_Province_Year!$B$4:$J$4,0)),"")</f>
        <v>1130583</v>
      </c>
      <c r="H1872" s="22">
        <f>IFERROR(D1872/G1872*100000,"")</f>
        <v>8.844994131346394E-2</v>
      </c>
    </row>
    <row r="1873" spans="1:8" ht="15" customHeight="1" x14ac:dyDescent="0.3">
      <c r="A1873" s="20" t="s">
        <v>26</v>
      </c>
      <c r="B1873" s="20">
        <v>2024</v>
      </c>
      <c r="C1873" s="20" t="s">
        <v>105</v>
      </c>
      <c r="D1873" s="20">
        <v>1</v>
      </c>
      <c r="E1873" s="20">
        <v>0</v>
      </c>
      <c r="F1873" s="22">
        <f>IFERROR(E1873/D1873*100,"")</f>
        <v>0</v>
      </c>
      <c r="G1873" s="23">
        <f>IFERROR(INDEX(Population_by_Province_Year!$B$5:$J$29,MATCH($A1873,Population_by_Province_Year!$A$5:$A$29,0),MATCH($B1873,Population_by_Province_Year!$B$4:$J$4,0)),"")</f>
        <v>1004264</v>
      </c>
      <c r="H1873" s="22">
        <f>IFERROR(D1873/G1873*100000,"")</f>
        <v>9.9575410449841875E-2</v>
      </c>
    </row>
    <row r="1874" spans="1:8" ht="15" customHeight="1" x14ac:dyDescent="0.3">
      <c r="A1874" s="20" t="s">
        <v>27</v>
      </c>
      <c r="B1874" s="20">
        <v>2024</v>
      </c>
      <c r="C1874" s="20" t="s">
        <v>105</v>
      </c>
      <c r="D1874" s="20">
        <v>2</v>
      </c>
      <c r="E1874" s="20">
        <v>0</v>
      </c>
      <c r="F1874" s="22">
        <f>IFERROR(E1874/D1874*100,"")</f>
        <v>0</v>
      </c>
      <c r="G1874" s="23">
        <f>IFERROR(INDEX(Population_by_Province_Year!$B$5:$J$29,MATCH($A1874,Population_by_Province_Year!$A$5:$A$29,0),MATCH($B1874,Population_by_Province_Year!$B$4:$J$4,0)),"")</f>
        <v>865958</v>
      </c>
      <c r="H1874" s="22">
        <f>IFERROR(D1874/G1874*100000,"")</f>
        <v>0.23095808341744059</v>
      </c>
    </row>
    <row r="1875" spans="1:8" ht="15" customHeight="1" x14ac:dyDescent="0.3">
      <c r="A1875" s="20" t="s">
        <v>3</v>
      </c>
      <c r="B1875" s="20">
        <v>2025</v>
      </c>
      <c r="C1875" s="20" t="s">
        <v>100</v>
      </c>
      <c r="D1875" s="20">
        <v>29</v>
      </c>
      <c r="E1875" s="20">
        <v>0</v>
      </c>
      <c r="F1875" s="22">
        <f>IFERROR(E1875/D1875*100,"")</f>
        <v>0</v>
      </c>
      <c r="G1875" s="23">
        <f>IFERROR(INDEX(Population_by_Province_Year!$B$5:$J$29,MATCH($A1875,Population_by_Province_Year!$A$5:$A$29,0),MATCH($B1875,Population_by_Province_Year!$B$4:$J$4,0)),"")</f>
        <v>974136</v>
      </c>
      <c r="H1875" s="22">
        <f>IFERROR(D1875/G1875*100000,"")</f>
        <v>2.9769970517463684</v>
      </c>
    </row>
    <row r="1876" spans="1:8" ht="15" customHeight="1" x14ac:dyDescent="0.3">
      <c r="A1876" s="20" t="s">
        <v>4</v>
      </c>
      <c r="B1876" s="20">
        <v>2025</v>
      </c>
      <c r="C1876" s="20" t="s">
        <v>100</v>
      </c>
      <c r="D1876" s="20">
        <v>24</v>
      </c>
      <c r="E1876" s="20">
        <v>0</v>
      </c>
      <c r="F1876" s="22">
        <f>IFERROR(E1876/D1876*100,"")</f>
        <v>0</v>
      </c>
      <c r="G1876" s="23">
        <f>IFERROR(INDEX(Population_by_Province_Year!$B$5:$J$29,MATCH($A1876,Population_by_Province_Year!$A$5:$A$29,0),MATCH($B1876,Population_by_Province_Year!$B$4:$J$4,0)),"")</f>
        <v>1127042</v>
      </c>
      <c r="H1876" s="22">
        <f>IFERROR(D1876/G1876*100000,"")</f>
        <v>2.1294681121022996</v>
      </c>
    </row>
    <row r="1877" spans="1:8" ht="15" customHeight="1" x14ac:dyDescent="0.3">
      <c r="A1877" s="20" t="s">
        <v>5</v>
      </c>
      <c r="B1877" s="20">
        <v>2025</v>
      </c>
      <c r="C1877" s="20" t="s">
        <v>100</v>
      </c>
      <c r="D1877" s="20">
        <v>84</v>
      </c>
      <c r="E1877" s="20">
        <v>0</v>
      </c>
      <c r="F1877" s="22">
        <f>IFERROR(E1877/D1877*100,"")</f>
        <v>0</v>
      </c>
      <c r="G1877" s="23">
        <f>IFERROR(INDEX(Population_by_Province_Year!$B$5:$J$29,MATCH($A1877,Population_by_Province_Year!$A$5:$A$29,0),MATCH($B1877,Population_by_Province_Year!$B$4:$J$4,0)),"")</f>
        <v>1016981</v>
      </c>
      <c r="H1877" s="22">
        <f>IFERROR(D1877/G1877*100000,"")</f>
        <v>8.2597413324339382</v>
      </c>
    </row>
    <row r="1878" spans="1:8" ht="15" customHeight="1" x14ac:dyDescent="0.3">
      <c r="A1878" s="20" t="s">
        <v>6</v>
      </c>
      <c r="B1878" s="20">
        <v>2025</v>
      </c>
      <c r="C1878" s="20" t="s">
        <v>100</v>
      </c>
      <c r="D1878" s="20">
        <v>28</v>
      </c>
      <c r="E1878" s="20">
        <v>0</v>
      </c>
      <c r="F1878" s="22">
        <f>IFERROR(E1878/D1878*100,"")</f>
        <v>0</v>
      </c>
      <c r="G1878" s="23">
        <f>IFERROR(INDEX(Population_by_Province_Year!$B$5:$J$29,MATCH($A1878,Population_by_Province_Year!$A$5:$A$29,0),MATCH($B1878,Population_by_Province_Year!$B$4:$J$4,0)),"")</f>
        <v>595668</v>
      </c>
      <c r="H1878" s="22">
        <f>IFERROR(D1878/G1878*100000,"")</f>
        <v>4.7006050350195077</v>
      </c>
    </row>
    <row r="1879" spans="1:8" ht="15" customHeight="1" x14ac:dyDescent="0.3">
      <c r="A1879" s="20" t="s">
        <v>7</v>
      </c>
      <c r="B1879" s="20">
        <v>2025</v>
      </c>
      <c r="C1879" s="20" t="s">
        <v>100</v>
      </c>
      <c r="D1879" s="20">
        <v>11</v>
      </c>
      <c r="E1879" s="20">
        <v>0</v>
      </c>
      <c r="F1879" s="22">
        <f>IFERROR(E1879/D1879*100,"")</f>
        <v>0</v>
      </c>
      <c r="G1879" s="23">
        <f>IFERROR(INDEX(Population_by_Province_Year!$B$5:$J$29,MATCH($A1879,Population_by_Province_Year!$A$5:$A$29,0),MATCH($B1879,Population_by_Province_Year!$B$4:$J$4,0)),"")</f>
        <v>991813</v>
      </c>
      <c r="H1879" s="22">
        <f>IFERROR(D1879/G1879*100000,"")</f>
        <v>1.1090800382733439</v>
      </c>
    </row>
    <row r="1880" spans="1:8" ht="15" customHeight="1" x14ac:dyDescent="0.3">
      <c r="A1880" s="20" t="s">
        <v>8</v>
      </c>
      <c r="B1880" s="20">
        <v>2025</v>
      </c>
      <c r="C1880" s="20" t="s">
        <v>100</v>
      </c>
      <c r="D1880" s="20">
        <v>50</v>
      </c>
      <c r="E1880" s="20">
        <v>0</v>
      </c>
      <c r="F1880" s="22">
        <f>IFERROR(E1880/D1880*100,"")</f>
        <v>0</v>
      </c>
      <c r="G1880" s="23">
        <f>IFERROR(INDEX(Population_by_Province_Year!$B$5:$J$29,MATCH($A1880,Population_by_Province_Year!$A$5:$A$29,0),MATCH($B1880,Population_by_Province_Year!$B$4:$J$4,0)),"")</f>
        <v>770315</v>
      </c>
      <c r="H1880" s="22">
        <f>IFERROR(D1880/G1880*100000,"")</f>
        <v>6.4908511453106845</v>
      </c>
    </row>
    <row r="1881" spans="1:8" ht="15" customHeight="1" x14ac:dyDescent="0.3">
      <c r="A1881" s="20" t="s">
        <v>9</v>
      </c>
      <c r="B1881" s="20">
        <v>2025</v>
      </c>
      <c r="C1881" s="20" t="s">
        <v>100</v>
      </c>
      <c r="D1881" s="20">
        <v>17</v>
      </c>
      <c r="E1881" s="20">
        <v>0</v>
      </c>
      <c r="F1881" s="22">
        <f>IFERROR(E1881/D1881*100,"")</f>
        <v>0</v>
      </c>
      <c r="G1881" s="23">
        <f>IFERROR(INDEX(Population_by_Province_Year!$B$5:$J$29,MATCH($A1881,Population_by_Province_Year!$A$5:$A$29,0),MATCH($B1881,Population_by_Province_Year!$B$4:$J$4,0)),"")</f>
        <v>671170</v>
      </c>
      <c r="H1881" s="22">
        <f>IFERROR(D1881/G1881*100000,"")</f>
        <v>2.5328903258488906</v>
      </c>
    </row>
    <row r="1882" spans="1:8" ht="15" customHeight="1" x14ac:dyDescent="0.3">
      <c r="A1882" s="20" t="s">
        <v>10</v>
      </c>
      <c r="B1882" s="20">
        <v>2025</v>
      </c>
      <c r="C1882" s="20" t="s">
        <v>100</v>
      </c>
      <c r="D1882" s="20">
        <v>45</v>
      </c>
      <c r="E1882" s="20">
        <v>0</v>
      </c>
      <c r="F1882" s="22">
        <f>IFERROR(E1882/D1882*100,"")</f>
        <v>0</v>
      </c>
      <c r="G1882" s="23">
        <f>IFERROR(INDEX(Population_by_Province_Year!$B$5:$J$29,MATCH($A1882,Population_by_Province_Year!$A$5:$A$29,0),MATCH($B1882,Population_by_Province_Year!$B$4:$J$4,0)),"")</f>
        <v>1358077</v>
      </c>
      <c r="H1882" s="22">
        <f>IFERROR(D1882/G1882*100000,"")</f>
        <v>3.3135087333045181</v>
      </c>
    </row>
    <row r="1883" spans="1:8" ht="15" customHeight="1" x14ac:dyDescent="0.3">
      <c r="A1883" s="20" t="s">
        <v>11</v>
      </c>
      <c r="B1883" s="20">
        <v>2025</v>
      </c>
      <c r="C1883" s="20" t="s">
        <v>100</v>
      </c>
      <c r="D1883" s="20">
        <v>4</v>
      </c>
      <c r="E1883" s="20">
        <v>0</v>
      </c>
      <c r="F1883" s="22">
        <f>IFERROR(E1883/D1883*100,"")</f>
        <v>0</v>
      </c>
      <c r="G1883" s="23">
        <f>IFERROR(INDEX(Population_by_Province_Year!$B$5:$J$29,MATCH($A1883,Population_by_Province_Year!$A$5:$A$29,0),MATCH($B1883,Population_by_Province_Year!$B$4:$J$4,0)),"")</f>
        <v>48222</v>
      </c>
      <c r="H1883" s="22">
        <f>IFERROR(D1883/G1883*100000,"")</f>
        <v>8.2949691012400972</v>
      </c>
    </row>
    <row r="1884" spans="1:8" ht="15" customHeight="1" x14ac:dyDescent="0.3">
      <c r="A1884" s="20" t="s">
        <v>12</v>
      </c>
      <c r="B1884" s="20">
        <v>2025</v>
      </c>
      <c r="C1884" s="20" t="s">
        <v>100</v>
      </c>
      <c r="D1884" s="20">
        <v>12</v>
      </c>
      <c r="E1884" s="20">
        <v>0</v>
      </c>
      <c r="F1884" s="22">
        <f>IFERROR(E1884/D1884*100,"")</f>
        <v>0</v>
      </c>
      <c r="G1884" s="23">
        <f>IFERROR(INDEX(Population_by_Province_Year!$B$5:$J$29,MATCH($A1884,Population_by_Province_Year!$A$5:$A$29,0),MATCH($B1884,Population_by_Province_Year!$B$4:$J$4,0)),"")</f>
        <v>142300</v>
      </c>
      <c r="H1884" s="22">
        <f>IFERROR(D1884/G1884*100000,"")</f>
        <v>8.432888264230499</v>
      </c>
    </row>
    <row r="1885" spans="1:8" ht="15" customHeight="1" x14ac:dyDescent="0.3">
      <c r="A1885" s="20" t="s">
        <v>13</v>
      </c>
      <c r="B1885" s="20">
        <v>2025</v>
      </c>
      <c r="C1885" s="20" t="s">
        <v>100</v>
      </c>
      <c r="D1885" s="20">
        <v>25</v>
      </c>
      <c r="E1885" s="20">
        <v>0</v>
      </c>
      <c r="F1885" s="22">
        <f>IFERROR(E1885/D1885*100,"")</f>
        <v>0</v>
      </c>
      <c r="G1885" s="23">
        <f>IFERROR(INDEX(Population_by_Province_Year!$B$5:$J$29,MATCH($A1885,Population_by_Province_Year!$A$5:$A$29,0),MATCH($B1885,Population_by_Province_Year!$B$4:$J$4,0)),"")</f>
        <v>423564</v>
      </c>
      <c r="H1885" s="22">
        <f>IFERROR(D1885/G1885*100000,"")</f>
        <v>5.902295756957626</v>
      </c>
    </row>
    <row r="1886" spans="1:8" ht="15" customHeight="1" x14ac:dyDescent="0.3">
      <c r="A1886" s="20" t="s">
        <v>14</v>
      </c>
      <c r="B1886" s="20">
        <v>2025</v>
      </c>
      <c r="C1886" s="20" t="s">
        <v>100</v>
      </c>
      <c r="D1886" s="20">
        <v>2</v>
      </c>
      <c r="E1886" s="20">
        <v>0</v>
      </c>
      <c r="F1886" s="22">
        <f>IFERROR(E1886/D1886*100,"")</f>
        <v>0</v>
      </c>
      <c r="G1886" s="23">
        <f>IFERROR(INDEX(Population_by_Province_Year!$B$5:$J$29,MATCH($A1886,Population_by_Province_Year!$A$5:$A$29,0),MATCH($B1886,Population_by_Province_Year!$B$4:$J$4,0)),"")</f>
        <v>104223</v>
      </c>
      <c r="H1886" s="22">
        <f>IFERROR(D1886/G1886*100000,"")</f>
        <v>1.9189622252285965</v>
      </c>
    </row>
    <row r="1887" spans="1:8" ht="15" customHeight="1" x14ac:dyDescent="0.3">
      <c r="A1887" s="20" t="s">
        <v>15</v>
      </c>
      <c r="B1887" s="20">
        <v>2025</v>
      </c>
      <c r="C1887" s="20" t="s">
        <v>100</v>
      </c>
      <c r="D1887" s="20">
        <v>11</v>
      </c>
      <c r="E1887" s="20">
        <v>0</v>
      </c>
      <c r="F1887" s="22">
        <f>IFERROR(E1887/D1887*100,"")</f>
        <v>0</v>
      </c>
      <c r="G1887" s="23">
        <f>IFERROR(INDEX(Population_by_Province_Year!$B$5:$J$29,MATCH($A1887,Population_by_Province_Year!$A$5:$A$29,0),MATCH($B1887,Population_by_Province_Year!$B$4:$J$4,0)),"")</f>
        <v>311990</v>
      </c>
      <c r="H1887" s="22">
        <f>IFERROR(D1887/G1887*100000,"")</f>
        <v>3.5257540305779029</v>
      </c>
    </row>
    <row r="1888" spans="1:8" ht="15" customHeight="1" x14ac:dyDescent="0.3">
      <c r="A1888" s="20" t="s">
        <v>16</v>
      </c>
      <c r="B1888" s="20">
        <v>2025</v>
      </c>
      <c r="C1888" s="20" t="s">
        <v>100</v>
      </c>
      <c r="D1888" s="20">
        <v>15</v>
      </c>
      <c r="E1888" s="20">
        <v>0</v>
      </c>
      <c r="F1888" s="22">
        <f>IFERROR(E1888/D1888*100,"")</f>
        <v>0</v>
      </c>
      <c r="G1888" s="23">
        <f>IFERROR(INDEX(Population_by_Province_Year!$B$5:$J$29,MATCH($A1888,Population_by_Province_Year!$A$5:$A$29,0),MATCH($B1888,Population_by_Province_Year!$B$4:$J$4,0)),"")</f>
        <v>84895</v>
      </c>
      <c r="H1888" s="22">
        <f>IFERROR(D1888/G1888*100000,"")</f>
        <v>17.66888509335061</v>
      </c>
    </row>
    <row r="1889" spans="1:8" ht="15" customHeight="1" x14ac:dyDescent="0.3">
      <c r="A1889" s="20" t="s">
        <v>17</v>
      </c>
      <c r="B1889" s="20">
        <v>2025</v>
      </c>
      <c r="C1889" s="20" t="s">
        <v>100</v>
      </c>
      <c r="D1889" s="20">
        <v>145</v>
      </c>
      <c r="E1889" s="20">
        <v>1</v>
      </c>
      <c r="F1889" s="22">
        <f>IFERROR(E1889/D1889*100,"")</f>
        <v>0.68965517241379315</v>
      </c>
      <c r="G1889" s="23">
        <f>IFERROR(INDEX(Population_by_Province_Year!$B$5:$J$29,MATCH($A1889,Population_by_Province_Year!$A$5:$A$29,0),MATCH($B1889,Population_by_Province_Year!$B$4:$J$4,0)),"")</f>
        <v>2579157</v>
      </c>
      <c r="H1889" s="22">
        <f>IFERROR(D1889/G1889*100000,"")</f>
        <v>5.6219919919570618</v>
      </c>
    </row>
    <row r="1890" spans="1:8" ht="15" customHeight="1" x14ac:dyDescent="0.3">
      <c r="A1890" s="20" t="s">
        <v>18</v>
      </c>
      <c r="B1890" s="20">
        <v>2025</v>
      </c>
      <c r="C1890" s="20" t="s">
        <v>100</v>
      </c>
      <c r="D1890" s="20">
        <v>17</v>
      </c>
      <c r="E1890" s="20">
        <v>0</v>
      </c>
      <c r="F1890" s="22">
        <f>IFERROR(E1890/D1890*100,"")</f>
        <v>0</v>
      </c>
      <c r="G1890" s="23">
        <f>IFERROR(INDEX(Population_by_Province_Year!$B$5:$J$29,MATCH($A1890,Population_by_Province_Year!$A$5:$A$29,0),MATCH($B1890,Population_by_Province_Year!$B$4:$J$4,0)),"")</f>
        <v>350456</v>
      </c>
      <c r="H1890" s="22">
        <f>IFERROR(D1890/G1890*100000,"")</f>
        <v>4.8508229278425823</v>
      </c>
    </row>
    <row r="1891" spans="1:8" ht="15" customHeight="1" x14ac:dyDescent="0.3">
      <c r="A1891" s="20" t="s">
        <v>19</v>
      </c>
      <c r="B1891" s="20">
        <v>2025</v>
      </c>
      <c r="C1891" s="20" t="s">
        <v>100</v>
      </c>
      <c r="D1891" s="20">
        <v>20</v>
      </c>
      <c r="E1891" s="20">
        <v>0</v>
      </c>
      <c r="F1891" s="22">
        <f>IFERROR(E1891/D1891*100,"")</f>
        <v>0</v>
      </c>
      <c r="G1891" s="23">
        <f>IFERROR(INDEX(Population_by_Province_Year!$B$5:$J$29,MATCH($A1891,Population_by_Province_Year!$A$5:$A$29,0),MATCH($B1891,Population_by_Province_Year!$B$4:$J$4,0)),"")</f>
        <v>288016</v>
      </c>
      <c r="H1891" s="22">
        <f>IFERROR(D1891/G1891*100000,"")</f>
        <v>6.9440586634075885</v>
      </c>
    </row>
    <row r="1892" spans="1:8" ht="15" customHeight="1" x14ac:dyDescent="0.3">
      <c r="A1892" s="20" t="s">
        <v>20</v>
      </c>
      <c r="B1892" s="20">
        <v>2025</v>
      </c>
      <c r="C1892" s="20" t="s">
        <v>100</v>
      </c>
      <c r="D1892" s="20">
        <v>24</v>
      </c>
      <c r="E1892" s="20">
        <v>0</v>
      </c>
      <c r="F1892" s="22">
        <f>IFERROR(E1892/D1892*100,"")</f>
        <v>0</v>
      </c>
      <c r="G1892" s="23">
        <f>IFERROR(INDEX(Population_by_Province_Year!$B$5:$J$29,MATCH($A1892,Population_by_Province_Year!$A$5:$A$29,0),MATCH($B1892,Population_by_Province_Year!$B$4:$J$4,0)),"")</f>
        <v>1195479</v>
      </c>
      <c r="H1892" s="22">
        <f>IFERROR(D1892/G1892*100000,"")</f>
        <v>2.0075634954691801</v>
      </c>
    </row>
    <row r="1893" spans="1:8" ht="15" customHeight="1" x14ac:dyDescent="0.3">
      <c r="A1893" s="20" t="s">
        <v>21</v>
      </c>
      <c r="B1893" s="20">
        <v>2025</v>
      </c>
      <c r="C1893" s="20" t="s">
        <v>100</v>
      </c>
      <c r="D1893" s="20">
        <v>12</v>
      </c>
      <c r="E1893" s="20">
        <v>0</v>
      </c>
      <c r="F1893" s="22">
        <f>IFERROR(E1893/D1893*100,"")</f>
        <v>0</v>
      </c>
      <c r="G1893" s="23">
        <f>IFERROR(INDEX(Population_by_Province_Year!$B$5:$J$29,MATCH($A1893,Population_by_Province_Year!$A$5:$A$29,0),MATCH($B1893,Population_by_Province_Year!$B$4:$J$4,0)),"")</f>
        <v>474647</v>
      </c>
      <c r="H1893" s="22">
        <f>IFERROR(D1893/G1893*100000,"")</f>
        <v>2.5281946372778088</v>
      </c>
    </row>
    <row r="1894" spans="1:8" ht="15" customHeight="1" x14ac:dyDescent="0.3">
      <c r="A1894" s="20" t="s">
        <v>22</v>
      </c>
      <c r="B1894" s="20">
        <v>2025</v>
      </c>
      <c r="C1894" s="20" t="s">
        <v>100</v>
      </c>
      <c r="D1894" s="20">
        <v>3</v>
      </c>
      <c r="E1894" s="20">
        <v>0</v>
      </c>
      <c r="F1894" s="22">
        <f>IFERROR(E1894/D1894*100,"")</f>
        <v>0</v>
      </c>
      <c r="G1894" s="23">
        <f>IFERROR(INDEX(Population_by_Province_Year!$B$5:$J$29,MATCH($A1894,Population_by_Province_Year!$A$5:$A$29,0),MATCH($B1894,Population_by_Province_Year!$B$4:$J$4,0)),"")</f>
        <v>245774</v>
      </c>
      <c r="H1894" s="22">
        <f>IFERROR(D1894/G1894*100000,"")</f>
        <v>1.2206335902088912</v>
      </c>
    </row>
    <row r="1895" spans="1:8" ht="15" customHeight="1" x14ac:dyDescent="0.3">
      <c r="A1895" s="20" t="s">
        <v>23</v>
      </c>
      <c r="B1895" s="20">
        <v>2025</v>
      </c>
      <c r="C1895" s="20" t="s">
        <v>100</v>
      </c>
      <c r="D1895" s="20">
        <v>94</v>
      </c>
      <c r="E1895" s="20">
        <v>0</v>
      </c>
      <c r="F1895" s="22">
        <f>IFERROR(E1895/D1895*100,"")</f>
        <v>0</v>
      </c>
      <c r="G1895" s="23">
        <f>IFERROR(INDEX(Population_by_Province_Year!$B$5:$J$29,MATCH($A1895,Population_by_Province_Year!$A$5:$A$29,0),MATCH($B1895,Population_by_Province_Year!$B$4:$J$4,0)),"")</f>
        <v>1146330</v>
      </c>
      <c r="H1895" s="22">
        <f>IFERROR(D1895/G1895*100000,"")</f>
        <v>8.200082000820009</v>
      </c>
    </row>
    <row r="1896" spans="1:8" ht="15" customHeight="1" x14ac:dyDescent="0.3">
      <c r="A1896" s="20" t="s">
        <v>24</v>
      </c>
      <c r="B1896" s="20">
        <v>2025</v>
      </c>
      <c r="C1896" s="20" t="s">
        <v>100</v>
      </c>
      <c r="D1896" s="20">
        <v>6</v>
      </c>
      <c r="E1896" s="20">
        <v>0</v>
      </c>
      <c r="F1896" s="22">
        <f>IFERROR(E1896/D1896*100,"")</f>
        <v>0</v>
      </c>
      <c r="G1896" s="23">
        <f>IFERROR(INDEX(Population_by_Province_Year!$B$5:$J$29,MATCH($A1896,Population_by_Province_Year!$A$5:$A$29,0),MATCH($B1896,Population_by_Province_Year!$B$4:$J$4,0)),"")</f>
        <v>187296</v>
      </c>
      <c r="H1896" s="22">
        <f>IFERROR(D1896/G1896*100000,"")</f>
        <v>3.2034853921066118</v>
      </c>
    </row>
    <row r="1897" spans="1:8" ht="15" customHeight="1" x14ac:dyDescent="0.3">
      <c r="A1897" s="20" t="s">
        <v>25</v>
      </c>
      <c r="B1897" s="20">
        <v>2025</v>
      </c>
      <c r="C1897" s="20" t="s">
        <v>100</v>
      </c>
      <c r="D1897" s="20">
        <v>9</v>
      </c>
      <c r="E1897" s="20">
        <v>0</v>
      </c>
      <c r="F1897" s="22">
        <f>IFERROR(E1897/D1897*100,"")</f>
        <v>0</v>
      </c>
      <c r="G1897" s="23">
        <f>IFERROR(INDEX(Population_by_Province_Year!$B$5:$J$29,MATCH($A1897,Population_by_Province_Year!$A$5:$A$29,0),MATCH($B1897,Population_by_Province_Year!$B$4:$J$4,0)),"")</f>
        <v>593939</v>
      </c>
      <c r="H1897" s="22">
        <f>IFERROR(D1897/G1897*100000,"")</f>
        <v>1.5153071274996255</v>
      </c>
    </row>
    <row r="1898" spans="1:8" ht="15" customHeight="1" x14ac:dyDescent="0.3">
      <c r="A1898" s="20" t="s">
        <v>26</v>
      </c>
      <c r="B1898" s="20">
        <v>2025</v>
      </c>
      <c r="C1898" s="20" t="s">
        <v>100</v>
      </c>
      <c r="D1898" s="20">
        <v>15</v>
      </c>
      <c r="E1898" s="20">
        <v>0</v>
      </c>
      <c r="F1898" s="22">
        <f>IFERROR(E1898/D1898*100,"")</f>
        <v>0</v>
      </c>
      <c r="G1898" s="23">
        <f>IFERROR(INDEX(Population_by_Province_Year!$B$5:$J$29,MATCH($A1898,Population_by_Province_Year!$A$5:$A$29,0),MATCH($B1898,Population_by_Province_Year!$B$4:$J$4,0)),"")</f>
        <v>1018251</v>
      </c>
      <c r="H1898" s="22">
        <f>IFERROR(D1898/G1898*100000,"")</f>
        <v>1.4731141928660025</v>
      </c>
    </row>
    <row r="1899" spans="1:8" ht="15" customHeight="1" x14ac:dyDescent="0.3">
      <c r="A1899" s="20" t="s">
        <v>27</v>
      </c>
      <c r="B1899" s="20">
        <v>2025</v>
      </c>
      <c r="C1899" s="20" t="s">
        <v>100</v>
      </c>
      <c r="D1899" s="20">
        <v>96</v>
      </c>
      <c r="E1899" s="20">
        <v>0</v>
      </c>
      <c r="F1899" s="22">
        <f>IFERROR(E1899/D1899*100,"")</f>
        <v>0</v>
      </c>
      <c r="G1899" s="23">
        <f>IFERROR(INDEX(Population_by_Province_Year!$B$5:$J$29,MATCH($A1899,Population_by_Province_Year!$A$5:$A$29,0),MATCH($B1899,Population_by_Province_Year!$B$4:$J$4,0)),"")</f>
        <v>878018</v>
      </c>
      <c r="H1899" s="22">
        <f>IFERROR(D1899/G1899*100000,"")</f>
        <v>10.933716620843764</v>
      </c>
    </row>
    <row r="1900" spans="1:8" ht="15" customHeight="1" x14ac:dyDescent="0.3">
      <c r="A1900" s="20" t="s">
        <v>3</v>
      </c>
      <c r="B1900" s="20">
        <v>2025</v>
      </c>
      <c r="C1900" s="20" t="s">
        <v>99</v>
      </c>
      <c r="D1900" s="20">
        <v>7</v>
      </c>
      <c r="E1900" s="20">
        <v>0</v>
      </c>
      <c r="F1900" s="22">
        <f>IFERROR(E1900/D1900*100,"")</f>
        <v>0</v>
      </c>
      <c r="G1900" s="23">
        <f>IFERROR(INDEX(Population_by_Province_Year!$B$5:$J$29,MATCH($A1900,Population_by_Province_Year!$A$5:$A$29,0),MATCH($B1900,Population_by_Province_Year!$B$4:$J$4,0)),"")</f>
        <v>974136</v>
      </c>
      <c r="H1900" s="22">
        <f>IFERROR(D1900/G1900*100000,"")</f>
        <v>0.71858549524912341</v>
      </c>
    </row>
    <row r="1901" spans="1:8" ht="15" customHeight="1" x14ac:dyDescent="0.3">
      <c r="A1901" s="20" t="s">
        <v>4</v>
      </c>
      <c r="B1901" s="20">
        <v>2025</v>
      </c>
      <c r="C1901" s="20" t="s">
        <v>99</v>
      </c>
      <c r="D1901" s="20">
        <v>4</v>
      </c>
      <c r="E1901" s="20">
        <v>0</v>
      </c>
      <c r="F1901" s="22">
        <f>IFERROR(E1901/D1901*100,"")</f>
        <v>0</v>
      </c>
      <c r="G1901" s="23">
        <f>IFERROR(INDEX(Population_by_Province_Year!$B$5:$J$29,MATCH($A1901,Population_by_Province_Year!$A$5:$A$29,0),MATCH($B1901,Population_by_Province_Year!$B$4:$J$4,0)),"")</f>
        <v>1127042</v>
      </c>
      <c r="H1901" s="22">
        <f>IFERROR(D1901/G1901*100000,"")</f>
        <v>0.35491135201704993</v>
      </c>
    </row>
    <row r="1902" spans="1:8" ht="15" customHeight="1" x14ac:dyDescent="0.3">
      <c r="A1902" s="20" t="s">
        <v>5</v>
      </c>
      <c r="B1902" s="20">
        <v>2025</v>
      </c>
      <c r="C1902" s="20" t="s">
        <v>99</v>
      </c>
      <c r="D1902" s="20">
        <v>45</v>
      </c>
      <c r="E1902" s="20">
        <v>0</v>
      </c>
      <c r="F1902" s="22">
        <f>IFERROR(E1902/D1902*100,"")</f>
        <v>0</v>
      </c>
      <c r="G1902" s="23">
        <f>IFERROR(INDEX(Population_by_Province_Year!$B$5:$J$29,MATCH($A1902,Population_by_Province_Year!$A$5:$A$29,0),MATCH($B1902,Population_by_Province_Year!$B$4:$J$4,0)),"")</f>
        <v>1016981</v>
      </c>
      <c r="H1902" s="22">
        <f>IFERROR(D1902/G1902*100000,"")</f>
        <v>4.4248614280896099</v>
      </c>
    </row>
    <row r="1903" spans="1:8" ht="15" customHeight="1" x14ac:dyDescent="0.3">
      <c r="A1903" s="20" t="s">
        <v>6</v>
      </c>
      <c r="B1903" s="20">
        <v>2025</v>
      </c>
      <c r="C1903" s="20" t="s">
        <v>99</v>
      </c>
      <c r="D1903" s="20">
        <v>19</v>
      </c>
      <c r="E1903" s="20">
        <v>0</v>
      </c>
      <c r="F1903" s="22">
        <f>IFERROR(E1903/D1903*100,"")</f>
        <v>0</v>
      </c>
      <c r="G1903" s="23">
        <f>IFERROR(INDEX(Population_by_Province_Year!$B$5:$J$29,MATCH($A1903,Population_by_Province_Year!$A$5:$A$29,0),MATCH($B1903,Population_by_Province_Year!$B$4:$J$4,0)),"")</f>
        <v>595668</v>
      </c>
      <c r="H1903" s="22">
        <f>IFERROR(D1903/G1903*100000,"")</f>
        <v>3.1896962737632375</v>
      </c>
    </row>
    <row r="1904" spans="1:8" ht="15" customHeight="1" x14ac:dyDescent="0.3">
      <c r="A1904" s="20" t="s">
        <v>7</v>
      </c>
      <c r="B1904" s="20">
        <v>2025</v>
      </c>
      <c r="C1904" s="20" t="s">
        <v>99</v>
      </c>
      <c r="D1904" s="20">
        <v>10</v>
      </c>
      <c r="E1904" s="20">
        <v>0</v>
      </c>
      <c r="F1904" s="22">
        <f>IFERROR(E1904/D1904*100,"")</f>
        <v>0</v>
      </c>
      <c r="G1904" s="23">
        <f>IFERROR(INDEX(Population_by_Province_Year!$B$5:$J$29,MATCH($A1904,Population_by_Province_Year!$A$5:$A$29,0),MATCH($B1904,Population_by_Province_Year!$B$4:$J$4,0)),"")</f>
        <v>991813</v>
      </c>
      <c r="H1904" s="22">
        <f>IFERROR(D1904/G1904*100000,"")</f>
        <v>1.0082545802484943</v>
      </c>
    </row>
    <row r="1905" spans="1:8" ht="15" customHeight="1" x14ac:dyDescent="0.3">
      <c r="A1905" s="20" t="s">
        <v>8</v>
      </c>
      <c r="B1905" s="20">
        <v>2025</v>
      </c>
      <c r="C1905" s="20" t="s">
        <v>99</v>
      </c>
      <c r="D1905" s="20">
        <v>43</v>
      </c>
      <c r="E1905" s="20">
        <v>0</v>
      </c>
      <c r="F1905" s="22">
        <f>IFERROR(E1905/D1905*100,"")</f>
        <v>0</v>
      </c>
      <c r="G1905" s="23">
        <f>IFERROR(INDEX(Population_by_Province_Year!$B$5:$J$29,MATCH($A1905,Population_by_Province_Year!$A$5:$A$29,0),MATCH($B1905,Population_by_Province_Year!$B$4:$J$4,0)),"")</f>
        <v>770315</v>
      </c>
      <c r="H1905" s="22">
        <f>IFERROR(D1905/G1905*100000,"")</f>
        <v>5.5821319849671891</v>
      </c>
    </row>
    <row r="1906" spans="1:8" ht="15" customHeight="1" x14ac:dyDescent="0.3">
      <c r="A1906" s="20" t="s">
        <v>9</v>
      </c>
      <c r="B1906" s="20">
        <v>2025</v>
      </c>
      <c r="C1906" s="20" t="s">
        <v>99</v>
      </c>
      <c r="D1906" s="20">
        <v>11</v>
      </c>
      <c r="E1906" s="20">
        <v>0</v>
      </c>
      <c r="F1906" s="22">
        <f>IFERROR(E1906/D1906*100,"")</f>
        <v>0</v>
      </c>
      <c r="G1906" s="23">
        <f>IFERROR(INDEX(Population_by_Province_Year!$B$5:$J$29,MATCH($A1906,Population_by_Province_Year!$A$5:$A$29,0),MATCH($B1906,Population_by_Province_Year!$B$4:$J$4,0)),"")</f>
        <v>671170</v>
      </c>
      <c r="H1906" s="22">
        <f>IFERROR(D1906/G1906*100000,"")</f>
        <v>1.6389290343728116</v>
      </c>
    </row>
    <row r="1907" spans="1:8" ht="15" customHeight="1" x14ac:dyDescent="0.3">
      <c r="A1907" s="20" t="s">
        <v>10</v>
      </c>
      <c r="B1907" s="20">
        <v>2025</v>
      </c>
      <c r="C1907" s="20" t="s">
        <v>99</v>
      </c>
      <c r="D1907" s="20">
        <v>46</v>
      </c>
      <c r="E1907" s="20">
        <v>0</v>
      </c>
      <c r="F1907" s="22">
        <f>IFERROR(E1907/D1907*100,"")</f>
        <v>0</v>
      </c>
      <c r="G1907" s="23">
        <f>IFERROR(INDEX(Population_by_Province_Year!$B$5:$J$29,MATCH($A1907,Population_by_Province_Year!$A$5:$A$29,0),MATCH($B1907,Population_by_Province_Year!$B$4:$J$4,0)),"")</f>
        <v>1358077</v>
      </c>
      <c r="H1907" s="22">
        <f>IFERROR(D1907/G1907*100000,"")</f>
        <v>3.3871422607112853</v>
      </c>
    </row>
    <row r="1908" spans="1:8" ht="15" customHeight="1" x14ac:dyDescent="0.3">
      <c r="A1908" s="20" t="s">
        <v>11</v>
      </c>
      <c r="B1908" s="20">
        <v>2025</v>
      </c>
      <c r="C1908" s="20" t="s">
        <v>99</v>
      </c>
      <c r="D1908" s="20">
        <v>6</v>
      </c>
      <c r="E1908" s="20">
        <v>0</v>
      </c>
      <c r="F1908" s="22">
        <f>IFERROR(E1908/D1908*100,"")</f>
        <v>0</v>
      </c>
      <c r="G1908" s="23">
        <f>IFERROR(INDEX(Population_by_Province_Year!$B$5:$J$29,MATCH($A1908,Population_by_Province_Year!$A$5:$A$29,0),MATCH($B1908,Population_by_Province_Year!$B$4:$J$4,0)),"")</f>
        <v>48222</v>
      </c>
      <c r="H1908" s="22">
        <f>IFERROR(D1908/G1908*100000,"")</f>
        <v>12.442453651860149</v>
      </c>
    </row>
    <row r="1909" spans="1:8" ht="15" customHeight="1" x14ac:dyDescent="0.3">
      <c r="A1909" s="20" t="s">
        <v>12</v>
      </c>
      <c r="B1909" s="20">
        <v>2025</v>
      </c>
      <c r="C1909" s="20" t="s">
        <v>99</v>
      </c>
      <c r="D1909" s="20">
        <v>9</v>
      </c>
      <c r="E1909" s="20">
        <v>0</v>
      </c>
      <c r="F1909" s="22">
        <f>IFERROR(E1909/D1909*100,"")</f>
        <v>0</v>
      </c>
      <c r="G1909" s="23">
        <f>IFERROR(INDEX(Population_by_Province_Year!$B$5:$J$29,MATCH($A1909,Population_by_Province_Year!$A$5:$A$29,0),MATCH($B1909,Population_by_Province_Year!$B$4:$J$4,0)),"")</f>
        <v>142300</v>
      </c>
      <c r="H1909" s="22">
        <f>IFERROR(D1909/G1909*100000,"")</f>
        <v>6.3246661981728751</v>
      </c>
    </row>
    <row r="1910" spans="1:8" ht="15" customHeight="1" x14ac:dyDescent="0.3">
      <c r="A1910" s="20" t="s">
        <v>13</v>
      </c>
      <c r="B1910" s="20">
        <v>2025</v>
      </c>
      <c r="C1910" s="20" t="s">
        <v>99</v>
      </c>
      <c r="D1910" s="20">
        <v>25</v>
      </c>
      <c r="E1910" s="20">
        <v>0</v>
      </c>
      <c r="F1910" s="22">
        <f>IFERROR(E1910/D1910*100,"")</f>
        <v>0</v>
      </c>
      <c r="G1910" s="23">
        <f>IFERROR(INDEX(Population_by_Province_Year!$B$5:$J$29,MATCH($A1910,Population_by_Province_Year!$A$5:$A$29,0),MATCH($B1910,Population_by_Province_Year!$B$4:$J$4,0)),"")</f>
        <v>423564</v>
      </c>
      <c r="H1910" s="22">
        <f>IFERROR(D1910/G1910*100000,"")</f>
        <v>5.902295756957626</v>
      </c>
    </row>
    <row r="1911" spans="1:8" ht="15" customHeight="1" x14ac:dyDescent="0.3">
      <c r="A1911" s="20" t="s">
        <v>15</v>
      </c>
      <c r="B1911" s="20">
        <v>2025</v>
      </c>
      <c r="C1911" s="20" t="s">
        <v>99</v>
      </c>
      <c r="D1911" s="20">
        <v>8</v>
      </c>
      <c r="E1911" s="20">
        <v>0</v>
      </c>
      <c r="F1911" s="22">
        <f>IFERROR(E1911/D1911*100,"")</f>
        <v>0</v>
      </c>
      <c r="G1911" s="23">
        <f>IFERROR(INDEX(Population_by_Province_Year!$B$5:$J$29,MATCH($A1911,Population_by_Province_Year!$A$5:$A$29,0),MATCH($B1911,Population_by_Province_Year!$B$4:$J$4,0)),"")</f>
        <v>311990</v>
      </c>
      <c r="H1911" s="22">
        <f>IFERROR(D1911/G1911*100000,"")</f>
        <v>2.5641847495112025</v>
      </c>
    </row>
    <row r="1912" spans="1:8" ht="15" customHeight="1" x14ac:dyDescent="0.3">
      <c r="A1912" s="20" t="s">
        <v>16</v>
      </c>
      <c r="B1912" s="20">
        <v>2025</v>
      </c>
      <c r="C1912" s="20" t="s">
        <v>99</v>
      </c>
      <c r="D1912" s="20">
        <v>1</v>
      </c>
      <c r="E1912" s="20">
        <v>0</v>
      </c>
      <c r="F1912" s="22">
        <f>IFERROR(E1912/D1912*100,"")</f>
        <v>0</v>
      </c>
      <c r="G1912" s="23">
        <f>IFERROR(INDEX(Population_by_Province_Year!$B$5:$J$29,MATCH($A1912,Population_by_Province_Year!$A$5:$A$29,0),MATCH($B1912,Population_by_Province_Year!$B$4:$J$4,0)),"")</f>
        <v>84895</v>
      </c>
      <c r="H1912" s="22">
        <f>IFERROR(D1912/G1912*100000,"")</f>
        <v>1.1779256728900407</v>
      </c>
    </row>
    <row r="1913" spans="1:8" ht="15" customHeight="1" x14ac:dyDescent="0.3">
      <c r="A1913" s="20" t="s">
        <v>17</v>
      </c>
      <c r="B1913" s="20">
        <v>2025</v>
      </c>
      <c r="C1913" s="20" t="s">
        <v>99</v>
      </c>
      <c r="D1913" s="20">
        <v>93</v>
      </c>
      <c r="E1913" s="20">
        <v>0</v>
      </c>
      <c r="F1913" s="22">
        <f>IFERROR(E1913/D1913*100,"")</f>
        <v>0</v>
      </c>
      <c r="G1913" s="23">
        <f>IFERROR(INDEX(Population_by_Province_Year!$B$5:$J$29,MATCH($A1913,Population_by_Province_Year!$A$5:$A$29,0),MATCH($B1913,Population_by_Province_Year!$B$4:$J$4,0)),"")</f>
        <v>2579157</v>
      </c>
      <c r="H1913" s="22">
        <f>IFERROR(D1913/G1913*100000,"")</f>
        <v>3.6058293465655638</v>
      </c>
    </row>
    <row r="1914" spans="1:8" ht="15" customHeight="1" x14ac:dyDescent="0.3">
      <c r="A1914" s="20" t="s">
        <v>18</v>
      </c>
      <c r="B1914" s="20">
        <v>2025</v>
      </c>
      <c r="C1914" s="20" t="s">
        <v>99</v>
      </c>
      <c r="D1914" s="20">
        <v>23</v>
      </c>
      <c r="E1914" s="20">
        <v>0</v>
      </c>
      <c r="F1914" s="22">
        <f>IFERROR(E1914/D1914*100,"")</f>
        <v>0</v>
      </c>
      <c r="G1914" s="23">
        <f>IFERROR(INDEX(Population_by_Province_Year!$B$5:$J$29,MATCH($A1914,Population_by_Province_Year!$A$5:$A$29,0),MATCH($B1914,Population_by_Province_Year!$B$4:$J$4,0)),"")</f>
        <v>350456</v>
      </c>
      <c r="H1914" s="22">
        <f>IFERROR(D1914/G1914*100000,"")</f>
        <v>6.5628780788458467</v>
      </c>
    </row>
    <row r="1915" spans="1:8" ht="15" customHeight="1" x14ac:dyDescent="0.3">
      <c r="A1915" s="20" t="s">
        <v>19</v>
      </c>
      <c r="B1915" s="20">
        <v>2025</v>
      </c>
      <c r="C1915" s="20" t="s">
        <v>99</v>
      </c>
      <c r="D1915" s="20">
        <v>14</v>
      </c>
      <c r="E1915" s="20">
        <v>0</v>
      </c>
      <c r="F1915" s="22">
        <f>IFERROR(E1915/D1915*100,"")</f>
        <v>0</v>
      </c>
      <c r="G1915" s="23">
        <f>IFERROR(INDEX(Population_by_Province_Year!$B$5:$J$29,MATCH($A1915,Population_by_Province_Year!$A$5:$A$29,0),MATCH($B1915,Population_by_Province_Year!$B$4:$J$4,0)),"")</f>
        <v>288016</v>
      </c>
      <c r="H1915" s="22">
        <f>IFERROR(D1915/G1915*100000,"")</f>
        <v>4.8608410643853119</v>
      </c>
    </row>
    <row r="1916" spans="1:8" ht="15" customHeight="1" x14ac:dyDescent="0.3">
      <c r="A1916" s="20" t="s">
        <v>20</v>
      </c>
      <c r="B1916" s="20">
        <v>2025</v>
      </c>
      <c r="C1916" s="20" t="s">
        <v>99</v>
      </c>
      <c r="D1916" s="20">
        <v>11</v>
      </c>
      <c r="E1916" s="20">
        <v>0</v>
      </c>
      <c r="F1916" s="22">
        <f>IFERROR(E1916/D1916*100,"")</f>
        <v>0</v>
      </c>
      <c r="G1916" s="23">
        <f>IFERROR(INDEX(Population_by_Province_Year!$B$5:$J$29,MATCH($A1916,Population_by_Province_Year!$A$5:$A$29,0),MATCH($B1916,Population_by_Province_Year!$B$4:$J$4,0)),"")</f>
        <v>1195479</v>
      </c>
      <c r="H1916" s="22">
        <f>IFERROR(D1916/G1916*100000,"")</f>
        <v>0.92013326875670753</v>
      </c>
    </row>
    <row r="1917" spans="1:8" ht="15" customHeight="1" x14ac:dyDescent="0.3">
      <c r="A1917" s="20" t="s">
        <v>21</v>
      </c>
      <c r="B1917" s="20">
        <v>2025</v>
      </c>
      <c r="C1917" s="20" t="s">
        <v>99</v>
      </c>
      <c r="D1917" s="20">
        <v>12</v>
      </c>
      <c r="E1917" s="20">
        <v>0</v>
      </c>
      <c r="F1917" s="22">
        <f>IFERROR(E1917/D1917*100,"")</f>
        <v>0</v>
      </c>
      <c r="G1917" s="23">
        <f>IFERROR(INDEX(Population_by_Province_Year!$B$5:$J$29,MATCH($A1917,Population_by_Province_Year!$A$5:$A$29,0),MATCH($B1917,Population_by_Province_Year!$B$4:$J$4,0)),"")</f>
        <v>474647</v>
      </c>
      <c r="H1917" s="22">
        <f>IFERROR(D1917/G1917*100000,"")</f>
        <v>2.5281946372778088</v>
      </c>
    </row>
    <row r="1918" spans="1:8" ht="15" customHeight="1" x14ac:dyDescent="0.3">
      <c r="A1918" s="20" t="s">
        <v>23</v>
      </c>
      <c r="B1918" s="20">
        <v>2025</v>
      </c>
      <c r="C1918" s="20" t="s">
        <v>99</v>
      </c>
      <c r="D1918" s="20">
        <v>41</v>
      </c>
      <c r="E1918" s="20">
        <v>0</v>
      </c>
      <c r="F1918" s="22">
        <f>IFERROR(E1918/D1918*100,"")</f>
        <v>0</v>
      </c>
      <c r="G1918" s="23">
        <f>IFERROR(INDEX(Population_by_Province_Year!$B$5:$J$29,MATCH($A1918,Population_by_Province_Year!$A$5:$A$29,0),MATCH($B1918,Population_by_Province_Year!$B$4:$J$4,0)),"")</f>
        <v>1146330</v>
      </c>
      <c r="H1918" s="22">
        <f>IFERROR(D1918/G1918*100000,"")</f>
        <v>3.5766315109959614</v>
      </c>
    </row>
    <row r="1919" spans="1:8" ht="15" customHeight="1" x14ac:dyDescent="0.3">
      <c r="A1919" s="20" t="s">
        <v>24</v>
      </c>
      <c r="B1919" s="20">
        <v>2025</v>
      </c>
      <c r="C1919" s="20" t="s">
        <v>99</v>
      </c>
      <c r="D1919" s="20">
        <v>2</v>
      </c>
      <c r="E1919" s="20">
        <v>0</v>
      </c>
      <c r="F1919" s="22">
        <f>IFERROR(E1919/D1919*100,"")</f>
        <v>0</v>
      </c>
      <c r="G1919" s="23">
        <f>IFERROR(INDEX(Population_by_Province_Year!$B$5:$J$29,MATCH($A1919,Population_by_Province_Year!$A$5:$A$29,0),MATCH($B1919,Population_by_Province_Year!$B$4:$J$4,0)),"")</f>
        <v>187296</v>
      </c>
      <c r="H1919" s="22">
        <f>IFERROR(D1919/G1919*100000,"")</f>
        <v>1.0678284640355373</v>
      </c>
    </row>
    <row r="1920" spans="1:8" ht="15" customHeight="1" x14ac:dyDescent="0.3">
      <c r="A1920" s="20" t="s">
        <v>25</v>
      </c>
      <c r="B1920" s="20">
        <v>2025</v>
      </c>
      <c r="C1920" s="20" t="s">
        <v>99</v>
      </c>
      <c r="D1920" s="20">
        <v>1</v>
      </c>
      <c r="E1920" s="20">
        <v>0</v>
      </c>
      <c r="F1920" s="22">
        <f>IFERROR(E1920/D1920*100,"")</f>
        <v>0</v>
      </c>
      <c r="G1920" s="23">
        <f>IFERROR(INDEX(Population_by_Province_Year!$B$5:$J$29,MATCH($A1920,Population_by_Province_Year!$A$5:$A$29,0),MATCH($B1920,Population_by_Province_Year!$B$4:$J$4,0)),"")</f>
        <v>593939</v>
      </c>
      <c r="H1920" s="22">
        <f>IFERROR(D1920/G1920*100000,"")</f>
        <v>0.1683674586110695</v>
      </c>
    </row>
    <row r="1921" spans="1:8" ht="15" customHeight="1" x14ac:dyDescent="0.3">
      <c r="A1921" s="20" t="s">
        <v>26</v>
      </c>
      <c r="B1921" s="20">
        <v>2025</v>
      </c>
      <c r="C1921" s="20" t="s">
        <v>99</v>
      </c>
      <c r="D1921" s="20">
        <v>12</v>
      </c>
      <c r="E1921" s="20">
        <v>0</v>
      </c>
      <c r="F1921" s="22">
        <f>IFERROR(E1921/D1921*100,"")</f>
        <v>0</v>
      </c>
      <c r="G1921" s="23">
        <f>IFERROR(INDEX(Population_by_Province_Year!$B$5:$J$29,MATCH($A1921,Population_by_Province_Year!$A$5:$A$29,0),MATCH($B1921,Population_by_Province_Year!$B$4:$J$4,0)),"")</f>
        <v>1018251</v>
      </c>
      <c r="H1921" s="22">
        <f>IFERROR(D1921/G1921*100000,"")</f>
        <v>1.1784913542928022</v>
      </c>
    </row>
    <row r="1922" spans="1:8" ht="15" customHeight="1" x14ac:dyDescent="0.3">
      <c r="A1922" s="20" t="s">
        <v>27</v>
      </c>
      <c r="B1922" s="20">
        <v>2025</v>
      </c>
      <c r="C1922" s="20" t="s">
        <v>99</v>
      </c>
      <c r="D1922" s="20">
        <v>43</v>
      </c>
      <c r="E1922" s="20">
        <v>0</v>
      </c>
      <c r="F1922" s="22">
        <f>IFERROR(E1922/D1922*100,"")</f>
        <v>0</v>
      </c>
      <c r="G1922" s="23">
        <f>IFERROR(INDEX(Population_by_Province_Year!$B$5:$J$29,MATCH($A1922,Population_by_Province_Year!$A$5:$A$29,0),MATCH($B1922,Population_by_Province_Year!$B$4:$J$4,0)),"")</f>
        <v>878018</v>
      </c>
      <c r="H1922" s="22">
        <f>IFERROR(D1922/G1922*100000,"")</f>
        <v>4.897393903086269</v>
      </c>
    </row>
    <row r="1923" spans="1:8" ht="15" customHeight="1" x14ac:dyDescent="0.3">
      <c r="A1923" s="20" t="s">
        <v>3</v>
      </c>
      <c r="B1923" s="20">
        <v>2025</v>
      </c>
      <c r="C1923" s="20" t="s">
        <v>103</v>
      </c>
      <c r="D1923" s="20">
        <v>21</v>
      </c>
      <c r="E1923" s="20">
        <v>0</v>
      </c>
      <c r="F1923" s="22">
        <f>IFERROR(E1923/D1923*100,"")</f>
        <v>0</v>
      </c>
      <c r="G1923" s="23">
        <f>IFERROR(INDEX(Population_by_Province_Year!$B$5:$J$29,MATCH($A1923,Population_by_Province_Year!$A$5:$A$29,0),MATCH($B1923,Population_by_Province_Year!$B$4:$J$4,0)),"")</f>
        <v>974136</v>
      </c>
      <c r="H1923" s="22">
        <f>IFERROR(D1923/G1923*100000,"")</f>
        <v>2.1557564857473701</v>
      </c>
    </row>
    <row r="1924" spans="1:8" ht="15" customHeight="1" x14ac:dyDescent="0.3">
      <c r="A1924" s="20" t="s">
        <v>4</v>
      </c>
      <c r="B1924" s="20">
        <v>2025</v>
      </c>
      <c r="C1924" s="20" t="s">
        <v>103</v>
      </c>
      <c r="D1924" s="20">
        <v>14</v>
      </c>
      <c r="E1924" s="20">
        <v>0</v>
      </c>
      <c r="F1924" s="22">
        <f>IFERROR(E1924/D1924*100,"")</f>
        <v>0</v>
      </c>
      <c r="G1924" s="23">
        <f>IFERROR(INDEX(Population_by_Province_Year!$B$5:$J$29,MATCH($A1924,Population_by_Province_Year!$A$5:$A$29,0),MATCH($B1924,Population_by_Province_Year!$B$4:$J$4,0)),"")</f>
        <v>1127042</v>
      </c>
      <c r="H1924" s="22">
        <f>IFERROR(D1924/G1924*100000,"")</f>
        <v>1.2421897320596749</v>
      </c>
    </row>
    <row r="1925" spans="1:8" ht="15" customHeight="1" x14ac:dyDescent="0.3">
      <c r="A1925" s="20" t="s">
        <v>5</v>
      </c>
      <c r="B1925" s="20">
        <v>2025</v>
      </c>
      <c r="C1925" s="20" t="s">
        <v>103</v>
      </c>
      <c r="D1925" s="20">
        <v>47</v>
      </c>
      <c r="E1925" s="20">
        <v>0</v>
      </c>
      <c r="F1925" s="22">
        <f>IFERROR(E1925/D1925*100,"")</f>
        <v>0</v>
      </c>
      <c r="G1925" s="23">
        <f>IFERROR(INDEX(Population_by_Province_Year!$B$5:$J$29,MATCH($A1925,Population_by_Province_Year!$A$5:$A$29,0),MATCH($B1925,Population_by_Province_Year!$B$4:$J$4,0)),"")</f>
        <v>1016981</v>
      </c>
      <c r="H1925" s="22">
        <f>IFERROR(D1925/G1925*100000,"")</f>
        <v>4.6215219360047044</v>
      </c>
    </row>
    <row r="1926" spans="1:8" ht="15" customHeight="1" x14ac:dyDescent="0.3">
      <c r="A1926" s="20" t="s">
        <v>6</v>
      </c>
      <c r="B1926" s="20">
        <v>2025</v>
      </c>
      <c r="C1926" s="20" t="s">
        <v>103</v>
      </c>
      <c r="D1926" s="20">
        <v>34</v>
      </c>
      <c r="E1926" s="20">
        <v>0</v>
      </c>
      <c r="F1926" s="22">
        <f>IFERROR(E1926/D1926*100,"")</f>
        <v>0</v>
      </c>
      <c r="G1926" s="23">
        <f>IFERROR(INDEX(Population_by_Province_Year!$B$5:$J$29,MATCH($A1926,Population_by_Province_Year!$A$5:$A$29,0),MATCH($B1926,Population_by_Province_Year!$B$4:$J$4,0)),"")</f>
        <v>595668</v>
      </c>
      <c r="H1926" s="22">
        <f>IFERROR(D1926/G1926*100000,"")</f>
        <v>5.7078775425236881</v>
      </c>
    </row>
    <row r="1927" spans="1:8" ht="15" customHeight="1" x14ac:dyDescent="0.3">
      <c r="A1927" s="20" t="s">
        <v>7</v>
      </c>
      <c r="B1927" s="20">
        <v>2025</v>
      </c>
      <c r="C1927" s="20" t="s">
        <v>103</v>
      </c>
      <c r="D1927" s="20">
        <v>13</v>
      </c>
      <c r="E1927" s="20">
        <v>0</v>
      </c>
      <c r="F1927" s="22">
        <f>IFERROR(E1927/D1927*100,"")</f>
        <v>0</v>
      </c>
      <c r="G1927" s="23">
        <f>IFERROR(INDEX(Population_by_Province_Year!$B$5:$J$29,MATCH($A1927,Population_by_Province_Year!$A$5:$A$29,0),MATCH($B1927,Population_by_Province_Year!$B$4:$J$4,0)),"")</f>
        <v>991813</v>
      </c>
      <c r="H1927" s="22">
        <f>IFERROR(D1927/G1927*100000,"")</f>
        <v>1.3107309543230428</v>
      </c>
    </row>
    <row r="1928" spans="1:8" ht="15" customHeight="1" x14ac:dyDescent="0.3">
      <c r="A1928" s="20" t="s">
        <v>8</v>
      </c>
      <c r="B1928" s="20">
        <v>2025</v>
      </c>
      <c r="C1928" s="20" t="s">
        <v>103</v>
      </c>
      <c r="D1928" s="20">
        <v>45</v>
      </c>
      <c r="E1928" s="20">
        <v>0</v>
      </c>
      <c r="F1928" s="22">
        <f>IFERROR(E1928/D1928*100,"")</f>
        <v>0</v>
      </c>
      <c r="G1928" s="23">
        <f>IFERROR(INDEX(Population_by_Province_Year!$B$5:$J$29,MATCH($A1928,Population_by_Province_Year!$A$5:$A$29,0),MATCH($B1928,Population_by_Province_Year!$B$4:$J$4,0)),"")</f>
        <v>770315</v>
      </c>
      <c r="H1928" s="22">
        <f>IFERROR(D1928/G1928*100000,"")</f>
        <v>5.841766030779616</v>
      </c>
    </row>
    <row r="1929" spans="1:8" ht="15" customHeight="1" x14ac:dyDescent="0.3">
      <c r="A1929" s="20" t="s">
        <v>9</v>
      </c>
      <c r="B1929" s="20">
        <v>2025</v>
      </c>
      <c r="C1929" s="20" t="s">
        <v>103</v>
      </c>
      <c r="D1929" s="20">
        <v>9</v>
      </c>
      <c r="E1929" s="20">
        <v>0</v>
      </c>
      <c r="F1929" s="22">
        <f>IFERROR(E1929/D1929*100,"")</f>
        <v>0</v>
      </c>
      <c r="G1929" s="23">
        <f>IFERROR(INDEX(Population_by_Province_Year!$B$5:$J$29,MATCH($A1929,Population_by_Province_Year!$A$5:$A$29,0),MATCH($B1929,Population_by_Province_Year!$B$4:$J$4,0)),"")</f>
        <v>671170</v>
      </c>
      <c r="H1929" s="22">
        <f>IFERROR(D1929/G1929*100000,"")</f>
        <v>1.3409419372141187</v>
      </c>
    </row>
    <row r="1930" spans="1:8" ht="15" customHeight="1" x14ac:dyDescent="0.3">
      <c r="A1930" s="20" t="s">
        <v>10</v>
      </c>
      <c r="B1930" s="20">
        <v>2025</v>
      </c>
      <c r="C1930" s="20" t="s">
        <v>103</v>
      </c>
      <c r="D1930" s="20">
        <v>64</v>
      </c>
      <c r="E1930" s="20">
        <v>0</v>
      </c>
      <c r="F1930" s="22">
        <f>IFERROR(E1930/D1930*100,"")</f>
        <v>0</v>
      </c>
      <c r="G1930" s="23">
        <f>IFERROR(INDEX(Population_by_Province_Year!$B$5:$J$29,MATCH($A1930,Population_by_Province_Year!$A$5:$A$29,0),MATCH($B1930,Population_by_Province_Year!$B$4:$J$4,0)),"")</f>
        <v>1358077</v>
      </c>
      <c r="H1930" s="22">
        <f>IFERROR(D1930/G1930*100000,"")</f>
        <v>4.7125457540330924</v>
      </c>
    </row>
    <row r="1931" spans="1:8" ht="15" customHeight="1" x14ac:dyDescent="0.3">
      <c r="A1931" s="20" t="s">
        <v>11</v>
      </c>
      <c r="B1931" s="20">
        <v>2025</v>
      </c>
      <c r="C1931" s="20" t="s">
        <v>103</v>
      </c>
      <c r="D1931" s="20">
        <v>4</v>
      </c>
      <c r="E1931" s="20">
        <v>0</v>
      </c>
      <c r="F1931" s="22">
        <f>IFERROR(E1931/D1931*100,"")</f>
        <v>0</v>
      </c>
      <c r="G1931" s="23">
        <f>IFERROR(INDEX(Population_by_Province_Year!$B$5:$J$29,MATCH($A1931,Population_by_Province_Year!$A$5:$A$29,0),MATCH($B1931,Population_by_Province_Year!$B$4:$J$4,0)),"")</f>
        <v>48222</v>
      </c>
      <c r="H1931" s="22">
        <f>IFERROR(D1931/G1931*100000,"")</f>
        <v>8.2949691012400972</v>
      </c>
    </row>
    <row r="1932" spans="1:8" ht="15" customHeight="1" x14ac:dyDescent="0.3">
      <c r="A1932" s="20" t="s">
        <v>12</v>
      </c>
      <c r="B1932" s="20">
        <v>2025</v>
      </c>
      <c r="C1932" s="20" t="s">
        <v>103</v>
      </c>
      <c r="D1932" s="20">
        <v>10</v>
      </c>
      <c r="E1932" s="20">
        <v>0</v>
      </c>
      <c r="F1932" s="22">
        <f>IFERROR(E1932/D1932*100,"")</f>
        <v>0</v>
      </c>
      <c r="G1932" s="23">
        <f>IFERROR(INDEX(Population_by_Province_Year!$B$5:$J$29,MATCH($A1932,Population_by_Province_Year!$A$5:$A$29,0),MATCH($B1932,Population_by_Province_Year!$B$4:$J$4,0)),"")</f>
        <v>142300</v>
      </c>
      <c r="H1932" s="22">
        <f>IFERROR(D1932/G1932*100000,"")</f>
        <v>7.0274068868587491</v>
      </c>
    </row>
    <row r="1933" spans="1:8" ht="15" customHeight="1" x14ac:dyDescent="0.3">
      <c r="A1933" s="20" t="s">
        <v>13</v>
      </c>
      <c r="B1933" s="20">
        <v>2025</v>
      </c>
      <c r="C1933" s="20" t="s">
        <v>103</v>
      </c>
      <c r="D1933" s="20">
        <v>61</v>
      </c>
      <c r="E1933" s="20">
        <v>0</v>
      </c>
      <c r="F1933" s="22">
        <f>IFERROR(E1933/D1933*100,"")</f>
        <v>0</v>
      </c>
      <c r="G1933" s="23">
        <f>IFERROR(INDEX(Population_by_Province_Year!$B$5:$J$29,MATCH($A1933,Population_by_Province_Year!$A$5:$A$29,0),MATCH($B1933,Population_by_Province_Year!$B$4:$J$4,0)),"")</f>
        <v>423564</v>
      </c>
      <c r="H1933" s="22">
        <f>IFERROR(D1933/G1933*100000,"")</f>
        <v>14.401601646976607</v>
      </c>
    </row>
    <row r="1934" spans="1:8" ht="15" customHeight="1" x14ac:dyDescent="0.3">
      <c r="A1934" s="20" t="s">
        <v>14</v>
      </c>
      <c r="B1934" s="20">
        <v>2025</v>
      </c>
      <c r="C1934" s="20" t="s">
        <v>103</v>
      </c>
      <c r="D1934" s="20">
        <v>2</v>
      </c>
      <c r="E1934" s="20">
        <v>0</v>
      </c>
      <c r="F1934" s="22">
        <f>IFERROR(E1934/D1934*100,"")</f>
        <v>0</v>
      </c>
      <c r="G1934" s="23">
        <f>IFERROR(INDEX(Population_by_Province_Year!$B$5:$J$29,MATCH($A1934,Population_by_Province_Year!$A$5:$A$29,0),MATCH($B1934,Population_by_Province_Year!$B$4:$J$4,0)),"")</f>
        <v>104223</v>
      </c>
      <c r="H1934" s="22">
        <f>IFERROR(D1934/G1934*100000,"")</f>
        <v>1.9189622252285965</v>
      </c>
    </row>
    <row r="1935" spans="1:8" ht="15" customHeight="1" x14ac:dyDescent="0.3">
      <c r="A1935" s="20" t="s">
        <v>15</v>
      </c>
      <c r="B1935" s="20">
        <v>2025</v>
      </c>
      <c r="C1935" s="20" t="s">
        <v>103</v>
      </c>
      <c r="D1935" s="20">
        <v>11</v>
      </c>
      <c r="E1935" s="20">
        <v>0</v>
      </c>
      <c r="F1935" s="22">
        <f>IFERROR(E1935/D1935*100,"")</f>
        <v>0</v>
      </c>
      <c r="G1935" s="23">
        <f>IFERROR(INDEX(Population_by_Province_Year!$B$5:$J$29,MATCH($A1935,Population_by_Province_Year!$A$5:$A$29,0),MATCH($B1935,Population_by_Province_Year!$B$4:$J$4,0)),"")</f>
        <v>311990</v>
      </c>
      <c r="H1935" s="22">
        <f>IFERROR(D1935/G1935*100000,"")</f>
        <v>3.5257540305779029</v>
      </c>
    </row>
    <row r="1936" spans="1:8" ht="15" customHeight="1" x14ac:dyDescent="0.3">
      <c r="A1936" s="20" t="s">
        <v>17</v>
      </c>
      <c r="B1936" s="20">
        <v>2025</v>
      </c>
      <c r="C1936" s="20" t="s">
        <v>103</v>
      </c>
      <c r="D1936" s="20">
        <v>129</v>
      </c>
      <c r="E1936" s="20">
        <v>0</v>
      </c>
      <c r="F1936" s="22">
        <f>IFERROR(E1936/D1936*100,"")</f>
        <v>0</v>
      </c>
      <c r="G1936" s="23">
        <f>IFERROR(INDEX(Population_by_Province_Year!$B$5:$J$29,MATCH($A1936,Population_by_Province_Year!$A$5:$A$29,0),MATCH($B1936,Population_by_Province_Year!$B$4:$J$4,0)),"")</f>
        <v>2579157</v>
      </c>
      <c r="H1936" s="22">
        <f>IFERROR(D1936/G1936*100000,"")</f>
        <v>5.0016342549135242</v>
      </c>
    </row>
    <row r="1937" spans="1:8" ht="15" customHeight="1" x14ac:dyDescent="0.3">
      <c r="A1937" s="20" t="s">
        <v>18</v>
      </c>
      <c r="B1937" s="20">
        <v>2025</v>
      </c>
      <c r="C1937" s="20" t="s">
        <v>103</v>
      </c>
      <c r="D1937" s="20">
        <v>40</v>
      </c>
      <c r="E1937" s="20">
        <v>0</v>
      </c>
      <c r="F1937" s="22">
        <f>IFERROR(E1937/D1937*100,"")</f>
        <v>0</v>
      </c>
      <c r="G1937" s="23">
        <f>IFERROR(INDEX(Population_by_Province_Year!$B$5:$J$29,MATCH($A1937,Population_by_Province_Year!$A$5:$A$29,0),MATCH($B1937,Population_by_Province_Year!$B$4:$J$4,0)),"")</f>
        <v>350456</v>
      </c>
      <c r="H1937" s="22">
        <f>IFERROR(D1937/G1937*100000,"")</f>
        <v>11.413701006688429</v>
      </c>
    </row>
    <row r="1938" spans="1:8" ht="15" customHeight="1" x14ac:dyDescent="0.3">
      <c r="A1938" s="20" t="s">
        <v>19</v>
      </c>
      <c r="B1938" s="20">
        <v>2025</v>
      </c>
      <c r="C1938" s="20" t="s">
        <v>103</v>
      </c>
      <c r="D1938" s="20">
        <v>20</v>
      </c>
      <c r="E1938" s="20">
        <v>0</v>
      </c>
      <c r="F1938" s="22">
        <f>IFERROR(E1938/D1938*100,"")</f>
        <v>0</v>
      </c>
      <c r="G1938" s="23">
        <f>IFERROR(INDEX(Population_by_Province_Year!$B$5:$J$29,MATCH($A1938,Population_by_Province_Year!$A$5:$A$29,0),MATCH($B1938,Population_by_Province_Year!$B$4:$J$4,0)),"")</f>
        <v>288016</v>
      </c>
      <c r="H1938" s="22">
        <f>IFERROR(D1938/G1938*100000,"")</f>
        <v>6.9440586634075885</v>
      </c>
    </row>
    <row r="1939" spans="1:8" ht="15" customHeight="1" x14ac:dyDescent="0.3">
      <c r="A1939" s="20" t="s">
        <v>20</v>
      </c>
      <c r="B1939" s="20">
        <v>2025</v>
      </c>
      <c r="C1939" s="20" t="s">
        <v>103</v>
      </c>
      <c r="D1939" s="20">
        <v>13</v>
      </c>
      <c r="E1939" s="20">
        <v>1</v>
      </c>
      <c r="F1939" s="22">
        <f>IFERROR(E1939/D1939*100,"")</f>
        <v>7.6923076923076925</v>
      </c>
      <c r="G1939" s="23">
        <f>IFERROR(INDEX(Population_by_Province_Year!$B$5:$J$29,MATCH($A1939,Population_by_Province_Year!$A$5:$A$29,0),MATCH($B1939,Population_by_Province_Year!$B$4:$J$4,0)),"")</f>
        <v>1195479</v>
      </c>
      <c r="H1939" s="22">
        <f>IFERROR(D1939/G1939*100000,"")</f>
        <v>1.0874302267124725</v>
      </c>
    </row>
    <row r="1940" spans="1:8" ht="15" customHeight="1" x14ac:dyDescent="0.3">
      <c r="A1940" s="20" t="s">
        <v>21</v>
      </c>
      <c r="B1940" s="20">
        <v>2025</v>
      </c>
      <c r="C1940" s="20" t="s">
        <v>103</v>
      </c>
      <c r="D1940" s="20">
        <v>8</v>
      </c>
      <c r="E1940" s="20">
        <v>0</v>
      </c>
      <c r="F1940" s="22">
        <f>IFERROR(E1940/D1940*100,"")</f>
        <v>0</v>
      </c>
      <c r="G1940" s="23">
        <f>IFERROR(INDEX(Population_by_Province_Year!$B$5:$J$29,MATCH($A1940,Population_by_Province_Year!$A$5:$A$29,0),MATCH($B1940,Population_by_Province_Year!$B$4:$J$4,0)),"")</f>
        <v>474647</v>
      </c>
      <c r="H1940" s="22">
        <f>IFERROR(D1940/G1940*100000,"")</f>
        <v>1.6854630915185389</v>
      </c>
    </row>
    <row r="1941" spans="1:8" ht="15" customHeight="1" x14ac:dyDescent="0.3">
      <c r="A1941" s="20" t="s">
        <v>22</v>
      </c>
      <c r="B1941" s="20">
        <v>2025</v>
      </c>
      <c r="C1941" s="20" t="s">
        <v>103</v>
      </c>
      <c r="D1941" s="20">
        <v>2</v>
      </c>
      <c r="E1941" s="20">
        <v>0</v>
      </c>
      <c r="F1941" s="22">
        <f>IFERROR(E1941/D1941*100,"")</f>
        <v>0</v>
      </c>
      <c r="G1941" s="23">
        <f>IFERROR(INDEX(Population_by_Province_Year!$B$5:$J$29,MATCH($A1941,Population_by_Province_Year!$A$5:$A$29,0),MATCH($B1941,Population_by_Province_Year!$B$4:$J$4,0)),"")</f>
        <v>245774</v>
      </c>
      <c r="H1941" s="22">
        <f>IFERROR(D1941/G1941*100000,"")</f>
        <v>0.81375572680592734</v>
      </c>
    </row>
    <row r="1942" spans="1:8" ht="15" customHeight="1" x14ac:dyDescent="0.3">
      <c r="A1942" s="20" t="s">
        <v>23</v>
      </c>
      <c r="B1942" s="20">
        <v>2025</v>
      </c>
      <c r="C1942" s="20" t="s">
        <v>103</v>
      </c>
      <c r="D1942" s="20">
        <v>59</v>
      </c>
      <c r="E1942" s="20">
        <v>0</v>
      </c>
      <c r="F1942" s="22">
        <f>IFERROR(E1942/D1942*100,"")</f>
        <v>0</v>
      </c>
      <c r="G1942" s="23">
        <f>IFERROR(INDEX(Population_by_Province_Year!$B$5:$J$29,MATCH($A1942,Population_by_Province_Year!$A$5:$A$29,0),MATCH($B1942,Population_by_Province_Year!$B$4:$J$4,0)),"")</f>
        <v>1146330</v>
      </c>
      <c r="H1942" s="22">
        <f>IFERROR(D1942/G1942*100000,"")</f>
        <v>5.1468599792380907</v>
      </c>
    </row>
    <row r="1943" spans="1:8" ht="15" customHeight="1" x14ac:dyDescent="0.3">
      <c r="A1943" s="20" t="s">
        <v>25</v>
      </c>
      <c r="B1943" s="20">
        <v>2025</v>
      </c>
      <c r="C1943" s="20" t="s">
        <v>103</v>
      </c>
      <c r="D1943" s="20">
        <v>9</v>
      </c>
      <c r="E1943" s="20">
        <v>0</v>
      </c>
      <c r="F1943" s="22">
        <f>IFERROR(E1943/D1943*100,"")</f>
        <v>0</v>
      </c>
      <c r="G1943" s="23">
        <f>IFERROR(INDEX(Population_by_Province_Year!$B$5:$J$29,MATCH($A1943,Population_by_Province_Year!$A$5:$A$29,0),MATCH($B1943,Population_by_Province_Year!$B$4:$J$4,0)),"")</f>
        <v>593939</v>
      </c>
      <c r="H1943" s="22">
        <f>IFERROR(D1943/G1943*100000,"")</f>
        <v>1.5153071274996255</v>
      </c>
    </row>
    <row r="1944" spans="1:8" ht="15" customHeight="1" x14ac:dyDescent="0.3">
      <c r="A1944" s="20" t="s">
        <v>26</v>
      </c>
      <c r="B1944" s="20">
        <v>2025</v>
      </c>
      <c r="C1944" s="20" t="s">
        <v>103</v>
      </c>
      <c r="D1944" s="20">
        <v>21</v>
      </c>
      <c r="E1944" s="20">
        <v>0</v>
      </c>
      <c r="F1944" s="22">
        <f>IFERROR(E1944/D1944*100,"")</f>
        <v>0</v>
      </c>
      <c r="G1944" s="23">
        <f>IFERROR(INDEX(Population_by_Province_Year!$B$5:$J$29,MATCH($A1944,Population_by_Province_Year!$A$5:$A$29,0),MATCH($B1944,Population_by_Province_Year!$B$4:$J$4,0)),"")</f>
        <v>1018251</v>
      </c>
      <c r="H1944" s="22">
        <f>IFERROR(D1944/G1944*100000,"")</f>
        <v>2.0623598700124037</v>
      </c>
    </row>
    <row r="1945" spans="1:8" ht="15" customHeight="1" x14ac:dyDescent="0.3">
      <c r="A1945" s="20" t="s">
        <v>27</v>
      </c>
      <c r="B1945" s="20">
        <v>2025</v>
      </c>
      <c r="C1945" s="20" t="s">
        <v>103</v>
      </c>
      <c r="D1945" s="20">
        <v>75</v>
      </c>
      <c r="E1945" s="20">
        <v>0</v>
      </c>
      <c r="F1945" s="22">
        <f>IFERROR(E1945/D1945*100,"")</f>
        <v>0</v>
      </c>
      <c r="G1945" s="23">
        <f>IFERROR(INDEX(Population_by_Province_Year!$B$5:$J$29,MATCH($A1945,Population_by_Province_Year!$A$5:$A$29,0),MATCH($B1945,Population_by_Province_Year!$B$4:$J$4,0)),"")</f>
        <v>878018</v>
      </c>
      <c r="H1945" s="22">
        <f>IFERROR(D1945/G1945*100000,"")</f>
        <v>8.5419661100341919</v>
      </c>
    </row>
    <row r="1946" spans="1:8" ht="15" customHeight="1" x14ac:dyDescent="0.3">
      <c r="A1946" s="20" t="s">
        <v>3</v>
      </c>
      <c r="B1946" s="20">
        <v>2025</v>
      </c>
      <c r="C1946" s="20" t="s">
        <v>96</v>
      </c>
      <c r="D1946" s="20">
        <v>36</v>
      </c>
      <c r="E1946" s="20">
        <v>0</v>
      </c>
      <c r="F1946" s="22">
        <f>IFERROR(E1946/D1946*100,"")</f>
        <v>0</v>
      </c>
      <c r="G1946" s="23">
        <f>IFERROR(INDEX(Population_by_Province_Year!$B$5:$J$29,MATCH($A1946,Population_by_Province_Year!$A$5:$A$29,0),MATCH($B1946,Population_by_Province_Year!$B$4:$J$4,0)),"")</f>
        <v>974136</v>
      </c>
      <c r="H1946" s="22">
        <f>IFERROR(D1946/G1946*100000,"")</f>
        <v>3.6955825469954919</v>
      </c>
    </row>
    <row r="1947" spans="1:8" ht="15" customHeight="1" x14ac:dyDescent="0.3">
      <c r="A1947" s="20" t="s">
        <v>4</v>
      </c>
      <c r="B1947" s="20">
        <v>2025</v>
      </c>
      <c r="C1947" s="20" t="s">
        <v>96</v>
      </c>
      <c r="D1947" s="20">
        <v>18</v>
      </c>
      <c r="E1947" s="20">
        <v>0</v>
      </c>
      <c r="F1947" s="22">
        <f>IFERROR(E1947/D1947*100,"")</f>
        <v>0</v>
      </c>
      <c r="G1947" s="23">
        <f>IFERROR(INDEX(Population_by_Province_Year!$B$5:$J$29,MATCH($A1947,Population_by_Province_Year!$A$5:$A$29,0),MATCH($B1947,Population_by_Province_Year!$B$4:$J$4,0)),"")</f>
        <v>1127042</v>
      </c>
      <c r="H1947" s="22">
        <f>IFERROR(D1947/G1947*100000,"")</f>
        <v>1.5971010840767248</v>
      </c>
    </row>
    <row r="1948" spans="1:8" ht="15" customHeight="1" x14ac:dyDescent="0.3">
      <c r="A1948" s="20" t="s">
        <v>5</v>
      </c>
      <c r="B1948" s="20">
        <v>2025</v>
      </c>
      <c r="C1948" s="20" t="s">
        <v>96</v>
      </c>
      <c r="D1948" s="20">
        <v>117</v>
      </c>
      <c r="E1948" s="20">
        <v>1</v>
      </c>
      <c r="F1948" s="22">
        <f>IFERROR(E1948/D1948*100,"")</f>
        <v>0.85470085470085477</v>
      </c>
      <c r="G1948" s="23">
        <f>IFERROR(INDEX(Population_by_Province_Year!$B$5:$J$29,MATCH($A1948,Population_by_Province_Year!$A$5:$A$29,0),MATCH($B1948,Population_by_Province_Year!$B$4:$J$4,0)),"")</f>
        <v>1016981</v>
      </c>
      <c r="H1948" s="22">
        <f>IFERROR(D1948/G1948*100000,"")</f>
        <v>11.504639713032986</v>
      </c>
    </row>
    <row r="1949" spans="1:8" ht="15" customHeight="1" x14ac:dyDescent="0.3">
      <c r="A1949" s="20" t="s">
        <v>6</v>
      </c>
      <c r="B1949" s="20">
        <v>2025</v>
      </c>
      <c r="C1949" s="20" t="s">
        <v>96</v>
      </c>
      <c r="D1949" s="20">
        <v>69</v>
      </c>
      <c r="E1949" s="20">
        <v>0</v>
      </c>
      <c r="F1949" s="22">
        <f>IFERROR(E1949/D1949*100,"")</f>
        <v>0</v>
      </c>
      <c r="G1949" s="23">
        <f>IFERROR(INDEX(Population_by_Province_Year!$B$5:$J$29,MATCH($A1949,Population_by_Province_Year!$A$5:$A$29,0),MATCH($B1949,Population_by_Province_Year!$B$4:$J$4,0)),"")</f>
        <v>595668</v>
      </c>
      <c r="H1949" s="22">
        <f>IFERROR(D1949/G1949*100000,"")</f>
        <v>11.583633836298072</v>
      </c>
    </row>
    <row r="1950" spans="1:8" ht="15" customHeight="1" x14ac:dyDescent="0.3">
      <c r="A1950" s="20" t="s">
        <v>7</v>
      </c>
      <c r="B1950" s="20">
        <v>2025</v>
      </c>
      <c r="C1950" s="20" t="s">
        <v>96</v>
      </c>
      <c r="D1950" s="20">
        <v>32</v>
      </c>
      <c r="E1950" s="20">
        <v>0</v>
      </c>
      <c r="F1950" s="22">
        <f>IFERROR(E1950/D1950*100,"")</f>
        <v>0</v>
      </c>
      <c r="G1950" s="23">
        <f>IFERROR(INDEX(Population_by_Province_Year!$B$5:$J$29,MATCH($A1950,Population_by_Province_Year!$A$5:$A$29,0),MATCH($B1950,Population_by_Province_Year!$B$4:$J$4,0)),"")</f>
        <v>991813</v>
      </c>
      <c r="H1950" s="22">
        <f>IFERROR(D1950/G1950*100000,"")</f>
        <v>3.2264146567951819</v>
      </c>
    </row>
    <row r="1951" spans="1:8" ht="15" customHeight="1" x14ac:dyDescent="0.3">
      <c r="A1951" s="20" t="s">
        <v>8</v>
      </c>
      <c r="B1951" s="20">
        <v>2025</v>
      </c>
      <c r="C1951" s="20" t="s">
        <v>96</v>
      </c>
      <c r="D1951" s="20">
        <v>76</v>
      </c>
      <c r="E1951" s="20">
        <v>0</v>
      </c>
      <c r="F1951" s="22">
        <f>IFERROR(E1951/D1951*100,"")</f>
        <v>0</v>
      </c>
      <c r="G1951" s="23">
        <f>IFERROR(INDEX(Population_by_Province_Year!$B$5:$J$29,MATCH($A1951,Population_by_Province_Year!$A$5:$A$29,0),MATCH($B1951,Population_by_Province_Year!$B$4:$J$4,0)),"")</f>
        <v>770315</v>
      </c>
      <c r="H1951" s="22">
        <f>IFERROR(D1951/G1951*100000,"")</f>
        <v>9.8660937408722411</v>
      </c>
    </row>
    <row r="1952" spans="1:8" ht="15" customHeight="1" x14ac:dyDescent="0.3">
      <c r="A1952" s="20" t="s">
        <v>9</v>
      </c>
      <c r="B1952" s="20">
        <v>2025</v>
      </c>
      <c r="C1952" s="20" t="s">
        <v>96</v>
      </c>
      <c r="D1952" s="20">
        <v>11</v>
      </c>
      <c r="E1952" s="20">
        <v>0</v>
      </c>
      <c r="F1952" s="22">
        <f>IFERROR(E1952/D1952*100,"")</f>
        <v>0</v>
      </c>
      <c r="G1952" s="23">
        <f>IFERROR(INDEX(Population_by_Province_Year!$B$5:$J$29,MATCH($A1952,Population_by_Province_Year!$A$5:$A$29,0),MATCH($B1952,Population_by_Province_Year!$B$4:$J$4,0)),"")</f>
        <v>671170</v>
      </c>
      <c r="H1952" s="22">
        <f>IFERROR(D1952/G1952*100000,"")</f>
        <v>1.6389290343728116</v>
      </c>
    </row>
    <row r="1953" spans="1:8" ht="15" customHeight="1" x14ac:dyDescent="0.3">
      <c r="A1953" s="20" t="s">
        <v>10</v>
      </c>
      <c r="B1953" s="20">
        <v>2025</v>
      </c>
      <c r="C1953" s="20" t="s">
        <v>96</v>
      </c>
      <c r="D1953" s="20">
        <v>83</v>
      </c>
      <c r="E1953" s="20">
        <v>0</v>
      </c>
      <c r="F1953" s="22">
        <f>IFERROR(E1953/D1953*100,"")</f>
        <v>0</v>
      </c>
      <c r="G1953" s="23">
        <f>IFERROR(INDEX(Population_by_Province_Year!$B$5:$J$29,MATCH($A1953,Population_by_Province_Year!$A$5:$A$29,0),MATCH($B1953,Population_by_Province_Year!$B$4:$J$4,0)),"")</f>
        <v>1358077</v>
      </c>
      <c r="H1953" s="22">
        <f>IFERROR(D1953/G1953*100000,"")</f>
        <v>6.1115827747616667</v>
      </c>
    </row>
    <row r="1954" spans="1:8" ht="15" customHeight="1" x14ac:dyDescent="0.3">
      <c r="A1954" s="20" t="s">
        <v>11</v>
      </c>
      <c r="B1954" s="20">
        <v>2025</v>
      </c>
      <c r="C1954" s="20" t="s">
        <v>96</v>
      </c>
      <c r="D1954" s="20">
        <v>4</v>
      </c>
      <c r="E1954" s="20">
        <v>0</v>
      </c>
      <c r="F1954" s="22">
        <f>IFERROR(E1954/D1954*100,"")</f>
        <v>0</v>
      </c>
      <c r="G1954" s="23">
        <f>IFERROR(INDEX(Population_by_Province_Year!$B$5:$J$29,MATCH($A1954,Population_by_Province_Year!$A$5:$A$29,0),MATCH($B1954,Population_by_Province_Year!$B$4:$J$4,0)),"")</f>
        <v>48222</v>
      </c>
      <c r="H1954" s="22">
        <f>IFERROR(D1954/G1954*100000,"")</f>
        <v>8.2949691012400972</v>
      </c>
    </row>
    <row r="1955" spans="1:8" ht="15" customHeight="1" x14ac:dyDescent="0.3">
      <c r="A1955" s="20" t="s">
        <v>12</v>
      </c>
      <c r="B1955" s="20">
        <v>2025</v>
      </c>
      <c r="C1955" s="20" t="s">
        <v>96</v>
      </c>
      <c r="D1955" s="20">
        <v>14</v>
      </c>
      <c r="E1955" s="20">
        <v>0</v>
      </c>
      <c r="F1955" s="22">
        <f>IFERROR(E1955/D1955*100,"")</f>
        <v>0</v>
      </c>
      <c r="G1955" s="23">
        <f>IFERROR(INDEX(Population_by_Province_Year!$B$5:$J$29,MATCH($A1955,Population_by_Province_Year!$A$5:$A$29,0),MATCH($B1955,Population_by_Province_Year!$B$4:$J$4,0)),"")</f>
        <v>142300</v>
      </c>
      <c r="H1955" s="22">
        <f>IFERROR(D1955/G1955*100000,"")</f>
        <v>9.8383696416022488</v>
      </c>
    </row>
    <row r="1956" spans="1:8" ht="15" customHeight="1" x14ac:dyDescent="0.3">
      <c r="A1956" s="20" t="s">
        <v>13</v>
      </c>
      <c r="B1956" s="20">
        <v>2025</v>
      </c>
      <c r="C1956" s="20" t="s">
        <v>96</v>
      </c>
      <c r="D1956" s="20">
        <v>62</v>
      </c>
      <c r="E1956" s="20">
        <v>0</v>
      </c>
      <c r="F1956" s="22">
        <f>IFERROR(E1956/D1956*100,"")</f>
        <v>0</v>
      </c>
      <c r="G1956" s="23">
        <f>IFERROR(INDEX(Population_by_Province_Year!$B$5:$J$29,MATCH($A1956,Population_by_Province_Year!$A$5:$A$29,0),MATCH($B1956,Population_by_Province_Year!$B$4:$J$4,0)),"")</f>
        <v>423564</v>
      </c>
      <c r="H1956" s="22">
        <f>IFERROR(D1956/G1956*100000,"")</f>
        <v>14.637693477254913</v>
      </c>
    </row>
    <row r="1957" spans="1:8" ht="15" customHeight="1" x14ac:dyDescent="0.3">
      <c r="A1957" s="20" t="s">
        <v>14</v>
      </c>
      <c r="B1957" s="20">
        <v>2025</v>
      </c>
      <c r="C1957" s="20" t="s">
        <v>96</v>
      </c>
      <c r="D1957" s="20">
        <v>5</v>
      </c>
      <c r="E1957" s="20">
        <v>0</v>
      </c>
      <c r="F1957" s="22">
        <f>IFERROR(E1957/D1957*100,"")</f>
        <v>0</v>
      </c>
      <c r="G1957" s="23">
        <f>IFERROR(INDEX(Population_by_Province_Year!$B$5:$J$29,MATCH($A1957,Population_by_Province_Year!$A$5:$A$29,0),MATCH($B1957,Population_by_Province_Year!$B$4:$J$4,0)),"")</f>
        <v>104223</v>
      </c>
      <c r="H1957" s="22">
        <f>IFERROR(D1957/G1957*100000,"")</f>
        <v>4.7974055630714911</v>
      </c>
    </row>
    <row r="1958" spans="1:8" ht="15" customHeight="1" x14ac:dyDescent="0.3">
      <c r="A1958" s="20" t="s">
        <v>15</v>
      </c>
      <c r="B1958" s="20">
        <v>2025</v>
      </c>
      <c r="C1958" s="20" t="s">
        <v>96</v>
      </c>
      <c r="D1958" s="20">
        <v>23</v>
      </c>
      <c r="E1958" s="20">
        <v>0</v>
      </c>
      <c r="F1958" s="22">
        <f>IFERROR(E1958/D1958*100,"")</f>
        <v>0</v>
      </c>
      <c r="G1958" s="23">
        <f>IFERROR(INDEX(Population_by_Province_Year!$B$5:$J$29,MATCH($A1958,Population_by_Province_Year!$A$5:$A$29,0),MATCH($B1958,Population_by_Province_Year!$B$4:$J$4,0)),"")</f>
        <v>311990</v>
      </c>
      <c r="H1958" s="22">
        <f>IFERROR(D1958/G1958*100000,"")</f>
        <v>7.3720311548447066</v>
      </c>
    </row>
    <row r="1959" spans="1:8" ht="15" customHeight="1" x14ac:dyDescent="0.3">
      <c r="A1959" s="20" t="s">
        <v>16</v>
      </c>
      <c r="B1959" s="20">
        <v>2025</v>
      </c>
      <c r="C1959" s="20" t="s">
        <v>96</v>
      </c>
      <c r="D1959" s="20">
        <v>2</v>
      </c>
      <c r="E1959" s="20">
        <v>0</v>
      </c>
      <c r="F1959" s="22">
        <f>IFERROR(E1959/D1959*100,"")</f>
        <v>0</v>
      </c>
      <c r="G1959" s="23">
        <f>IFERROR(INDEX(Population_by_Province_Year!$B$5:$J$29,MATCH($A1959,Population_by_Province_Year!$A$5:$A$29,0),MATCH($B1959,Population_by_Province_Year!$B$4:$J$4,0)),"")</f>
        <v>84895</v>
      </c>
      <c r="H1959" s="22">
        <f>IFERROR(D1959/G1959*100000,"")</f>
        <v>2.3558513457800814</v>
      </c>
    </row>
    <row r="1960" spans="1:8" ht="15" customHeight="1" x14ac:dyDescent="0.3">
      <c r="A1960" s="20" t="s">
        <v>17</v>
      </c>
      <c r="B1960" s="20">
        <v>2025</v>
      </c>
      <c r="C1960" s="20" t="s">
        <v>96</v>
      </c>
      <c r="D1960" s="20">
        <v>110</v>
      </c>
      <c r="E1960" s="20">
        <v>0</v>
      </c>
      <c r="F1960" s="22">
        <f>IFERROR(E1960/D1960*100,"")</f>
        <v>0</v>
      </c>
      <c r="G1960" s="23">
        <f>IFERROR(INDEX(Population_by_Province_Year!$B$5:$J$29,MATCH($A1960,Population_by_Province_Year!$A$5:$A$29,0),MATCH($B1960,Population_by_Province_Year!$B$4:$J$4,0)),"")</f>
        <v>2579157</v>
      </c>
      <c r="H1960" s="22">
        <f>IFERROR(D1960/G1960*100000,"")</f>
        <v>4.2649594421743231</v>
      </c>
    </row>
    <row r="1961" spans="1:8" ht="15" customHeight="1" x14ac:dyDescent="0.3">
      <c r="A1961" s="20" t="s">
        <v>18</v>
      </c>
      <c r="B1961" s="20">
        <v>2025</v>
      </c>
      <c r="C1961" s="20" t="s">
        <v>96</v>
      </c>
      <c r="D1961" s="20">
        <v>74</v>
      </c>
      <c r="E1961" s="20">
        <v>0</v>
      </c>
      <c r="F1961" s="22">
        <f>IFERROR(E1961/D1961*100,"")</f>
        <v>0</v>
      </c>
      <c r="G1961" s="23">
        <f>IFERROR(INDEX(Population_by_Province_Year!$B$5:$J$29,MATCH($A1961,Population_by_Province_Year!$A$5:$A$29,0),MATCH($B1961,Population_by_Province_Year!$B$4:$J$4,0)),"")</f>
        <v>350456</v>
      </c>
      <c r="H1961" s="22">
        <f>IFERROR(D1961/G1961*100000,"")</f>
        <v>21.115346862373592</v>
      </c>
    </row>
    <row r="1962" spans="1:8" ht="15" customHeight="1" x14ac:dyDescent="0.3">
      <c r="A1962" s="20" t="s">
        <v>19</v>
      </c>
      <c r="B1962" s="20">
        <v>2025</v>
      </c>
      <c r="C1962" s="20" t="s">
        <v>96</v>
      </c>
      <c r="D1962" s="20">
        <v>144</v>
      </c>
      <c r="E1962" s="20">
        <v>1</v>
      </c>
      <c r="F1962" s="22">
        <f>IFERROR(E1962/D1962*100,"")</f>
        <v>0.69444444444444442</v>
      </c>
      <c r="G1962" s="23">
        <f>IFERROR(INDEX(Population_by_Province_Year!$B$5:$J$29,MATCH($A1962,Population_by_Province_Year!$A$5:$A$29,0),MATCH($B1962,Population_by_Province_Year!$B$4:$J$4,0)),"")</f>
        <v>288016</v>
      </c>
      <c r="H1962" s="22">
        <f>IFERROR(D1962/G1962*100000,"")</f>
        <v>49.99722237653463</v>
      </c>
    </row>
    <row r="1963" spans="1:8" ht="15" customHeight="1" x14ac:dyDescent="0.3">
      <c r="A1963" s="20" t="s">
        <v>20</v>
      </c>
      <c r="B1963" s="20">
        <v>2025</v>
      </c>
      <c r="C1963" s="20" t="s">
        <v>96</v>
      </c>
      <c r="D1963" s="20">
        <v>25</v>
      </c>
      <c r="E1963" s="20">
        <v>0</v>
      </c>
      <c r="F1963" s="22">
        <f>IFERROR(E1963/D1963*100,"")</f>
        <v>0</v>
      </c>
      <c r="G1963" s="23">
        <f>IFERROR(INDEX(Population_by_Province_Year!$B$5:$J$29,MATCH($A1963,Population_by_Province_Year!$A$5:$A$29,0),MATCH($B1963,Population_by_Province_Year!$B$4:$J$4,0)),"")</f>
        <v>1195479</v>
      </c>
      <c r="H1963" s="22">
        <f>IFERROR(D1963/G1963*100000,"")</f>
        <v>2.0912119744470625</v>
      </c>
    </row>
    <row r="1964" spans="1:8" ht="15" customHeight="1" x14ac:dyDescent="0.3">
      <c r="A1964" s="20" t="s">
        <v>21</v>
      </c>
      <c r="B1964" s="20">
        <v>2025</v>
      </c>
      <c r="C1964" s="20" t="s">
        <v>96</v>
      </c>
      <c r="D1964" s="20">
        <v>11</v>
      </c>
      <c r="E1964" s="20">
        <v>0</v>
      </c>
      <c r="F1964" s="22">
        <f>IFERROR(E1964/D1964*100,"")</f>
        <v>0</v>
      </c>
      <c r="G1964" s="23">
        <f>IFERROR(INDEX(Population_by_Province_Year!$B$5:$J$29,MATCH($A1964,Population_by_Province_Year!$A$5:$A$29,0),MATCH($B1964,Population_by_Province_Year!$B$4:$J$4,0)),"")</f>
        <v>474647</v>
      </c>
      <c r="H1964" s="22">
        <f>IFERROR(D1964/G1964*100000,"")</f>
        <v>2.3175117508379914</v>
      </c>
    </row>
    <row r="1965" spans="1:8" ht="15" customHeight="1" x14ac:dyDescent="0.3">
      <c r="A1965" s="20" t="s">
        <v>22</v>
      </c>
      <c r="B1965" s="20">
        <v>2025</v>
      </c>
      <c r="C1965" s="20" t="s">
        <v>96</v>
      </c>
      <c r="D1965" s="20">
        <v>1</v>
      </c>
      <c r="E1965" s="20">
        <v>0</v>
      </c>
      <c r="F1965" s="22">
        <f>IFERROR(E1965/D1965*100,"")</f>
        <v>0</v>
      </c>
      <c r="G1965" s="23">
        <f>IFERROR(INDEX(Population_by_Province_Year!$B$5:$J$29,MATCH($A1965,Population_by_Province_Year!$A$5:$A$29,0),MATCH($B1965,Population_by_Province_Year!$B$4:$J$4,0)),"")</f>
        <v>245774</v>
      </c>
      <c r="H1965" s="22">
        <f>IFERROR(D1965/G1965*100000,"")</f>
        <v>0.40687786340296367</v>
      </c>
    </row>
    <row r="1966" spans="1:8" ht="15" customHeight="1" x14ac:dyDescent="0.3">
      <c r="A1966" s="20" t="s">
        <v>23</v>
      </c>
      <c r="B1966" s="20">
        <v>2025</v>
      </c>
      <c r="C1966" s="20" t="s">
        <v>96</v>
      </c>
      <c r="D1966" s="20">
        <v>78</v>
      </c>
      <c r="E1966" s="20">
        <v>0</v>
      </c>
      <c r="F1966" s="22">
        <f>IFERROR(E1966/D1966*100,"")</f>
        <v>0</v>
      </c>
      <c r="G1966" s="23">
        <f>IFERROR(INDEX(Population_by_Province_Year!$B$5:$J$29,MATCH($A1966,Population_by_Province_Year!$A$5:$A$29,0),MATCH($B1966,Population_by_Province_Year!$B$4:$J$4,0)),"")</f>
        <v>1146330</v>
      </c>
      <c r="H1966" s="22">
        <f>IFERROR(D1966/G1966*100000,"")</f>
        <v>6.8043233623825605</v>
      </c>
    </row>
    <row r="1967" spans="1:8" ht="15" customHeight="1" x14ac:dyDescent="0.3">
      <c r="A1967" s="20" t="s">
        <v>24</v>
      </c>
      <c r="B1967" s="20">
        <v>2025</v>
      </c>
      <c r="C1967" s="20" t="s">
        <v>96</v>
      </c>
      <c r="D1967" s="20">
        <v>4</v>
      </c>
      <c r="E1967" s="20">
        <v>0</v>
      </c>
      <c r="F1967" s="22">
        <f>IFERROR(E1967/D1967*100,"")</f>
        <v>0</v>
      </c>
      <c r="G1967" s="23">
        <f>IFERROR(INDEX(Population_by_Province_Year!$B$5:$J$29,MATCH($A1967,Population_by_Province_Year!$A$5:$A$29,0),MATCH($B1967,Population_by_Province_Year!$B$4:$J$4,0)),"")</f>
        <v>187296</v>
      </c>
      <c r="H1967" s="22">
        <f>IFERROR(D1967/G1967*100000,"")</f>
        <v>2.1356569280710747</v>
      </c>
    </row>
    <row r="1968" spans="1:8" ht="15" customHeight="1" x14ac:dyDescent="0.3">
      <c r="A1968" s="20" t="s">
        <v>25</v>
      </c>
      <c r="B1968" s="20">
        <v>2025</v>
      </c>
      <c r="C1968" s="20" t="s">
        <v>96</v>
      </c>
      <c r="D1968" s="20">
        <v>5</v>
      </c>
      <c r="E1968" s="20">
        <v>0</v>
      </c>
      <c r="F1968" s="22">
        <f>IFERROR(E1968/D1968*100,"")</f>
        <v>0</v>
      </c>
      <c r="G1968" s="23">
        <f>IFERROR(INDEX(Population_by_Province_Year!$B$5:$J$29,MATCH($A1968,Population_by_Province_Year!$A$5:$A$29,0),MATCH($B1968,Population_by_Province_Year!$B$4:$J$4,0)),"")</f>
        <v>593939</v>
      </c>
      <c r="H1968" s="22">
        <f>IFERROR(D1968/G1968*100000,"")</f>
        <v>0.84183729305534749</v>
      </c>
    </row>
    <row r="1969" spans="1:8" ht="15" customHeight="1" x14ac:dyDescent="0.3">
      <c r="A1969" s="20" t="s">
        <v>26</v>
      </c>
      <c r="B1969" s="20">
        <v>2025</v>
      </c>
      <c r="C1969" s="20" t="s">
        <v>96</v>
      </c>
      <c r="D1969" s="20">
        <v>34</v>
      </c>
      <c r="E1969" s="20">
        <v>0</v>
      </c>
      <c r="F1969" s="22">
        <f>IFERROR(E1969/D1969*100,"")</f>
        <v>0</v>
      </c>
      <c r="G1969" s="23">
        <f>IFERROR(INDEX(Population_by_Province_Year!$B$5:$J$29,MATCH($A1969,Population_by_Province_Year!$A$5:$A$29,0),MATCH($B1969,Population_by_Province_Year!$B$4:$J$4,0)),"")</f>
        <v>1018251</v>
      </c>
      <c r="H1969" s="22">
        <f>IFERROR(D1969/G1969*100000,"")</f>
        <v>3.3390588371629391</v>
      </c>
    </row>
    <row r="1970" spans="1:8" ht="15" customHeight="1" x14ac:dyDescent="0.3">
      <c r="A1970" s="20" t="s">
        <v>27</v>
      </c>
      <c r="B1970" s="20">
        <v>2025</v>
      </c>
      <c r="C1970" s="20" t="s">
        <v>96</v>
      </c>
      <c r="D1970" s="20">
        <v>149</v>
      </c>
      <c r="E1970" s="20">
        <v>1</v>
      </c>
      <c r="F1970" s="22">
        <f>IFERROR(E1970/D1970*100,"")</f>
        <v>0.67114093959731547</v>
      </c>
      <c r="G1970" s="23">
        <f>IFERROR(INDEX(Population_by_Province_Year!$B$5:$J$29,MATCH($A1970,Population_by_Province_Year!$A$5:$A$29,0),MATCH($B1970,Population_by_Province_Year!$B$4:$J$4,0)),"")</f>
        <v>878018</v>
      </c>
      <c r="H1970" s="22">
        <f>IFERROR(D1970/G1970*100000,"")</f>
        <v>16.970039338601261</v>
      </c>
    </row>
    <row r="1971" spans="1:8" ht="15" customHeight="1" x14ac:dyDescent="0.3">
      <c r="A1971" s="20" t="s">
        <v>3</v>
      </c>
      <c r="B1971" s="20">
        <v>2025</v>
      </c>
      <c r="C1971" s="20" t="s">
        <v>104</v>
      </c>
      <c r="D1971" s="20">
        <v>72</v>
      </c>
      <c r="E1971" s="20">
        <v>0</v>
      </c>
      <c r="F1971" s="22">
        <f>IFERROR(E1971/D1971*100,"")</f>
        <v>0</v>
      </c>
      <c r="G1971" s="23">
        <f>IFERROR(INDEX(Population_by_Province_Year!$B$5:$J$29,MATCH($A1971,Population_by_Province_Year!$A$5:$A$29,0),MATCH($B1971,Population_by_Province_Year!$B$4:$J$4,0)),"")</f>
        <v>974136</v>
      </c>
      <c r="H1971" s="22">
        <f>IFERROR(D1971/G1971*100000,"")</f>
        <v>7.3911650939909839</v>
      </c>
    </row>
    <row r="1972" spans="1:8" ht="15" customHeight="1" x14ac:dyDescent="0.3">
      <c r="A1972" s="20" t="s">
        <v>4</v>
      </c>
      <c r="B1972" s="20">
        <v>2025</v>
      </c>
      <c r="C1972" s="20" t="s">
        <v>104</v>
      </c>
      <c r="D1972" s="20">
        <v>63</v>
      </c>
      <c r="E1972" s="20">
        <v>0</v>
      </c>
      <c r="F1972" s="22">
        <f>IFERROR(E1972/D1972*100,"")</f>
        <v>0</v>
      </c>
      <c r="G1972" s="23">
        <f>IFERROR(INDEX(Population_by_Province_Year!$B$5:$J$29,MATCH($A1972,Population_by_Province_Year!$A$5:$A$29,0),MATCH($B1972,Population_by_Province_Year!$B$4:$J$4,0)),"")</f>
        <v>1127042</v>
      </c>
      <c r="H1972" s="22">
        <f>IFERROR(D1972/G1972*100000,"")</f>
        <v>5.589853794268536</v>
      </c>
    </row>
    <row r="1973" spans="1:8" ht="15" customHeight="1" x14ac:dyDescent="0.3">
      <c r="A1973" s="20" t="s">
        <v>5</v>
      </c>
      <c r="B1973" s="20">
        <v>2025</v>
      </c>
      <c r="C1973" s="20" t="s">
        <v>104</v>
      </c>
      <c r="D1973" s="20">
        <v>280</v>
      </c>
      <c r="E1973" s="20">
        <v>1</v>
      </c>
      <c r="F1973" s="22">
        <f>IFERROR(E1973/D1973*100,"")</f>
        <v>0.35714285714285715</v>
      </c>
      <c r="G1973" s="23">
        <f>IFERROR(INDEX(Population_by_Province_Year!$B$5:$J$29,MATCH($A1973,Population_by_Province_Year!$A$5:$A$29,0),MATCH($B1973,Population_by_Province_Year!$B$4:$J$4,0)),"")</f>
        <v>1016981</v>
      </c>
      <c r="H1973" s="22">
        <f>IFERROR(D1973/G1973*100000,"")</f>
        <v>27.532471108113128</v>
      </c>
    </row>
    <row r="1974" spans="1:8" ht="15" customHeight="1" x14ac:dyDescent="0.3">
      <c r="A1974" s="20" t="s">
        <v>6</v>
      </c>
      <c r="B1974" s="20">
        <v>2025</v>
      </c>
      <c r="C1974" s="20" t="s">
        <v>104</v>
      </c>
      <c r="D1974" s="20">
        <v>171</v>
      </c>
      <c r="E1974" s="20">
        <v>0</v>
      </c>
      <c r="F1974" s="22">
        <f>IFERROR(E1974/D1974*100,"")</f>
        <v>0</v>
      </c>
      <c r="G1974" s="23">
        <f>IFERROR(INDEX(Population_by_Province_Year!$B$5:$J$29,MATCH($A1974,Population_by_Province_Year!$A$5:$A$29,0),MATCH($B1974,Population_by_Province_Year!$B$4:$J$4,0)),"")</f>
        <v>595668</v>
      </c>
      <c r="H1974" s="22">
        <f>IFERROR(D1974/G1974*100000,"")</f>
        <v>28.707266463869132</v>
      </c>
    </row>
    <row r="1975" spans="1:8" ht="15" customHeight="1" x14ac:dyDescent="0.3">
      <c r="A1975" s="20" t="s">
        <v>7</v>
      </c>
      <c r="B1975" s="20">
        <v>2025</v>
      </c>
      <c r="C1975" s="20" t="s">
        <v>104</v>
      </c>
      <c r="D1975" s="20">
        <v>104</v>
      </c>
      <c r="E1975" s="20">
        <v>1</v>
      </c>
      <c r="F1975" s="22">
        <f>IFERROR(E1975/D1975*100,"")</f>
        <v>0.96153846153846156</v>
      </c>
      <c r="G1975" s="23">
        <f>IFERROR(INDEX(Population_by_Province_Year!$B$5:$J$29,MATCH($A1975,Population_by_Province_Year!$A$5:$A$29,0),MATCH($B1975,Population_by_Province_Year!$B$4:$J$4,0)),"")</f>
        <v>991813</v>
      </c>
      <c r="H1975" s="22">
        <f>IFERROR(D1975/G1975*100000,"")</f>
        <v>10.485847634584342</v>
      </c>
    </row>
    <row r="1976" spans="1:8" ht="15" customHeight="1" x14ac:dyDescent="0.3">
      <c r="A1976" s="20" t="s">
        <v>8</v>
      </c>
      <c r="B1976" s="20">
        <v>2025</v>
      </c>
      <c r="C1976" s="20" t="s">
        <v>104</v>
      </c>
      <c r="D1976" s="20">
        <v>307</v>
      </c>
      <c r="E1976" s="20">
        <v>1</v>
      </c>
      <c r="F1976" s="22">
        <f>IFERROR(E1976/D1976*100,"")</f>
        <v>0.32573289902280134</v>
      </c>
      <c r="G1976" s="23">
        <f>IFERROR(INDEX(Population_by_Province_Year!$B$5:$J$29,MATCH($A1976,Population_by_Province_Year!$A$5:$A$29,0),MATCH($B1976,Population_by_Province_Year!$B$4:$J$4,0)),"")</f>
        <v>770315</v>
      </c>
      <c r="H1976" s="22">
        <f>IFERROR(D1976/G1976*100000,"")</f>
        <v>39.853826032207607</v>
      </c>
    </row>
    <row r="1977" spans="1:8" ht="15" customHeight="1" x14ac:dyDescent="0.3">
      <c r="A1977" s="20" t="s">
        <v>9</v>
      </c>
      <c r="B1977" s="20">
        <v>2025</v>
      </c>
      <c r="C1977" s="20" t="s">
        <v>104</v>
      </c>
      <c r="D1977" s="20">
        <v>61</v>
      </c>
      <c r="E1977" s="20">
        <v>0</v>
      </c>
      <c r="F1977" s="22">
        <f>IFERROR(E1977/D1977*100,"")</f>
        <v>0</v>
      </c>
      <c r="G1977" s="23">
        <f>IFERROR(INDEX(Population_by_Province_Year!$B$5:$J$29,MATCH($A1977,Population_by_Province_Year!$A$5:$A$29,0),MATCH($B1977,Population_by_Province_Year!$B$4:$J$4,0)),"")</f>
        <v>671170</v>
      </c>
      <c r="H1977" s="22">
        <f>IFERROR(D1977/G1977*100000,"")</f>
        <v>9.0886064633401364</v>
      </c>
    </row>
    <row r="1978" spans="1:8" ht="15" customHeight="1" x14ac:dyDescent="0.3">
      <c r="A1978" s="20" t="s">
        <v>10</v>
      </c>
      <c r="B1978" s="20">
        <v>2025</v>
      </c>
      <c r="C1978" s="20" t="s">
        <v>104</v>
      </c>
      <c r="D1978" s="20">
        <v>225</v>
      </c>
      <c r="E1978" s="20">
        <v>0</v>
      </c>
      <c r="F1978" s="22">
        <f>IFERROR(E1978/D1978*100,"")</f>
        <v>0</v>
      </c>
      <c r="G1978" s="23">
        <f>IFERROR(INDEX(Population_by_Province_Year!$B$5:$J$29,MATCH($A1978,Population_by_Province_Year!$A$5:$A$29,0),MATCH($B1978,Population_by_Province_Year!$B$4:$J$4,0)),"")</f>
        <v>1358077</v>
      </c>
      <c r="H1978" s="22">
        <f>IFERROR(D1978/G1978*100000,"")</f>
        <v>16.567543666522589</v>
      </c>
    </row>
    <row r="1979" spans="1:8" ht="15" customHeight="1" x14ac:dyDescent="0.3">
      <c r="A1979" s="20" t="s">
        <v>11</v>
      </c>
      <c r="B1979" s="20">
        <v>2025</v>
      </c>
      <c r="C1979" s="20" t="s">
        <v>104</v>
      </c>
      <c r="D1979" s="20">
        <v>23</v>
      </c>
      <c r="E1979" s="20">
        <v>0</v>
      </c>
      <c r="F1979" s="22">
        <f>IFERROR(E1979/D1979*100,"")</f>
        <v>0</v>
      </c>
      <c r="G1979" s="23">
        <f>IFERROR(INDEX(Population_by_Province_Year!$B$5:$J$29,MATCH($A1979,Population_by_Province_Year!$A$5:$A$29,0),MATCH($B1979,Population_by_Province_Year!$B$4:$J$4,0)),"")</f>
        <v>48222</v>
      </c>
      <c r="H1979" s="22">
        <f>IFERROR(D1979/G1979*100000,"")</f>
        <v>47.696072332130562</v>
      </c>
    </row>
    <row r="1980" spans="1:8" ht="15" customHeight="1" x14ac:dyDescent="0.3">
      <c r="A1980" s="20" t="s">
        <v>12</v>
      </c>
      <c r="B1980" s="20">
        <v>2025</v>
      </c>
      <c r="C1980" s="20" t="s">
        <v>104</v>
      </c>
      <c r="D1980" s="20">
        <v>28</v>
      </c>
      <c r="E1980" s="20">
        <v>0</v>
      </c>
      <c r="F1980" s="22">
        <f>IFERROR(E1980/D1980*100,"")</f>
        <v>0</v>
      </c>
      <c r="G1980" s="23">
        <f>IFERROR(INDEX(Population_by_Province_Year!$B$5:$J$29,MATCH($A1980,Population_by_Province_Year!$A$5:$A$29,0),MATCH($B1980,Population_by_Province_Year!$B$4:$J$4,0)),"")</f>
        <v>142300</v>
      </c>
      <c r="H1980" s="22">
        <f>IFERROR(D1980/G1980*100000,"")</f>
        <v>19.676739283204498</v>
      </c>
    </row>
    <row r="1981" spans="1:8" ht="15" customHeight="1" x14ac:dyDescent="0.3">
      <c r="A1981" s="20" t="s">
        <v>13</v>
      </c>
      <c r="B1981" s="20">
        <v>2025</v>
      </c>
      <c r="C1981" s="20" t="s">
        <v>104</v>
      </c>
      <c r="D1981" s="20">
        <v>158</v>
      </c>
      <c r="E1981" s="20">
        <v>0</v>
      </c>
      <c r="F1981" s="22">
        <f>IFERROR(E1981/D1981*100,"")</f>
        <v>0</v>
      </c>
      <c r="G1981" s="23">
        <f>IFERROR(INDEX(Population_by_Province_Year!$B$5:$J$29,MATCH($A1981,Population_by_Province_Year!$A$5:$A$29,0),MATCH($B1981,Population_by_Province_Year!$B$4:$J$4,0)),"")</f>
        <v>423564</v>
      </c>
      <c r="H1981" s="22">
        <f>IFERROR(D1981/G1981*100000,"")</f>
        <v>37.302509183972198</v>
      </c>
    </row>
    <row r="1982" spans="1:8" ht="15" customHeight="1" x14ac:dyDescent="0.3">
      <c r="A1982" s="20" t="s">
        <v>14</v>
      </c>
      <c r="B1982" s="20">
        <v>2025</v>
      </c>
      <c r="C1982" s="20" t="s">
        <v>104</v>
      </c>
      <c r="D1982" s="20">
        <v>15</v>
      </c>
      <c r="E1982" s="20">
        <v>0</v>
      </c>
      <c r="F1982" s="22">
        <f>IFERROR(E1982/D1982*100,"")</f>
        <v>0</v>
      </c>
      <c r="G1982" s="23">
        <f>IFERROR(INDEX(Population_by_Province_Year!$B$5:$J$29,MATCH($A1982,Population_by_Province_Year!$A$5:$A$29,0),MATCH($B1982,Population_by_Province_Year!$B$4:$J$4,0)),"")</f>
        <v>104223</v>
      </c>
      <c r="H1982" s="22">
        <f>IFERROR(D1982/G1982*100000,"")</f>
        <v>14.392216689214473</v>
      </c>
    </row>
    <row r="1983" spans="1:8" ht="15" customHeight="1" x14ac:dyDescent="0.3">
      <c r="A1983" s="20" t="s">
        <v>15</v>
      </c>
      <c r="B1983" s="20">
        <v>2025</v>
      </c>
      <c r="C1983" s="20" t="s">
        <v>104</v>
      </c>
      <c r="D1983" s="20">
        <v>149</v>
      </c>
      <c r="E1983" s="20">
        <v>0</v>
      </c>
      <c r="F1983" s="22">
        <f>IFERROR(E1983/D1983*100,"")</f>
        <v>0</v>
      </c>
      <c r="G1983" s="23">
        <f>IFERROR(INDEX(Population_by_Province_Year!$B$5:$J$29,MATCH($A1983,Population_by_Province_Year!$A$5:$A$29,0),MATCH($B1983,Population_by_Province_Year!$B$4:$J$4,0)),"")</f>
        <v>311990</v>
      </c>
      <c r="H1983" s="22">
        <f>IFERROR(D1983/G1983*100000,"")</f>
        <v>47.757940959646142</v>
      </c>
    </row>
    <row r="1984" spans="1:8" ht="15" customHeight="1" x14ac:dyDescent="0.3">
      <c r="A1984" s="20" t="s">
        <v>16</v>
      </c>
      <c r="B1984" s="20">
        <v>2025</v>
      </c>
      <c r="C1984" s="20" t="s">
        <v>104</v>
      </c>
      <c r="D1984" s="20">
        <v>6</v>
      </c>
      <c r="E1984" s="20">
        <v>0</v>
      </c>
      <c r="F1984" s="22">
        <f>IFERROR(E1984/D1984*100,"")</f>
        <v>0</v>
      </c>
      <c r="G1984" s="23">
        <f>IFERROR(INDEX(Population_by_Province_Year!$B$5:$J$29,MATCH($A1984,Population_by_Province_Year!$A$5:$A$29,0),MATCH($B1984,Population_by_Province_Year!$B$4:$J$4,0)),"")</f>
        <v>84895</v>
      </c>
      <c r="H1984" s="22">
        <f>IFERROR(D1984/G1984*100000,"")</f>
        <v>7.0675540373402432</v>
      </c>
    </row>
    <row r="1985" spans="1:8" ht="15" customHeight="1" x14ac:dyDescent="0.3">
      <c r="A1985" s="20" t="s">
        <v>17</v>
      </c>
      <c r="B1985" s="20">
        <v>2025</v>
      </c>
      <c r="C1985" s="20" t="s">
        <v>104</v>
      </c>
      <c r="D1985" s="20">
        <v>254</v>
      </c>
      <c r="E1985" s="20">
        <v>0</v>
      </c>
      <c r="F1985" s="22">
        <f>IFERROR(E1985/D1985*100,"")</f>
        <v>0</v>
      </c>
      <c r="G1985" s="23">
        <f>IFERROR(INDEX(Population_by_Province_Year!$B$5:$J$29,MATCH($A1985,Population_by_Province_Year!$A$5:$A$29,0),MATCH($B1985,Population_by_Province_Year!$B$4:$J$4,0)),"")</f>
        <v>2579157</v>
      </c>
      <c r="H1985" s="22">
        <f>IFERROR(D1985/G1985*100000,"")</f>
        <v>9.8481790755661649</v>
      </c>
    </row>
    <row r="1986" spans="1:8" ht="15" customHeight="1" x14ac:dyDescent="0.3">
      <c r="A1986" s="20" t="s">
        <v>18</v>
      </c>
      <c r="B1986" s="20">
        <v>2025</v>
      </c>
      <c r="C1986" s="20" t="s">
        <v>104</v>
      </c>
      <c r="D1986" s="20">
        <v>194</v>
      </c>
      <c r="E1986" s="20">
        <v>0</v>
      </c>
      <c r="F1986" s="22">
        <f>IFERROR(E1986/D1986*100,"")</f>
        <v>0</v>
      </c>
      <c r="G1986" s="23">
        <f>IFERROR(INDEX(Population_by_Province_Year!$B$5:$J$29,MATCH($A1986,Population_by_Province_Year!$A$5:$A$29,0),MATCH($B1986,Population_by_Province_Year!$B$4:$J$4,0)),"")</f>
        <v>350456</v>
      </c>
      <c r="H1986" s="22">
        <f>IFERROR(D1986/G1986*100000,"")</f>
        <v>55.356449882438881</v>
      </c>
    </row>
    <row r="1987" spans="1:8" ht="15" customHeight="1" x14ac:dyDescent="0.3">
      <c r="A1987" s="20" t="s">
        <v>19</v>
      </c>
      <c r="B1987" s="20">
        <v>2025</v>
      </c>
      <c r="C1987" s="20" t="s">
        <v>104</v>
      </c>
      <c r="D1987" s="20">
        <v>308</v>
      </c>
      <c r="E1987" s="20">
        <v>0</v>
      </c>
      <c r="F1987" s="22">
        <f>IFERROR(E1987/D1987*100,"")</f>
        <v>0</v>
      </c>
      <c r="G1987" s="23">
        <f>IFERROR(INDEX(Population_by_Province_Year!$B$5:$J$29,MATCH($A1987,Population_by_Province_Year!$A$5:$A$29,0),MATCH($B1987,Population_by_Province_Year!$B$4:$J$4,0)),"")</f>
        <v>288016</v>
      </c>
      <c r="H1987" s="22">
        <f>IFERROR(D1987/G1987*100000,"")</f>
        <v>106.93850341647686</v>
      </c>
    </row>
    <row r="1988" spans="1:8" ht="15" customHeight="1" x14ac:dyDescent="0.3">
      <c r="A1988" s="20" t="s">
        <v>20</v>
      </c>
      <c r="B1988" s="20">
        <v>2025</v>
      </c>
      <c r="C1988" s="20" t="s">
        <v>104</v>
      </c>
      <c r="D1988" s="20">
        <v>72</v>
      </c>
      <c r="E1988" s="20">
        <v>0</v>
      </c>
      <c r="F1988" s="22">
        <f>IFERROR(E1988/D1988*100,"")</f>
        <v>0</v>
      </c>
      <c r="G1988" s="23">
        <f>IFERROR(INDEX(Population_by_Province_Year!$B$5:$J$29,MATCH($A1988,Population_by_Province_Year!$A$5:$A$29,0),MATCH($B1988,Population_by_Province_Year!$B$4:$J$4,0)),"")</f>
        <v>1195479</v>
      </c>
      <c r="H1988" s="22">
        <f>IFERROR(D1988/G1988*100000,"")</f>
        <v>6.0226904864075399</v>
      </c>
    </row>
    <row r="1989" spans="1:8" ht="15" customHeight="1" x14ac:dyDescent="0.3">
      <c r="A1989" s="20" t="s">
        <v>21</v>
      </c>
      <c r="B1989" s="20">
        <v>2025</v>
      </c>
      <c r="C1989" s="20" t="s">
        <v>104</v>
      </c>
      <c r="D1989" s="20">
        <v>26</v>
      </c>
      <c r="E1989" s="20">
        <v>0</v>
      </c>
      <c r="F1989" s="22">
        <f>IFERROR(E1989/D1989*100,"")</f>
        <v>0</v>
      </c>
      <c r="G1989" s="23">
        <f>IFERROR(INDEX(Population_by_Province_Year!$B$5:$J$29,MATCH($A1989,Population_by_Province_Year!$A$5:$A$29,0),MATCH($B1989,Population_by_Province_Year!$B$4:$J$4,0)),"")</f>
        <v>474647</v>
      </c>
      <c r="H1989" s="22">
        <f>IFERROR(D1989/G1989*100000,"")</f>
        <v>5.4777550474352514</v>
      </c>
    </row>
    <row r="1990" spans="1:8" ht="15" customHeight="1" x14ac:dyDescent="0.3">
      <c r="A1990" s="20" t="s">
        <v>22</v>
      </c>
      <c r="B1990" s="20">
        <v>2025</v>
      </c>
      <c r="C1990" s="20" t="s">
        <v>104</v>
      </c>
      <c r="D1990" s="20">
        <v>9</v>
      </c>
      <c r="E1990" s="20">
        <v>0</v>
      </c>
      <c r="F1990" s="22">
        <f>IFERROR(E1990/D1990*100,"")</f>
        <v>0</v>
      </c>
      <c r="G1990" s="23">
        <f>IFERROR(INDEX(Population_by_Province_Year!$B$5:$J$29,MATCH($A1990,Population_by_Province_Year!$A$5:$A$29,0),MATCH($B1990,Population_by_Province_Year!$B$4:$J$4,0)),"")</f>
        <v>245774</v>
      </c>
      <c r="H1990" s="22">
        <f>IFERROR(D1990/G1990*100000,"")</f>
        <v>3.6619007706266733</v>
      </c>
    </row>
    <row r="1991" spans="1:8" ht="15" customHeight="1" x14ac:dyDescent="0.3">
      <c r="A1991" s="20" t="s">
        <v>23</v>
      </c>
      <c r="B1991" s="20">
        <v>2025</v>
      </c>
      <c r="C1991" s="20" t="s">
        <v>104</v>
      </c>
      <c r="D1991" s="20">
        <v>199</v>
      </c>
      <c r="E1991" s="20">
        <v>0</v>
      </c>
      <c r="F1991" s="22">
        <f>IFERROR(E1991/D1991*100,"")</f>
        <v>0</v>
      </c>
      <c r="G1991" s="23">
        <f>IFERROR(INDEX(Population_by_Province_Year!$B$5:$J$29,MATCH($A1991,Population_by_Province_Year!$A$5:$A$29,0),MATCH($B1991,Population_by_Province_Year!$B$4:$J$4,0)),"")</f>
        <v>1146330</v>
      </c>
      <c r="H1991" s="22">
        <f>IFERROR(D1991/G1991*100000,"")</f>
        <v>17.359748065565761</v>
      </c>
    </row>
    <row r="1992" spans="1:8" ht="15" customHeight="1" x14ac:dyDescent="0.3">
      <c r="A1992" s="20" t="s">
        <v>24</v>
      </c>
      <c r="B1992" s="20">
        <v>2025</v>
      </c>
      <c r="C1992" s="20" t="s">
        <v>104</v>
      </c>
      <c r="D1992" s="20">
        <v>10</v>
      </c>
      <c r="E1992" s="20">
        <v>0</v>
      </c>
      <c r="F1992" s="22">
        <f>IFERROR(E1992/D1992*100,"")</f>
        <v>0</v>
      </c>
      <c r="G1992" s="23">
        <f>IFERROR(INDEX(Population_by_Province_Year!$B$5:$J$29,MATCH($A1992,Population_by_Province_Year!$A$5:$A$29,0),MATCH($B1992,Population_by_Province_Year!$B$4:$J$4,0)),"")</f>
        <v>187296</v>
      </c>
      <c r="H1992" s="22">
        <f>IFERROR(D1992/G1992*100000,"")</f>
        <v>5.3391423201776869</v>
      </c>
    </row>
    <row r="1993" spans="1:8" ht="15" customHeight="1" x14ac:dyDescent="0.3">
      <c r="A1993" s="20" t="s">
        <v>25</v>
      </c>
      <c r="B1993" s="20">
        <v>2025</v>
      </c>
      <c r="C1993" s="20" t="s">
        <v>104</v>
      </c>
      <c r="D1993" s="20">
        <v>34</v>
      </c>
      <c r="E1993" s="20">
        <v>0</v>
      </c>
      <c r="F1993" s="22">
        <f>IFERROR(E1993/D1993*100,"")</f>
        <v>0</v>
      </c>
      <c r="G1993" s="23">
        <f>IFERROR(INDEX(Population_by_Province_Year!$B$5:$J$29,MATCH($A1993,Population_by_Province_Year!$A$5:$A$29,0),MATCH($B1993,Population_by_Province_Year!$B$4:$J$4,0)),"")</f>
        <v>593939</v>
      </c>
      <c r="H1993" s="22">
        <f>IFERROR(D1993/G1993*100000,"")</f>
        <v>5.724493592776362</v>
      </c>
    </row>
    <row r="1994" spans="1:8" ht="15" customHeight="1" x14ac:dyDescent="0.3">
      <c r="A1994" s="20" t="s">
        <v>26</v>
      </c>
      <c r="B1994" s="20">
        <v>2025</v>
      </c>
      <c r="C1994" s="20" t="s">
        <v>104</v>
      </c>
      <c r="D1994" s="20">
        <v>83</v>
      </c>
      <c r="E1994" s="20">
        <v>0</v>
      </c>
      <c r="F1994" s="22">
        <f>IFERROR(E1994/D1994*100,"")</f>
        <v>0</v>
      </c>
      <c r="G1994" s="23">
        <f>IFERROR(INDEX(Population_by_Province_Year!$B$5:$J$29,MATCH($A1994,Population_by_Province_Year!$A$5:$A$29,0),MATCH($B1994,Population_by_Province_Year!$B$4:$J$4,0)),"")</f>
        <v>1018251</v>
      </c>
      <c r="H1994" s="22">
        <f>IFERROR(D1994/G1994*100000,"")</f>
        <v>8.1512318671918802</v>
      </c>
    </row>
    <row r="1995" spans="1:8" ht="15" customHeight="1" x14ac:dyDescent="0.3">
      <c r="A1995" s="20" t="s">
        <v>27</v>
      </c>
      <c r="B1995" s="20">
        <v>2025</v>
      </c>
      <c r="C1995" s="20" t="s">
        <v>104</v>
      </c>
      <c r="D1995" s="20">
        <v>443</v>
      </c>
      <c r="E1995" s="20">
        <v>1</v>
      </c>
      <c r="F1995" s="22">
        <f>IFERROR(E1995/D1995*100,"")</f>
        <v>0.22573363431151239</v>
      </c>
      <c r="G1995" s="23">
        <f>IFERROR(INDEX(Population_by_Province_Year!$B$5:$J$29,MATCH($A1995,Population_by_Province_Year!$A$5:$A$29,0),MATCH($B1995,Population_by_Province_Year!$B$4:$J$4,0)),"")</f>
        <v>878018</v>
      </c>
      <c r="H1995" s="22">
        <f>IFERROR(D1995/G1995*100000,"")</f>
        <v>50.454546489935289</v>
      </c>
    </row>
    <row r="1996" spans="1:8" ht="15" customHeight="1" x14ac:dyDescent="0.3">
      <c r="A1996" s="20" t="s">
        <v>3</v>
      </c>
      <c r="B1996" s="20">
        <v>2025</v>
      </c>
      <c r="C1996" s="20" t="s">
        <v>102</v>
      </c>
      <c r="D1996" s="20">
        <v>186</v>
      </c>
      <c r="E1996" s="20">
        <v>0</v>
      </c>
      <c r="F1996" s="22">
        <f>IFERROR(E1996/D1996*100,"")</f>
        <v>0</v>
      </c>
      <c r="G1996" s="23">
        <f>IFERROR(INDEX(Population_by_Province_Year!$B$5:$J$29,MATCH($A1996,Population_by_Province_Year!$A$5:$A$29,0),MATCH($B1996,Population_by_Province_Year!$B$4:$J$4,0)),"")</f>
        <v>974136</v>
      </c>
      <c r="H1996" s="22">
        <f>IFERROR(D1996/G1996*100000,"")</f>
        <v>19.093843159476705</v>
      </c>
    </row>
    <row r="1997" spans="1:8" ht="15" customHeight="1" x14ac:dyDescent="0.3">
      <c r="A1997" s="20" t="s">
        <v>4</v>
      </c>
      <c r="B1997" s="20">
        <v>2025</v>
      </c>
      <c r="C1997" s="20" t="s">
        <v>102</v>
      </c>
      <c r="D1997" s="20">
        <v>168</v>
      </c>
      <c r="E1997" s="20">
        <v>2</v>
      </c>
      <c r="F1997" s="22">
        <f>IFERROR(E1997/D1997*100,"")</f>
        <v>1.1904761904761905</v>
      </c>
      <c r="G1997" s="23">
        <f>IFERROR(INDEX(Population_by_Province_Year!$B$5:$J$29,MATCH($A1997,Population_by_Province_Year!$A$5:$A$29,0),MATCH($B1997,Population_by_Province_Year!$B$4:$J$4,0)),"")</f>
        <v>1127042</v>
      </c>
      <c r="H1997" s="22">
        <f>IFERROR(D1997/G1997*100000,"")</f>
        <v>14.906276784716098</v>
      </c>
    </row>
    <row r="1998" spans="1:8" ht="15" customHeight="1" x14ac:dyDescent="0.3">
      <c r="A1998" s="20" t="s">
        <v>5</v>
      </c>
      <c r="B1998" s="20">
        <v>2025</v>
      </c>
      <c r="C1998" s="20" t="s">
        <v>102</v>
      </c>
      <c r="D1998" s="20">
        <v>567</v>
      </c>
      <c r="E1998" s="20">
        <v>1</v>
      </c>
      <c r="F1998" s="22">
        <f>IFERROR(E1998/D1998*100,"")</f>
        <v>0.17636684303350969</v>
      </c>
      <c r="G1998" s="23">
        <f>IFERROR(INDEX(Population_by_Province_Year!$B$5:$J$29,MATCH($A1998,Population_by_Province_Year!$A$5:$A$29,0),MATCH($B1998,Population_by_Province_Year!$B$4:$J$4,0)),"")</f>
        <v>1016981</v>
      </c>
      <c r="H1998" s="22">
        <f>IFERROR(D1998/G1998*100000,"")</f>
        <v>55.753253993929086</v>
      </c>
    </row>
    <row r="1999" spans="1:8" ht="15" customHeight="1" x14ac:dyDescent="0.3">
      <c r="A1999" s="20" t="s">
        <v>6</v>
      </c>
      <c r="B1999" s="20">
        <v>2025</v>
      </c>
      <c r="C1999" s="20" t="s">
        <v>102</v>
      </c>
      <c r="D1999" s="20">
        <v>425</v>
      </c>
      <c r="E1999" s="20">
        <v>1</v>
      </c>
      <c r="F1999" s="22">
        <f>IFERROR(E1999/D1999*100,"")</f>
        <v>0.23529411764705879</v>
      </c>
      <c r="G1999" s="23">
        <f>IFERROR(INDEX(Population_by_Province_Year!$B$5:$J$29,MATCH($A1999,Population_by_Province_Year!$A$5:$A$29,0),MATCH($B1999,Population_by_Province_Year!$B$4:$J$4,0)),"")</f>
        <v>595668</v>
      </c>
      <c r="H1999" s="22">
        <f>IFERROR(D1999/G1999*100000,"")</f>
        <v>71.348469281546087</v>
      </c>
    </row>
    <row r="2000" spans="1:8" ht="15" customHeight="1" x14ac:dyDescent="0.3">
      <c r="A2000" s="20" t="s">
        <v>7</v>
      </c>
      <c r="B2000" s="20">
        <v>2025</v>
      </c>
      <c r="C2000" s="20" t="s">
        <v>102</v>
      </c>
      <c r="D2000" s="20">
        <v>452</v>
      </c>
      <c r="E2000" s="20">
        <v>1</v>
      </c>
      <c r="F2000" s="22">
        <f>IFERROR(E2000/D2000*100,"")</f>
        <v>0.22123893805309736</v>
      </c>
      <c r="G2000" s="23">
        <f>IFERROR(INDEX(Population_by_Province_Year!$B$5:$J$29,MATCH($A2000,Population_by_Province_Year!$A$5:$A$29,0),MATCH($B2000,Population_by_Province_Year!$B$4:$J$4,0)),"")</f>
        <v>991813</v>
      </c>
      <c r="H2000" s="22">
        <f>IFERROR(D2000/G2000*100000,"")</f>
        <v>45.573107027231949</v>
      </c>
    </row>
    <row r="2001" spans="1:8" ht="15" customHeight="1" x14ac:dyDescent="0.3">
      <c r="A2001" s="20" t="s">
        <v>8</v>
      </c>
      <c r="B2001" s="20">
        <v>2025</v>
      </c>
      <c r="C2001" s="20" t="s">
        <v>102</v>
      </c>
      <c r="D2001" s="20">
        <v>928</v>
      </c>
      <c r="E2001" s="20">
        <v>5</v>
      </c>
      <c r="F2001" s="22">
        <f>IFERROR(E2001/D2001*100,"")</f>
        <v>0.53879310344827591</v>
      </c>
      <c r="G2001" s="23">
        <f>IFERROR(INDEX(Population_by_Province_Year!$B$5:$J$29,MATCH($A2001,Population_by_Province_Year!$A$5:$A$29,0),MATCH($B2001,Population_by_Province_Year!$B$4:$J$4,0)),"")</f>
        <v>770315</v>
      </c>
      <c r="H2001" s="22">
        <f>IFERROR(D2001/G2001*100000,"")</f>
        <v>120.47019725696632</v>
      </c>
    </row>
    <row r="2002" spans="1:8" ht="15" customHeight="1" x14ac:dyDescent="0.3">
      <c r="A2002" s="20" t="s">
        <v>9</v>
      </c>
      <c r="B2002" s="20">
        <v>2025</v>
      </c>
      <c r="C2002" s="20" t="s">
        <v>102</v>
      </c>
      <c r="D2002" s="20">
        <v>96</v>
      </c>
      <c r="E2002" s="20">
        <v>0</v>
      </c>
      <c r="F2002" s="22">
        <f>IFERROR(E2002/D2002*100,"")</f>
        <v>0</v>
      </c>
      <c r="G2002" s="23">
        <f>IFERROR(INDEX(Population_by_Province_Year!$B$5:$J$29,MATCH($A2002,Population_by_Province_Year!$A$5:$A$29,0),MATCH($B2002,Population_by_Province_Year!$B$4:$J$4,0)),"")</f>
        <v>671170</v>
      </c>
      <c r="H2002" s="22">
        <f>IFERROR(D2002/G2002*100000,"")</f>
        <v>14.303380663617267</v>
      </c>
    </row>
    <row r="2003" spans="1:8" ht="15" customHeight="1" x14ac:dyDescent="0.3">
      <c r="A2003" s="20" t="s">
        <v>10</v>
      </c>
      <c r="B2003" s="20">
        <v>2025</v>
      </c>
      <c r="C2003" s="20" t="s">
        <v>102</v>
      </c>
      <c r="D2003" s="20">
        <v>518</v>
      </c>
      <c r="E2003" s="20">
        <v>0</v>
      </c>
      <c r="F2003" s="22">
        <f>IFERROR(E2003/D2003*100,"")</f>
        <v>0</v>
      </c>
      <c r="G2003" s="23">
        <f>IFERROR(INDEX(Population_by_Province_Year!$B$5:$J$29,MATCH($A2003,Population_by_Province_Year!$A$5:$A$29,0),MATCH($B2003,Population_by_Province_Year!$B$4:$J$4,0)),"")</f>
        <v>1358077</v>
      </c>
      <c r="H2003" s="22">
        <f>IFERROR(D2003/G2003*100000,"")</f>
        <v>38.142167196705337</v>
      </c>
    </row>
    <row r="2004" spans="1:8" ht="15" customHeight="1" x14ac:dyDescent="0.3">
      <c r="A2004" s="20" t="s">
        <v>11</v>
      </c>
      <c r="B2004" s="20">
        <v>2025</v>
      </c>
      <c r="C2004" s="20" t="s">
        <v>102</v>
      </c>
      <c r="D2004" s="20">
        <v>35</v>
      </c>
      <c r="E2004" s="20">
        <v>0</v>
      </c>
      <c r="F2004" s="22">
        <f>IFERROR(E2004/D2004*100,"")</f>
        <v>0</v>
      </c>
      <c r="G2004" s="23">
        <f>IFERROR(INDEX(Population_by_Province_Year!$B$5:$J$29,MATCH($A2004,Population_by_Province_Year!$A$5:$A$29,0),MATCH($B2004,Population_by_Province_Year!$B$4:$J$4,0)),"")</f>
        <v>48222</v>
      </c>
      <c r="H2004" s="22">
        <f>IFERROR(D2004/G2004*100000,"")</f>
        <v>72.580979635850852</v>
      </c>
    </row>
    <row r="2005" spans="1:8" ht="15" customHeight="1" x14ac:dyDescent="0.3">
      <c r="A2005" s="20" t="s">
        <v>12</v>
      </c>
      <c r="B2005" s="20">
        <v>2025</v>
      </c>
      <c r="C2005" s="20" t="s">
        <v>102</v>
      </c>
      <c r="D2005" s="20">
        <v>53</v>
      </c>
      <c r="E2005" s="20">
        <v>0</v>
      </c>
      <c r="F2005" s="22">
        <f>IFERROR(E2005/D2005*100,"")</f>
        <v>0</v>
      </c>
      <c r="G2005" s="23">
        <f>IFERROR(INDEX(Population_by_Province_Year!$B$5:$J$29,MATCH($A2005,Population_by_Province_Year!$A$5:$A$29,0),MATCH($B2005,Population_by_Province_Year!$B$4:$J$4,0)),"")</f>
        <v>142300</v>
      </c>
      <c r="H2005" s="22">
        <f>IFERROR(D2005/G2005*100000,"")</f>
        <v>37.245256500351374</v>
      </c>
    </row>
    <row r="2006" spans="1:8" ht="15" customHeight="1" x14ac:dyDescent="0.3">
      <c r="A2006" s="20" t="s">
        <v>13</v>
      </c>
      <c r="B2006" s="20">
        <v>2025</v>
      </c>
      <c r="C2006" s="20" t="s">
        <v>102</v>
      </c>
      <c r="D2006" s="20">
        <v>309</v>
      </c>
      <c r="E2006" s="20">
        <v>2</v>
      </c>
      <c r="F2006" s="22">
        <f>IFERROR(E2006/D2006*100,"")</f>
        <v>0.64724919093851141</v>
      </c>
      <c r="G2006" s="23">
        <f>IFERROR(INDEX(Population_by_Province_Year!$B$5:$J$29,MATCH($A2006,Population_by_Province_Year!$A$5:$A$29,0),MATCH($B2006,Population_by_Province_Year!$B$4:$J$4,0)),"")</f>
        <v>423564</v>
      </c>
      <c r="H2006" s="22">
        <f>IFERROR(D2006/G2006*100000,"")</f>
        <v>72.952375555996255</v>
      </c>
    </row>
    <row r="2007" spans="1:8" ht="15" customHeight="1" x14ac:dyDescent="0.3">
      <c r="A2007" s="20" t="s">
        <v>14</v>
      </c>
      <c r="B2007" s="20">
        <v>2025</v>
      </c>
      <c r="C2007" s="20" t="s">
        <v>102</v>
      </c>
      <c r="D2007" s="20">
        <v>47</v>
      </c>
      <c r="E2007" s="20">
        <v>0</v>
      </c>
      <c r="F2007" s="22">
        <f>IFERROR(E2007/D2007*100,"")</f>
        <v>0</v>
      </c>
      <c r="G2007" s="23">
        <f>IFERROR(INDEX(Population_by_Province_Year!$B$5:$J$29,MATCH($A2007,Population_by_Province_Year!$A$5:$A$29,0),MATCH($B2007,Population_by_Province_Year!$B$4:$J$4,0)),"")</f>
        <v>104223</v>
      </c>
      <c r="H2007" s="22">
        <f>IFERROR(D2007/G2007*100000,"")</f>
        <v>45.095612292872012</v>
      </c>
    </row>
    <row r="2008" spans="1:8" ht="15" customHeight="1" x14ac:dyDescent="0.3">
      <c r="A2008" s="20" t="s">
        <v>15</v>
      </c>
      <c r="B2008" s="20">
        <v>2025</v>
      </c>
      <c r="C2008" s="20" t="s">
        <v>102</v>
      </c>
      <c r="D2008" s="20">
        <v>379</v>
      </c>
      <c r="E2008" s="20">
        <v>0</v>
      </c>
      <c r="F2008" s="22">
        <f>IFERROR(E2008/D2008*100,"")</f>
        <v>0</v>
      </c>
      <c r="G2008" s="23">
        <f>IFERROR(INDEX(Population_by_Province_Year!$B$5:$J$29,MATCH($A2008,Population_by_Province_Year!$A$5:$A$29,0),MATCH($B2008,Population_by_Province_Year!$B$4:$J$4,0)),"")</f>
        <v>311990</v>
      </c>
      <c r="H2008" s="22">
        <f>IFERROR(D2008/G2008*100000,"")</f>
        <v>121.47825250809321</v>
      </c>
    </row>
    <row r="2009" spans="1:8" ht="15" customHeight="1" x14ac:dyDescent="0.3">
      <c r="A2009" s="20" t="s">
        <v>16</v>
      </c>
      <c r="B2009" s="20">
        <v>2025</v>
      </c>
      <c r="C2009" s="20" t="s">
        <v>102</v>
      </c>
      <c r="D2009" s="20">
        <v>20</v>
      </c>
      <c r="E2009" s="20">
        <v>0</v>
      </c>
      <c r="F2009" s="22">
        <f>IFERROR(E2009/D2009*100,"")</f>
        <v>0</v>
      </c>
      <c r="G2009" s="23">
        <f>IFERROR(INDEX(Population_by_Province_Year!$B$5:$J$29,MATCH($A2009,Population_by_Province_Year!$A$5:$A$29,0),MATCH($B2009,Population_by_Province_Year!$B$4:$J$4,0)),"")</f>
        <v>84895</v>
      </c>
      <c r="H2009" s="22">
        <f>IFERROR(D2009/G2009*100000,"")</f>
        <v>23.558513457800814</v>
      </c>
    </row>
    <row r="2010" spans="1:8" ht="15" customHeight="1" x14ac:dyDescent="0.3">
      <c r="A2010" s="20" t="s">
        <v>17</v>
      </c>
      <c r="B2010" s="20">
        <v>2025</v>
      </c>
      <c r="C2010" s="20" t="s">
        <v>102</v>
      </c>
      <c r="D2010" s="20">
        <v>467</v>
      </c>
      <c r="E2010" s="20">
        <v>2</v>
      </c>
      <c r="F2010" s="22">
        <f>IFERROR(E2010/D2010*100,"")</f>
        <v>0.42826552462526768</v>
      </c>
      <c r="G2010" s="23">
        <f>IFERROR(INDEX(Population_by_Province_Year!$B$5:$J$29,MATCH($A2010,Population_by_Province_Year!$A$5:$A$29,0),MATCH($B2010,Population_by_Province_Year!$B$4:$J$4,0)),"")</f>
        <v>2579157</v>
      </c>
      <c r="H2010" s="22">
        <f>IFERROR(D2010/G2010*100000,"")</f>
        <v>18.106691449958259</v>
      </c>
    </row>
    <row r="2011" spans="1:8" ht="15" customHeight="1" x14ac:dyDescent="0.3">
      <c r="A2011" s="20" t="s">
        <v>18</v>
      </c>
      <c r="B2011" s="20">
        <v>2025</v>
      </c>
      <c r="C2011" s="20" t="s">
        <v>102</v>
      </c>
      <c r="D2011" s="20">
        <v>297</v>
      </c>
      <c r="E2011" s="20">
        <v>0</v>
      </c>
      <c r="F2011" s="22">
        <f>IFERROR(E2011/D2011*100,"")</f>
        <v>0</v>
      </c>
      <c r="G2011" s="23">
        <f>IFERROR(INDEX(Population_by_Province_Year!$B$5:$J$29,MATCH($A2011,Population_by_Province_Year!$A$5:$A$29,0),MATCH($B2011,Population_by_Province_Year!$B$4:$J$4,0)),"")</f>
        <v>350456</v>
      </c>
      <c r="H2011" s="22">
        <f>IFERROR(D2011/G2011*100000,"")</f>
        <v>84.746729974661591</v>
      </c>
    </row>
    <row r="2012" spans="1:8" ht="15" customHeight="1" x14ac:dyDescent="0.3">
      <c r="A2012" s="20" t="s">
        <v>19</v>
      </c>
      <c r="B2012" s="20">
        <v>2025</v>
      </c>
      <c r="C2012" s="20" t="s">
        <v>102</v>
      </c>
      <c r="D2012" s="20">
        <v>456</v>
      </c>
      <c r="E2012" s="20">
        <v>0</v>
      </c>
      <c r="F2012" s="22">
        <f>IFERROR(E2012/D2012*100,"")</f>
        <v>0</v>
      </c>
      <c r="G2012" s="23">
        <f>IFERROR(INDEX(Population_by_Province_Year!$B$5:$J$29,MATCH($A2012,Population_by_Province_Year!$A$5:$A$29,0),MATCH($B2012,Population_by_Province_Year!$B$4:$J$4,0)),"")</f>
        <v>288016</v>
      </c>
      <c r="H2012" s="22">
        <f>IFERROR(D2012/G2012*100000,"")</f>
        <v>158.32453752569302</v>
      </c>
    </row>
    <row r="2013" spans="1:8" ht="15" customHeight="1" x14ac:dyDescent="0.3">
      <c r="A2013" s="20" t="s">
        <v>20</v>
      </c>
      <c r="B2013" s="20">
        <v>2025</v>
      </c>
      <c r="C2013" s="20" t="s">
        <v>102</v>
      </c>
      <c r="D2013" s="20">
        <v>168</v>
      </c>
      <c r="E2013" s="20">
        <v>1</v>
      </c>
      <c r="F2013" s="22">
        <f>IFERROR(E2013/D2013*100,"")</f>
        <v>0.59523809523809523</v>
      </c>
      <c r="G2013" s="23">
        <f>IFERROR(INDEX(Population_by_Province_Year!$B$5:$J$29,MATCH($A2013,Population_by_Province_Year!$A$5:$A$29,0),MATCH($B2013,Population_by_Province_Year!$B$4:$J$4,0)),"")</f>
        <v>1195479</v>
      </c>
      <c r="H2013" s="22">
        <f>IFERROR(D2013/G2013*100000,"")</f>
        <v>14.052944468284259</v>
      </c>
    </row>
    <row r="2014" spans="1:8" ht="15" customHeight="1" x14ac:dyDescent="0.3">
      <c r="A2014" s="20" t="s">
        <v>21</v>
      </c>
      <c r="B2014" s="20">
        <v>2025</v>
      </c>
      <c r="C2014" s="20" t="s">
        <v>102</v>
      </c>
      <c r="D2014" s="20">
        <v>166</v>
      </c>
      <c r="E2014" s="20">
        <v>0</v>
      </c>
      <c r="F2014" s="22">
        <f>IFERROR(E2014/D2014*100,"")</f>
        <v>0</v>
      </c>
      <c r="G2014" s="23">
        <f>IFERROR(INDEX(Population_by_Province_Year!$B$5:$J$29,MATCH($A2014,Population_by_Province_Year!$A$5:$A$29,0),MATCH($B2014,Population_by_Province_Year!$B$4:$J$4,0)),"")</f>
        <v>474647</v>
      </c>
      <c r="H2014" s="22">
        <f>IFERROR(D2014/G2014*100000,"")</f>
        <v>34.973359149009681</v>
      </c>
    </row>
    <row r="2015" spans="1:8" ht="15" customHeight="1" x14ac:dyDescent="0.3">
      <c r="A2015" s="20" t="s">
        <v>22</v>
      </c>
      <c r="B2015" s="20">
        <v>2025</v>
      </c>
      <c r="C2015" s="20" t="s">
        <v>102</v>
      </c>
      <c r="D2015" s="20">
        <v>35</v>
      </c>
      <c r="E2015" s="20">
        <v>0</v>
      </c>
      <c r="F2015" s="22">
        <f>IFERROR(E2015/D2015*100,"")</f>
        <v>0</v>
      </c>
      <c r="G2015" s="23">
        <f>IFERROR(INDEX(Population_by_Province_Year!$B$5:$J$29,MATCH($A2015,Population_by_Province_Year!$A$5:$A$29,0),MATCH($B2015,Population_by_Province_Year!$B$4:$J$4,0)),"")</f>
        <v>245774</v>
      </c>
      <c r="H2015" s="22">
        <f>IFERROR(D2015/G2015*100000,"")</f>
        <v>14.24072521910373</v>
      </c>
    </row>
    <row r="2016" spans="1:8" ht="15" customHeight="1" x14ac:dyDescent="0.3">
      <c r="A2016" s="20" t="s">
        <v>23</v>
      </c>
      <c r="B2016" s="20">
        <v>2025</v>
      </c>
      <c r="C2016" s="20" t="s">
        <v>102</v>
      </c>
      <c r="D2016" s="20">
        <v>672</v>
      </c>
      <c r="E2016" s="20">
        <v>1</v>
      </c>
      <c r="F2016" s="22">
        <f>IFERROR(E2016/D2016*100,"")</f>
        <v>0.14880952380952381</v>
      </c>
      <c r="G2016" s="23">
        <f>IFERROR(INDEX(Population_by_Province_Year!$B$5:$J$29,MATCH($A2016,Population_by_Province_Year!$A$5:$A$29,0),MATCH($B2016,Population_by_Province_Year!$B$4:$J$4,0)),"")</f>
        <v>1146330</v>
      </c>
      <c r="H2016" s="22">
        <f>IFERROR(D2016/G2016*100000,"")</f>
        <v>58.621862814372825</v>
      </c>
    </row>
    <row r="2017" spans="1:8" ht="15" customHeight="1" x14ac:dyDescent="0.3">
      <c r="A2017" s="20" t="s">
        <v>24</v>
      </c>
      <c r="B2017" s="20">
        <v>2025</v>
      </c>
      <c r="C2017" s="20" t="s">
        <v>102</v>
      </c>
      <c r="D2017" s="20">
        <v>29</v>
      </c>
      <c r="E2017" s="20">
        <v>0</v>
      </c>
      <c r="F2017" s="22">
        <f>IFERROR(E2017/D2017*100,"")</f>
        <v>0</v>
      </c>
      <c r="G2017" s="23">
        <f>IFERROR(INDEX(Population_by_Province_Year!$B$5:$J$29,MATCH($A2017,Population_by_Province_Year!$A$5:$A$29,0),MATCH($B2017,Population_by_Province_Year!$B$4:$J$4,0)),"")</f>
        <v>187296</v>
      </c>
      <c r="H2017" s="22">
        <f>IFERROR(D2017/G2017*100000,"")</f>
        <v>15.48351272851529</v>
      </c>
    </row>
    <row r="2018" spans="1:8" ht="15" customHeight="1" x14ac:dyDescent="0.3">
      <c r="A2018" s="20" t="s">
        <v>25</v>
      </c>
      <c r="B2018" s="20">
        <v>2025</v>
      </c>
      <c r="C2018" s="20" t="s">
        <v>102</v>
      </c>
      <c r="D2018" s="20">
        <v>85</v>
      </c>
      <c r="E2018" s="20">
        <v>0</v>
      </c>
      <c r="F2018" s="22">
        <f>IFERROR(E2018/D2018*100,"")</f>
        <v>0</v>
      </c>
      <c r="G2018" s="23">
        <f>IFERROR(INDEX(Population_by_Province_Year!$B$5:$J$29,MATCH($A2018,Population_by_Province_Year!$A$5:$A$29,0),MATCH($B2018,Population_by_Province_Year!$B$4:$J$4,0)),"")</f>
        <v>593939</v>
      </c>
      <c r="H2018" s="22">
        <f>IFERROR(D2018/G2018*100000,"")</f>
        <v>14.311233981940905</v>
      </c>
    </row>
    <row r="2019" spans="1:8" ht="15" customHeight="1" x14ac:dyDescent="0.3">
      <c r="A2019" s="20" t="s">
        <v>26</v>
      </c>
      <c r="B2019" s="20">
        <v>2025</v>
      </c>
      <c r="C2019" s="20" t="s">
        <v>102</v>
      </c>
      <c r="D2019" s="20">
        <v>207</v>
      </c>
      <c r="E2019" s="20">
        <v>0</v>
      </c>
      <c r="F2019" s="22">
        <f>IFERROR(E2019/D2019*100,"")</f>
        <v>0</v>
      </c>
      <c r="G2019" s="23">
        <f>IFERROR(INDEX(Population_by_Province_Year!$B$5:$J$29,MATCH($A2019,Population_by_Province_Year!$A$5:$A$29,0),MATCH($B2019,Population_by_Province_Year!$B$4:$J$4,0)),"")</f>
        <v>1018251</v>
      </c>
      <c r="H2019" s="22">
        <f>IFERROR(D2019/G2019*100000,"")</f>
        <v>20.328975861550834</v>
      </c>
    </row>
    <row r="2020" spans="1:8" ht="15" customHeight="1" x14ac:dyDescent="0.3">
      <c r="A2020" s="20" t="s">
        <v>27</v>
      </c>
      <c r="B2020" s="20">
        <v>2025</v>
      </c>
      <c r="C2020" s="20" t="s">
        <v>102</v>
      </c>
      <c r="D2020" s="20">
        <v>1061</v>
      </c>
      <c r="E2020" s="20">
        <v>2</v>
      </c>
      <c r="F2020" s="22">
        <f>IFERROR(E2020/D2020*100,"")</f>
        <v>0.1885014137606032</v>
      </c>
      <c r="G2020" s="23">
        <f>IFERROR(INDEX(Population_by_Province_Year!$B$5:$J$29,MATCH($A2020,Population_by_Province_Year!$A$5:$A$29,0),MATCH($B2020,Population_by_Province_Year!$B$4:$J$4,0)),"")</f>
        <v>878018</v>
      </c>
      <c r="H2020" s="22">
        <f>IFERROR(D2020/G2020*100000,"")</f>
        <v>120.84034723661701</v>
      </c>
    </row>
    <row r="2021" spans="1:8" ht="15" customHeight="1" x14ac:dyDescent="0.3">
      <c r="A2021" s="20" t="s">
        <v>3</v>
      </c>
      <c r="B2021" s="20">
        <v>2025</v>
      </c>
      <c r="C2021" s="20" t="s">
        <v>101</v>
      </c>
      <c r="D2021" s="20">
        <v>417</v>
      </c>
      <c r="E2021" s="20">
        <v>2</v>
      </c>
      <c r="F2021" s="22">
        <f>IFERROR(E2021/D2021*100,"")</f>
        <v>0.47961630695443641</v>
      </c>
      <c r="G2021" s="23">
        <f>IFERROR(INDEX(Population_by_Province_Year!$B$5:$J$29,MATCH($A2021,Population_by_Province_Year!$A$5:$A$29,0),MATCH($B2021,Population_by_Province_Year!$B$4:$J$4,0)),"")</f>
        <v>974136</v>
      </c>
      <c r="H2021" s="22">
        <f>IFERROR(D2021/G2021*100000,"")</f>
        <v>42.807164502697773</v>
      </c>
    </row>
    <row r="2022" spans="1:8" ht="15" customHeight="1" x14ac:dyDescent="0.3">
      <c r="A2022" s="20" t="s">
        <v>4</v>
      </c>
      <c r="B2022" s="20">
        <v>2025</v>
      </c>
      <c r="C2022" s="20" t="s">
        <v>101</v>
      </c>
      <c r="D2022" s="20">
        <v>381</v>
      </c>
      <c r="E2022" s="20">
        <v>2</v>
      </c>
      <c r="F2022" s="22">
        <f>IFERROR(E2022/D2022*100,"")</f>
        <v>0.52493438320209973</v>
      </c>
      <c r="G2022" s="23">
        <f>IFERROR(INDEX(Population_by_Province_Year!$B$5:$J$29,MATCH($A2022,Population_by_Province_Year!$A$5:$A$29,0),MATCH($B2022,Population_by_Province_Year!$B$4:$J$4,0)),"")</f>
        <v>1127042</v>
      </c>
      <c r="H2022" s="22">
        <f>IFERROR(D2022/G2022*100000,"")</f>
        <v>33.805306279624006</v>
      </c>
    </row>
    <row r="2023" spans="1:8" ht="15" customHeight="1" x14ac:dyDescent="0.3">
      <c r="A2023" s="20" t="s">
        <v>5</v>
      </c>
      <c r="B2023" s="20">
        <v>2025</v>
      </c>
      <c r="C2023" s="20" t="s">
        <v>101</v>
      </c>
      <c r="D2023" s="20">
        <v>749</v>
      </c>
      <c r="E2023" s="20">
        <v>1</v>
      </c>
      <c r="F2023" s="22">
        <f>IFERROR(E2023/D2023*100,"")</f>
        <v>0.13351134846461948</v>
      </c>
      <c r="G2023" s="23">
        <f>IFERROR(INDEX(Population_by_Province_Year!$B$5:$J$29,MATCH($A2023,Population_by_Province_Year!$A$5:$A$29,0),MATCH($B2023,Population_by_Province_Year!$B$4:$J$4,0)),"")</f>
        <v>1016981</v>
      </c>
      <c r="H2023" s="22">
        <f>IFERROR(D2023/G2023*100000,"")</f>
        <v>73.64936021420263</v>
      </c>
    </row>
    <row r="2024" spans="1:8" ht="15" customHeight="1" x14ac:dyDescent="0.3">
      <c r="A2024" s="20" t="s">
        <v>6</v>
      </c>
      <c r="B2024" s="20">
        <v>2025</v>
      </c>
      <c r="C2024" s="20" t="s">
        <v>101</v>
      </c>
      <c r="D2024" s="20">
        <v>635</v>
      </c>
      <c r="E2024" s="20">
        <v>1</v>
      </c>
      <c r="F2024" s="22">
        <f>IFERROR(E2024/D2024*100,"")</f>
        <v>0.15748031496062992</v>
      </c>
      <c r="G2024" s="23">
        <f>IFERROR(INDEX(Population_by_Province_Year!$B$5:$J$29,MATCH($A2024,Population_by_Province_Year!$A$5:$A$29,0),MATCH($B2024,Population_by_Province_Year!$B$4:$J$4,0)),"")</f>
        <v>595668</v>
      </c>
      <c r="H2024" s="22">
        <f>IFERROR(D2024/G2024*100000,"")</f>
        <v>106.6030070441924</v>
      </c>
    </row>
    <row r="2025" spans="1:8" ht="15" customHeight="1" x14ac:dyDescent="0.3">
      <c r="A2025" s="20" t="s">
        <v>7</v>
      </c>
      <c r="B2025" s="20">
        <v>2025</v>
      </c>
      <c r="C2025" s="20" t="s">
        <v>101</v>
      </c>
      <c r="D2025" s="20">
        <v>1276</v>
      </c>
      <c r="E2025" s="20">
        <v>1</v>
      </c>
      <c r="F2025" s="22">
        <f>IFERROR(E2025/D2025*100,"")</f>
        <v>7.8369905956112845E-2</v>
      </c>
      <c r="G2025" s="23">
        <f>IFERROR(INDEX(Population_by_Province_Year!$B$5:$J$29,MATCH($A2025,Population_by_Province_Year!$A$5:$A$29,0),MATCH($B2025,Population_by_Province_Year!$B$4:$J$4,0)),"")</f>
        <v>991813</v>
      </c>
      <c r="H2025" s="22">
        <f>IFERROR(D2025/G2025*100000,"")</f>
        <v>128.6532844397079</v>
      </c>
    </row>
    <row r="2026" spans="1:8" ht="15" customHeight="1" x14ac:dyDescent="0.3">
      <c r="A2026" s="20" t="s">
        <v>8</v>
      </c>
      <c r="B2026" s="20">
        <v>2025</v>
      </c>
      <c r="C2026" s="20" t="s">
        <v>101</v>
      </c>
      <c r="D2026" s="20">
        <v>1354</v>
      </c>
      <c r="E2026" s="20">
        <v>2</v>
      </c>
      <c r="F2026" s="22">
        <f>IFERROR(E2026/D2026*100,"")</f>
        <v>0.14771048744460857</v>
      </c>
      <c r="G2026" s="23">
        <f>IFERROR(INDEX(Population_by_Province_Year!$B$5:$J$29,MATCH($A2026,Population_by_Province_Year!$A$5:$A$29,0),MATCH($B2026,Population_by_Province_Year!$B$4:$J$4,0)),"")</f>
        <v>770315</v>
      </c>
      <c r="H2026" s="22">
        <f>IFERROR(D2026/G2026*100000,"")</f>
        <v>175.77224901501333</v>
      </c>
    </row>
    <row r="2027" spans="1:8" ht="15" customHeight="1" x14ac:dyDescent="0.3">
      <c r="A2027" s="20" t="s">
        <v>9</v>
      </c>
      <c r="B2027" s="20">
        <v>2025</v>
      </c>
      <c r="C2027" s="20" t="s">
        <v>101</v>
      </c>
      <c r="D2027" s="20">
        <v>201</v>
      </c>
      <c r="E2027" s="20">
        <v>0</v>
      </c>
      <c r="F2027" s="22">
        <f>IFERROR(E2027/D2027*100,"")</f>
        <v>0</v>
      </c>
      <c r="G2027" s="23">
        <f>IFERROR(INDEX(Population_by_Province_Year!$B$5:$J$29,MATCH($A2027,Population_by_Province_Year!$A$5:$A$29,0),MATCH($B2027,Population_by_Province_Year!$B$4:$J$4,0)),"")</f>
        <v>671170</v>
      </c>
      <c r="H2027" s="22">
        <f>IFERROR(D2027/G2027*100000,"")</f>
        <v>29.947703264448648</v>
      </c>
    </row>
    <row r="2028" spans="1:8" ht="15" customHeight="1" x14ac:dyDescent="0.3">
      <c r="A2028" s="20" t="s">
        <v>10</v>
      </c>
      <c r="B2028" s="20">
        <v>2025</v>
      </c>
      <c r="C2028" s="20" t="s">
        <v>101</v>
      </c>
      <c r="D2028" s="20">
        <v>969</v>
      </c>
      <c r="E2028" s="20">
        <v>1</v>
      </c>
      <c r="F2028" s="22">
        <f>IFERROR(E2028/D2028*100,"")</f>
        <v>0.10319917440660474</v>
      </c>
      <c r="G2028" s="23">
        <f>IFERROR(INDEX(Population_by_Province_Year!$B$5:$J$29,MATCH($A2028,Population_by_Province_Year!$A$5:$A$29,0),MATCH($B2028,Population_by_Province_Year!$B$4:$J$4,0)),"")</f>
        <v>1358077</v>
      </c>
      <c r="H2028" s="22">
        <f>IFERROR(D2028/G2028*100000,"")</f>
        <v>71.350888057157292</v>
      </c>
    </row>
    <row r="2029" spans="1:8" ht="15" customHeight="1" x14ac:dyDescent="0.3">
      <c r="A2029" s="20" t="s">
        <v>11</v>
      </c>
      <c r="B2029" s="20">
        <v>2025</v>
      </c>
      <c r="C2029" s="20" t="s">
        <v>101</v>
      </c>
      <c r="D2029" s="20">
        <v>41</v>
      </c>
      <c r="E2029" s="20">
        <v>0</v>
      </c>
      <c r="F2029" s="22">
        <f>IFERROR(E2029/D2029*100,"")</f>
        <v>0</v>
      </c>
      <c r="G2029" s="23">
        <f>IFERROR(INDEX(Population_by_Province_Year!$B$5:$J$29,MATCH($A2029,Population_by_Province_Year!$A$5:$A$29,0),MATCH($B2029,Population_by_Province_Year!$B$4:$J$4,0)),"")</f>
        <v>48222</v>
      </c>
      <c r="H2029" s="22">
        <f>IFERROR(D2029/G2029*100000,"")</f>
        <v>85.023433287711001</v>
      </c>
    </row>
    <row r="2030" spans="1:8" ht="15" customHeight="1" x14ac:dyDescent="0.3">
      <c r="A2030" s="20" t="s">
        <v>12</v>
      </c>
      <c r="B2030" s="20">
        <v>2025</v>
      </c>
      <c r="C2030" s="20" t="s">
        <v>101</v>
      </c>
      <c r="D2030" s="20">
        <v>81</v>
      </c>
      <c r="E2030" s="20">
        <v>0</v>
      </c>
      <c r="F2030" s="22">
        <f>IFERROR(E2030/D2030*100,"")</f>
        <v>0</v>
      </c>
      <c r="G2030" s="23">
        <f>IFERROR(INDEX(Population_by_Province_Year!$B$5:$J$29,MATCH($A2030,Population_by_Province_Year!$A$5:$A$29,0),MATCH($B2030,Population_by_Province_Year!$B$4:$J$4,0)),"")</f>
        <v>142300</v>
      </c>
      <c r="H2030" s="22">
        <f>IFERROR(D2030/G2030*100000,"")</f>
        <v>56.921995783555865</v>
      </c>
    </row>
    <row r="2031" spans="1:8" ht="15" customHeight="1" x14ac:dyDescent="0.3">
      <c r="A2031" s="20" t="s">
        <v>13</v>
      </c>
      <c r="B2031" s="20">
        <v>2025</v>
      </c>
      <c r="C2031" s="20" t="s">
        <v>101</v>
      </c>
      <c r="D2031" s="20">
        <v>426</v>
      </c>
      <c r="E2031" s="20">
        <v>3</v>
      </c>
      <c r="F2031" s="22">
        <f>IFERROR(E2031/D2031*100,"")</f>
        <v>0.70422535211267612</v>
      </c>
      <c r="G2031" s="23">
        <f>IFERROR(INDEX(Population_by_Province_Year!$B$5:$J$29,MATCH($A2031,Population_by_Province_Year!$A$5:$A$29,0),MATCH($B2031,Population_by_Province_Year!$B$4:$J$4,0)),"")</f>
        <v>423564</v>
      </c>
      <c r="H2031" s="22">
        <f>IFERROR(D2031/G2031*100000,"")</f>
        <v>100.57511969855796</v>
      </c>
    </row>
    <row r="2032" spans="1:8" ht="15" customHeight="1" x14ac:dyDescent="0.3">
      <c r="A2032" s="20" t="s">
        <v>14</v>
      </c>
      <c r="B2032" s="20">
        <v>2025</v>
      </c>
      <c r="C2032" s="20" t="s">
        <v>101</v>
      </c>
      <c r="D2032" s="20">
        <v>69</v>
      </c>
      <c r="E2032" s="20">
        <v>0</v>
      </c>
      <c r="F2032" s="22">
        <f>IFERROR(E2032/D2032*100,"")</f>
        <v>0</v>
      </c>
      <c r="G2032" s="23">
        <f>IFERROR(INDEX(Population_by_Province_Year!$B$5:$J$29,MATCH($A2032,Population_by_Province_Year!$A$5:$A$29,0),MATCH($B2032,Population_by_Province_Year!$B$4:$J$4,0)),"")</f>
        <v>104223</v>
      </c>
      <c r="H2032" s="22">
        <f>IFERROR(D2032/G2032*100000,"")</f>
        <v>66.204196770386574</v>
      </c>
    </row>
    <row r="2033" spans="1:8" ht="15" customHeight="1" x14ac:dyDescent="0.3">
      <c r="A2033" s="20" t="s">
        <v>15</v>
      </c>
      <c r="B2033" s="20">
        <v>2025</v>
      </c>
      <c r="C2033" s="20" t="s">
        <v>101</v>
      </c>
      <c r="D2033" s="20">
        <v>587</v>
      </c>
      <c r="E2033" s="20">
        <v>0</v>
      </c>
      <c r="F2033" s="22">
        <f>IFERROR(E2033/D2033*100,"")</f>
        <v>0</v>
      </c>
      <c r="G2033" s="23">
        <f>IFERROR(INDEX(Population_by_Province_Year!$B$5:$J$29,MATCH($A2033,Population_by_Province_Year!$A$5:$A$29,0),MATCH($B2033,Population_by_Province_Year!$B$4:$J$4,0)),"")</f>
        <v>311990</v>
      </c>
      <c r="H2033" s="22">
        <f>IFERROR(D2033/G2033*100000,"")</f>
        <v>188.14705599538448</v>
      </c>
    </row>
    <row r="2034" spans="1:8" ht="15" customHeight="1" x14ac:dyDescent="0.3">
      <c r="A2034" s="20" t="s">
        <v>16</v>
      </c>
      <c r="B2034" s="20">
        <v>2025</v>
      </c>
      <c r="C2034" s="20" t="s">
        <v>101</v>
      </c>
      <c r="D2034" s="20">
        <v>15</v>
      </c>
      <c r="E2034" s="20">
        <v>0</v>
      </c>
      <c r="F2034" s="22">
        <f>IFERROR(E2034/D2034*100,"")</f>
        <v>0</v>
      </c>
      <c r="G2034" s="23">
        <f>IFERROR(INDEX(Population_by_Province_Year!$B$5:$J$29,MATCH($A2034,Population_by_Province_Year!$A$5:$A$29,0),MATCH($B2034,Population_by_Province_Year!$B$4:$J$4,0)),"")</f>
        <v>84895</v>
      </c>
      <c r="H2034" s="22">
        <f>IFERROR(D2034/G2034*100000,"")</f>
        <v>17.66888509335061</v>
      </c>
    </row>
    <row r="2035" spans="1:8" ht="15" customHeight="1" x14ac:dyDescent="0.3">
      <c r="A2035" s="20" t="s">
        <v>17</v>
      </c>
      <c r="B2035" s="20">
        <v>2025</v>
      </c>
      <c r="C2035" s="20" t="s">
        <v>101</v>
      </c>
      <c r="D2035" s="20">
        <v>1192</v>
      </c>
      <c r="E2035" s="20">
        <v>1</v>
      </c>
      <c r="F2035" s="22">
        <f>IFERROR(E2035/D2035*100,"")</f>
        <v>8.3892617449664433E-2</v>
      </c>
      <c r="G2035" s="23">
        <f>IFERROR(INDEX(Population_by_Province_Year!$B$5:$J$29,MATCH($A2035,Population_by_Province_Year!$A$5:$A$29,0),MATCH($B2035,Population_by_Province_Year!$B$4:$J$4,0)),"")</f>
        <v>2579157</v>
      </c>
      <c r="H2035" s="22">
        <f>IFERROR(D2035/G2035*100000,"")</f>
        <v>46.216651409743569</v>
      </c>
    </row>
    <row r="2036" spans="1:8" ht="15" customHeight="1" x14ac:dyDescent="0.3">
      <c r="A2036" s="20" t="s">
        <v>18</v>
      </c>
      <c r="B2036" s="20">
        <v>2025</v>
      </c>
      <c r="C2036" s="20" t="s">
        <v>101</v>
      </c>
      <c r="D2036" s="20">
        <v>357</v>
      </c>
      <c r="E2036" s="20">
        <v>0</v>
      </c>
      <c r="F2036" s="22">
        <f>IFERROR(E2036/D2036*100,"")</f>
        <v>0</v>
      </c>
      <c r="G2036" s="23">
        <f>IFERROR(INDEX(Population_by_Province_Year!$B$5:$J$29,MATCH($A2036,Population_by_Province_Year!$A$5:$A$29,0),MATCH($B2036,Population_by_Province_Year!$B$4:$J$4,0)),"")</f>
        <v>350456</v>
      </c>
      <c r="H2036" s="22">
        <f>IFERROR(D2036/G2036*100000,"")</f>
        <v>101.86728148469423</v>
      </c>
    </row>
    <row r="2037" spans="1:8" ht="15" customHeight="1" x14ac:dyDescent="0.3">
      <c r="A2037" s="20" t="s">
        <v>19</v>
      </c>
      <c r="B2037" s="20">
        <v>2025</v>
      </c>
      <c r="C2037" s="20" t="s">
        <v>101</v>
      </c>
      <c r="D2037" s="20">
        <v>477</v>
      </c>
      <c r="E2037" s="20">
        <v>0</v>
      </c>
      <c r="F2037" s="22">
        <f>IFERROR(E2037/D2037*100,"")</f>
        <v>0</v>
      </c>
      <c r="G2037" s="23">
        <f>IFERROR(INDEX(Population_by_Province_Year!$B$5:$J$29,MATCH($A2037,Population_by_Province_Year!$A$5:$A$29,0),MATCH($B2037,Population_by_Province_Year!$B$4:$J$4,0)),"")</f>
        <v>288016</v>
      </c>
      <c r="H2037" s="22">
        <f>IFERROR(D2037/G2037*100000,"")</f>
        <v>165.615799122271</v>
      </c>
    </row>
    <row r="2038" spans="1:8" ht="15" customHeight="1" x14ac:dyDescent="0.3">
      <c r="A2038" s="20" t="s">
        <v>20</v>
      </c>
      <c r="B2038" s="20">
        <v>2025</v>
      </c>
      <c r="C2038" s="20" t="s">
        <v>101</v>
      </c>
      <c r="D2038" s="20">
        <v>246</v>
      </c>
      <c r="E2038" s="20">
        <v>0</v>
      </c>
      <c r="F2038" s="22">
        <f>IFERROR(E2038/D2038*100,"")</f>
        <v>0</v>
      </c>
      <c r="G2038" s="23">
        <f>IFERROR(INDEX(Population_by_Province_Year!$B$5:$J$29,MATCH($A2038,Population_by_Province_Year!$A$5:$A$29,0),MATCH($B2038,Population_by_Province_Year!$B$4:$J$4,0)),"")</f>
        <v>1195479</v>
      </c>
      <c r="H2038" s="22">
        <f>IFERROR(D2038/G2038*100000,"")</f>
        <v>20.577525828559097</v>
      </c>
    </row>
    <row r="2039" spans="1:8" ht="15" customHeight="1" x14ac:dyDescent="0.3">
      <c r="A2039" s="20" t="s">
        <v>21</v>
      </c>
      <c r="B2039" s="20">
        <v>2025</v>
      </c>
      <c r="C2039" s="20" t="s">
        <v>101</v>
      </c>
      <c r="D2039" s="20">
        <v>464</v>
      </c>
      <c r="E2039" s="20">
        <v>0</v>
      </c>
      <c r="F2039" s="22">
        <f>IFERROR(E2039/D2039*100,"")</f>
        <v>0</v>
      </c>
      <c r="G2039" s="23">
        <f>IFERROR(INDEX(Population_by_Province_Year!$B$5:$J$29,MATCH($A2039,Population_by_Province_Year!$A$5:$A$29,0),MATCH($B2039,Population_by_Province_Year!$B$4:$J$4,0)),"")</f>
        <v>474647</v>
      </c>
      <c r="H2039" s="22">
        <f>IFERROR(D2039/G2039*100000,"")</f>
        <v>97.756859308075278</v>
      </c>
    </row>
    <row r="2040" spans="1:8" ht="15" customHeight="1" x14ac:dyDescent="0.3">
      <c r="A2040" s="20" t="s">
        <v>22</v>
      </c>
      <c r="B2040" s="20">
        <v>2025</v>
      </c>
      <c r="C2040" s="20" t="s">
        <v>101</v>
      </c>
      <c r="D2040" s="20">
        <v>74</v>
      </c>
      <c r="E2040" s="20">
        <v>0</v>
      </c>
      <c r="F2040" s="22">
        <f>IFERROR(E2040/D2040*100,"")</f>
        <v>0</v>
      </c>
      <c r="G2040" s="23">
        <f>IFERROR(INDEX(Population_by_Province_Year!$B$5:$J$29,MATCH($A2040,Population_by_Province_Year!$A$5:$A$29,0),MATCH($B2040,Population_by_Province_Year!$B$4:$J$4,0)),"")</f>
        <v>245774</v>
      </c>
      <c r="H2040" s="22">
        <f>IFERROR(D2040/G2040*100000,"")</f>
        <v>30.108961891819316</v>
      </c>
    </row>
    <row r="2041" spans="1:8" ht="15" customHeight="1" x14ac:dyDescent="0.3">
      <c r="A2041" s="20" t="s">
        <v>23</v>
      </c>
      <c r="B2041" s="20">
        <v>2025</v>
      </c>
      <c r="C2041" s="20" t="s">
        <v>101</v>
      </c>
      <c r="D2041" s="20">
        <v>1313</v>
      </c>
      <c r="E2041" s="20">
        <v>1</v>
      </c>
      <c r="F2041" s="22">
        <f>IFERROR(E2041/D2041*100,"")</f>
        <v>7.6161462300076158E-2</v>
      </c>
      <c r="G2041" s="23">
        <f>IFERROR(INDEX(Population_by_Province_Year!$B$5:$J$29,MATCH($A2041,Population_by_Province_Year!$A$5:$A$29,0),MATCH($B2041,Population_by_Province_Year!$B$4:$J$4,0)),"")</f>
        <v>1146330</v>
      </c>
      <c r="H2041" s="22">
        <f>IFERROR(D2041/G2041*100000,"")</f>
        <v>114.53944326677309</v>
      </c>
    </row>
    <row r="2042" spans="1:8" ht="15" customHeight="1" x14ac:dyDescent="0.3">
      <c r="A2042" s="20" t="s">
        <v>24</v>
      </c>
      <c r="B2042" s="20">
        <v>2025</v>
      </c>
      <c r="C2042" s="20" t="s">
        <v>101</v>
      </c>
      <c r="D2042" s="20">
        <v>134</v>
      </c>
      <c r="E2042" s="20">
        <v>0</v>
      </c>
      <c r="F2042" s="22">
        <f>IFERROR(E2042/D2042*100,"")</f>
        <v>0</v>
      </c>
      <c r="G2042" s="23">
        <f>IFERROR(INDEX(Population_by_Province_Year!$B$5:$J$29,MATCH($A2042,Population_by_Province_Year!$A$5:$A$29,0),MATCH($B2042,Population_by_Province_Year!$B$4:$J$4,0)),"")</f>
        <v>187296</v>
      </c>
      <c r="H2042" s="22">
        <f>IFERROR(D2042/G2042*100000,"")</f>
        <v>71.544507090381003</v>
      </c>
    </row>
    <row r="2043" spans="1:8" ht="15" customHeight="1" x14ac:dyDescent="0.3">
      <c r="A2043" s="20" t="s">
        <v>25</v>
      </c>
      <c r="B2043" s="20">
        <v>2025</v>
      </c>
      <c r="C2043" s="20" t="s">
        <v>101</v>
      </c>
      <c r="D2043" s="20">
        <v>169</v>
      </c>
      <c r="E2043" s="20">
        <v>0</v>
      </c>
      <c r="F2043" s="22">
        <f>IFERROR(E2043/D2043*100,"")</f>
        <v>0</v>
      </c>
      <c r="G2043" s="23">
        <f>IFERROR(INDEX(Population_by_Province_Year!$B$5:$J$29,MATCH($A2043,Population_by_Province_Year!$A$5:$A$29,0),MATCH($B2043,Population_by_Province_Year!$B$4:$J$4,0)),"")</f>
        <v>593939</v>
      </c>
      <c r="H2043" s="22">
        <f>IFERROR(D2043/G2043*100000,"")</f>
        <v>28.454100505270741</v>
      </c>
    </row>
    <row r="2044" spans="1:8" ht="15" customHeight="1" x14ac:dyDescent="0.3">
      <c r="A2044" s="20" t="s">
        <v>26</v>
      </c>
      <c r="B2044" s="20">
        <v>2025</v>
      </c>
      <c r="C2044" s="20" t="s">
        <v>101</v>
      </c>
      <c r="D2044" s="20">
        <v>523</v>
      </c>
      <c r="E2044" s="20">
        <v>1</v>
      </c>
      <c r="F2044" s="22">
        <f>IFERROR(E2044/D2044*100,"")</f>
        <v>0.19120458891013384</v>
      </c>
      <c r="G2044" s="23">
        <f>IFERROR(INDEX(Population_by_Province_Year!$B$5:$J$29,MATCH($A2044,Population_by_Province_Year!$A$5:$A$29,0),MATCH($B2044,Population_by_Province_Year!$B$4:$J$4,0)),"")</f>
        <v>1018251</v>
      </c>
      <c r="H2044" s="22">
        <f>IFERROR(D2044/G2044*100000,"")</f>
        <v>51.362581524594624</v>
      </c>
    </row>
    <row r="2045" spans="1:8" ht="15" customHeight="1" x14ac:dyDescent="0.3">
      <c r="A2045" s="20" t="s">
        <v>27</v>
      </c>
      <c r="B2045" s="20">
        <v>2025</v>
      </c>
      <c r="C2045" s="20" t="s">
        <v>101</v>
      </c>
      <c r="D2045" s="20">
        <v>1225</v>
      </c>
      <c r="E2045" s="20">
        <v>1</v>
      </c>
      <c r="F2045" s="22">
        <f>IFERROR(E2045/D2045*100,"")</f>
        <v>8.1632653061224497E-2</v>
      </c>
      <c r="G2045" s="23">
        <f>IFERROR(INDEX(Population_by_Province_Year!$B$5:$J$29,MATCH($A2045,Population_by_Province_Year!$A$5:$A$29,0),MATCH($B2045,Population_by_Province_Year!$B$4:$J$4,0)),"")</f>
        <v>878018</v>
      </c>
      <c r="H2045" s="22">
        <f>IFERROR(D2045/G2045*100000,"")</f>
        <v>139.51877979722511</v>
      </c>
    </row>
    <row r="2046" spans="1:8" ht="15" customHeight="1" x14ac:dyDescent="0.3">
      <c r="A2046" s="20" t="s">
        <v>3</v>
      </c>
      <c r="B2046" s="20">
        <v>2025</v>
      </c>
      <c r="C2046" s="20" t="s">
        <v>97</v>
      </c>
      <c r="D2046" s="20">
        <v>392</v>
      </c>
      <c r="E2046" s="20">
        <v>0</v>
      </c>
      <c r="F2046" s="22">
        <f>IFERROR(E2046/D2046*100,"")</f>
        <v>0</v>
      </c>
      <c r="G2046" s="23">
        <f>IFERROR(INDEX(Population_by_Province_Year!$B$5:$J$29,MATCH($A2046,Population_by_Province_Year!$A$5:$A$29,0),MATCH($B2046,Population_by_Province_Year!$B$4:$J$4,0)),"")</f>
        <v>974136</v>
      </c>
      <c r="H2046" s="22">
        <f>IFERROR(D2046/G2046*100000,"")</f>
        <v>40.24078773395091</v>
      </c>
    </row>
    <row r="2047" spans="1:8" ht="15" customHeight="1" x14ac:dyDescent="0.3">
      <c r="A2047" s="20" t="s">
        <v>4</v>
      </c>
      <c r="B2047" s="20">
        <v>2025</v>
      </c>
      <c r="C2047" s="20" t="s">
        <v>97</v>
      </c>
      <c r="D2047" s="20">
        <v>481</v>
      </c>
      <c r="E2047" s="20">
        <v>3</v>
      </c>
      <c r="F2047" s="22">
        <f>IFERROR(E2047/D2047*100,"")</f>
        <v>0.62370062370062374</v>
      </c>
      <c r="G2047" s="23">
        <f>IFERROR(INDEX(Population_by_Province_Year!$B$5:$J$29,MATCH($A2047,Population_by_Province_Year!$A$5:$A$29,0),MATCH($B2047,Population_by_Province_Year!$B$4:$J$4,0)),"")</f>
        <v>1127042</v>
      </c>
      <c r="H2047" s="22">
        <f>IFERROR(D2047/G2047*100000,"")</f>
        <v>42.678090080050261</v>
      </c>
    </row>
    <row r="2048" spans="1:8" ht="15" customHeight="1" x14ac:dyDescent="0.3">
      <c r="A2048" s="20" t="s">
        <v>5</v>
      </c>
      <c r="B2048" s="20">
        <v>2025</v>
      </c>
      <c r="C2048" s="20" t="s">
        <v>97</v>
      </c>
      <c r="D2048" s="20">
        <v>417</v>
      </c>
      <c r="E2048" s="20">
        <v>2</v>
      </c>
      <c r="F2048" s="22">
        <f>IFERROR(E2048/D2048*100,"")</f>
        <v>0.47961630695443641</v>
      </c>
      <c r="G2048" s="23">
        <f>IFERROR(INDEX(Population_by_Province_Year!$B$5:$J$29,MATCH($A2048,Population_by_Province_Year!$A$5:$A$29,0),MATCH($B2048,Population_by_Province_Year!$B$4:$J$4,0)),"")</f>
        <v>1016981</v>
      </c>
      <c r="H2048" s="22">
        <f>IFERROR(D2048/G2048*100000,"")</f>
        <v>41.003715900297053</v>
      </c>
    </row>
    <row r="2049" spans="1:8" ht="15" customHeight="1" x14ac:dyDescent="0.3">
      <c r="A2049" s="20" t="s">
        <v>6</v>
      </c>
      <c r="B2049" s="20">
        <v>2025</v>
      </c>
      <c r="C2049" s="20" t="s">
        <v>97</v>
      </c>
      <c r="D2049" s="20">
        <v>394</v>
      </c>
      <c r="E2049" s="20">
        <v>0</v>
      </c>
      <c r="F2049" s="22">
        <f>IFERROR(E2049/D2049*100,"")</f>
        <v>0</v>
      </c>
      <c r="G2049" s="23">
        <f>IFERROR(INDEX(Population_by_Province_Year!$B$5:$J$29,MATCH($A2049,Population_by_Province_Year!$A$5:$A$29,0),MATCH($B2049,Population_by_Province_Year!$B$4:$J$4,0)),"")</f>
        <v>595668</v>
      </c>
      <c r="H2049" s="22">
        <f>IFERROR(D2049/G2049*100000,"")</f>
        <v>66.144227992774503</v>
      </c>
    </row>
    <row r="2050" spans="1:8" ht="15" customHeight="1" x14ac:dyDescent="0.3">
      <c r="A2050" s="20" t="s">
        <v>7</v>
      </c>
      <c r="B2050" s="20">
        <v>2025</v>
      </c>
      <c r="C2050" s="20" t="s">
        <v>97</v>
      </c>
      <c r="D2050" s="20">
        <v>1287</v>
      </c>
      <c r="E2050" s="20">
        <v>0</v>
      </c>
      <c r="F2050" s="22">
        <f>IFERROR(E2050/D2050*100,"")</f>
        <v>0</v>
      </c>
      <c r="G2050" s="23">
        <f>IFERROR(INDEX(Population_by_Province_Year!$B$5:$J$29,MATCH($A2050,Population_by_Province_Year!$A$5:$A$29,0),MATCH($B2050,Population_by_Province_Year!$B$4:$J$4,0)),"")</f>
        <v>991813</v>
      </c>
      <c r="H2050" s="22">
        <f>IFERROR(D2050/G2050*100000,"")</f>
        <v>129.76236447798124</v>
      </c>
    </row>
    <row r="2051" spans="1:8" ht="15" customHeight="1" x14ac:dyDescent="0.3">
      <c r="A2051" s="20" t="s">
        <v>8</v>
      </c>
      <c r="B2051" s="20">
        <v>2025</v>
      </c>
      <c r="C2051" s="20" t="s">
        <v>97</v>
      </c>
      <c r="D2051" s="20">
        <v>723</v>
      </c>
      <c r="E2051" s="20">
        <v>0</v>
      </c>
      <c r="F2051" s="22">
        <f>IFERROR(E2051/D2051*100,"")</f>
        <v>0</v>
      </c>
      <c r="G2051" s="23">
        <f>IFERROR(INDEX(Population_by_Province_Year!$B$5:$J$29,MATCH($A2051,Population_by_Province_Year!$A$5:$A$29,0),MATCH($B2051,Population_by_Province_Year!$B$4:$J$4,0)),"")</f>
        <v>770315</v>
      </c>
      <c r="H2051" s="22">
        <f>IFERROR(D2051/G2051*100000,"")</f>
        <v>93.857707561192498</v>
      </c>
    </row>
    <row r="2052" spans="1:8" ht="15" customHeight="1" x14ac:dyDescent="0.3">
      <c r="A2052" s="20" t="s">
        <v>9</v>
      </c>
      <c r="B2052" s="20">
        <v>2025</v>
      </c>
      <c r="C2052" s="20" t="s">
        <v>97</v>
      </c>
      <c r="D2052" s="20">
        <v>171</v>
      </c>
      <c r="E2052" s="20">
        <v>0</v>
      </c>
      <c r="F2052" s="22">
        <f>IFERROR(E2052/D2052*100,"")</f>
        <v>0</v>
      </c>
      <c r="G2052" s="23">
        <f>IFERROR(INDEX(Population_by_Province_Year!$B$5:$J$29,MATCH($A2052,Population_by_Province_Year!$A$5:$A$29,0),MATCH($B2052,Population_by_Province_Year!$B$4:$J$4,0)),"")</f>
        <v>671170</v>
      </c>
      <c r="H2052" s="22">
        <f>IFERROR(D2052/G2052*100000,"")</f>
        <v>25.477896807068252</v>
      </c>
    </row>
    <row r="2053" spans="1:8" ht="15" customHeight="1" x14ac:dyDescent="0.3">
      <c r="A2053" s="20" t="s">
        <v>10</v>
      </c>
      <c r="B2053" s="20">
        <v>2025</v>
      </c>
      <c r="C2053" s="20" t="s">
        <v>97</v>
      </c>
      <c r="D2053" s="20">
        <v>883</v>
      </c>
      <c r="E2053" s="20">
        <v>0</v>
      </c>
      <c r="F2053" s="22">
        <f>IFERROR(E2053/D2053*100,"")</f>
        <v>0</v>
      </c>
      <c r="G2053" s="23">
        <f>IFERROR(INDEX(Population_by_Province_Year!$B$5:$J$29,MATCH($A2053,Population_by_Province_Year!$A$5:$A$29,0),MATCH($B2053,Population_by_Province_Year!$B$4:$J$4,0)),"")</f>
        <v>1358077</v>
      </c>
      <c r="H2053" s="22">
        <f>IFERROR(D2053/G2053*100000,"")</f>
        <v>65.018404700175324</v>
      </c>
    </row>
    <row r="2054" spans="1:8" ht="15" customHeight="1" x14ac:dyDescent="0.3">
      <c r="A2054" s="20" t="s">
        <v>11</v>
      </c>
      <c r="B2054" s="20">
        <v>2025</v>
      </c>
      <c r="C2054" s="20" t="s">
        <v>97</v>
      </c>
      <c r="D2054" s="20">
        <v>44</v>
      </c>
      <c r="E2054" s="20">
        <v>0</v>
      </c>
      <c r="F2054" s="22">
        <f>IFERROR(E2054/D2054*100,"")</f>
        <v>0</v>
      </c>
      <c r="G2054" s="23">
        <f>IFERROR(INDEX(Population_by_Province_Year!$B$5:$J$29,MATCH($A2054,Population_by_Province_Year!$A$5:$A$29,0),MATCH($B2054,Population_by_Province_Year!$B$4:$J$4,0)),"")</f>
        <v>48222</v>
      </c>
      <c r="H2054" s="22">
        <f>IFERROR(D2054/G2054*100000,"")</f>
        <v>91.244660113641075</v>
      </c>
    </row>
    <row r="2055" spans="1:8" ht="15" customHeight="1" x14ac:dyDescent="0.3">
      <c r="A2055" s="20" t="s">
        <v>12</v>
      </c>
      <c r="B2055" s="20">
        <v>2025</v>
      </c>
      <c r="C2055" s="20" t="s">
        <v>97</v>
      </c>
      <c r="D2055" s="20">
        <v>68</v>
      </c>
      <c r="E2055" s="20">
        <v>0</v>
      </c>
      <c r="F2055" s="22">
        <f>IFERROR(E2055/D2055*100,"")</f>
        <v>0</v>
      </c>
      <c r="G2055" s="23">
        <f>IFERROR(INDEX(Population_by_Province_Year!$B$5:$J$29,MATCH($A2055,Population_by_Province_Year!$A$5:$A$29,0),MATCH($B2055,Population_by_Province_Year!$B$4:$J$4,0)),"")</f>
        <v>142300</v>
      </c>
      <c r="H2055" s="22">
        <f>IFERROR(D2055/G2055*100000,"")</f>
        <v>47.786366830639494</v>
      </c>
    </row>
    <row r="2056" spans="1:8" ht="15" customHeight="1" x14ac:dyDescent="0.3">
      <c r="A2056" s="20" t="s">
        <v>13</v>
      </c>
      <c r="B2056" s="20">
        <v>2025</v>
      </c>
      <c r="C2056" s="20" t="s">
        <v>97</v>
      </c>
      <c r="D2056" s="20">
        <v>413</v>
      </c>
      <c r="E2056" s="20">
        <v>0</v>
      </c>
      <c r="F2056" s="22">
        <f>IFERROR(E2056/D2056*100,"")</f>
        <v>0</v>
      </c>
      <c r="G2056" s="23">
        <f>IFERROR(INDEX(Population_by_Province_Year!$B$5:$J$29,MATCH($A2056,Population_by_Province_Year!$A$5:$A$29,0),MATCH($B2056,Population_by_Province_Year!$B$4:$J$4,0)),"")</f>
        <v>423564</v>
      </c>
      <c r="H2056" s="22">
        <f>IFERROR(D2056/G2056*100000,"")</f>
        <v>97.505925904939986</v>
      </c>
    </row>
    <row r="2057" spans="1:8" ht="15" customHeight="1" x14ac:dyDescent="0.3">
      <c r="A2057" s="20" t="s">
        <v>14</v>
      </c>
      <c r="B2057" s="20">
        <v>2025</v>
      </c>
      <c r="C2057" s="20" t="s">
        <v>97</v>
      </c>
      <c r="D2057" s="20">
        <v>55</v>
      </c>
      <c r="E2057" s="20">
        <v>0</v>
      </c>
      <c r="F2057" s="22">
        <f>IFERROR(E2057/D2057*100,"")</f>
        <v>0</v>
      </c>
      <c r="G2057" s="23">
        <f>IFERROR(INDEX(Population_by_Province_Year!$B$5:$J$29,MATCH($A2057,Population_by_Province_Year!$A$5:$A$29,0),MATCH($B2057,Population_by_Province_Year!$B$4:$J$4,0)),"")</f>
        <v>104223</v>
      </c>
      <c r="H2057" s="22">
        <f>IFERROR(D2057/G2057*100000,"")</f>
        <v>52.771461193786394</v>
      </c>
    </row>
    <row r="2058" spans="1:8" ht="15" customHeight="1" x14ac:dyDescent="0.3">
      <c r="A2058" s="20" t="s">
        <v>15</v>
      </c>
      <c r="B2058" s="20">
        <v>2025</v>
      </c>
      <c r="C2058" s="20" t="s">
        <v>97</v>
      </c>
      <c r="D2058" s="20">
        <v>282</v>
      </c>
      <c r="E2058" s="20">
        <v>0</v>
      </c>
      <c r="F2058" s="22">
        <f>IFERROR(E2058/D2058*100,"")</f>
        <v>0</v>
      </c>
      <c r="G2058" s="23">
        <f>IFERROR(INDEX(Population_by_Province_Year!$B$5:$J$29,MATCH($A2058,Population_by_Province_Year!$A$5:$A$29,0),MATCH($B2058,Population_by_Province_Year!$B$4:$J$4,0)),"")</f>
        <v>311990</v>
      </c>
      <c r="H2058" s="22">
        <f>IFERROR(D2058/G2058*100000,"")</f>
        <v>90.387512420269886</v>
      </c>
    </row>
    <row r="2059" spans="1:8" ht="15" customHeight="1" x14ac:dyDescent="0.3">
      <c r="A2059" s="20" t="s">
        <v>16</v>
      </c>
      <c r="B2059" s="20">
        <v>2025</v>
      </c>
      <c r="C2059" s="20" t="s">
        <v>97</v>
      </c>
      <c r="D2059" s="20">
        <v>17</v>
      </c>
      <c r="E2059" s="20">
        <v>0</v>
      </c>
      <c r="F2059" s="22">
        <f>IFERROR(E2059/D2059*100,"")</f>
        <v>0</v>
      </c>
      <c r="G2059" s="23">
        <f>IFERROR(INDEX(Population_by_Province_Year!$B$5:$J$29,MATCH($A2059,Population_by_Province_Year!$A$5:$A$29,0),MATCH($B2059,Population_by_Province_Year!$B$4:$J$4,0)),"")</f>
        <v>84895</v>
      </c>
      <c r="H2059" s="22">
        <f>IFERROR(D2059/G2059*100000,"")</f>
        <v>20.024736439130692</v>
      </c>
    </row>
    <row r="2060" spans="1:8" ht="15" customHeight="1" x14ac:dyDescent="0.3">
      <c r="A2060" s="20" t="s">
        <v>17</v>
      </c>
      <c r="B2060" s="20">
        <v>2025</v>
      </c>
      <c r="C2060" s="20" t="s">
        <v>97</v>
      </c>
      <c r="D2060" s="20">
        <v>1438</v>
      </c>
      <c r="E2060" s="20">
        <v>2</v>
      </c>
      <c r="F2060" s="22">
        <f>IFERROR(E2060/D2060*100,"")</f>
        <v>0.13908205841446453</v>
      </c>
      <c r="G2060" s="23">
        <f>IFERROR(INDEX(Population_by_Province_Year!$B$5:$J$29,MATCH($A2060,Population_by_Province_Year!$A$5:$A$29,0),MATCH($B2060,Population_by_Province_Year!$B$4:$J$4,0)),"")</f>
        <v>2579157</v>
      </c>
      <c r="H2060" s="22">
        <f>IFERROR(D2060/G2060*100000,"")</f>
        <v>55.75465161678796</v>
      </c>
    </row>
    <row r="2061" spans="1:8" ht="15" customHeight="1" x14ac:dyDescent="0.3">
      <c r="A2061" s="20" t="s">
        <v>18</v>
      </c>
      <c r="B2061" s="20">
        <v>2025</v>
      </c>
      <c r="C2061" s="20" t="s">
        <v>97</v>
      </c>
      <c r="D2061" s="20">
        <v>220</v>
      </c>
      <c r="E2061" s="20">
        <v>0</v>
      </c>
      <c r="F2061" s="22">
        <f>IFERROR(E2061/D2061*100,"")</f>
        <v>0</v>
      </c>
      <c r="G2061" s="23">
        <f>IFERROR(INDEX(Population_by_Province_Year!$B$5:$J$29,MATCH($A2061,Population_by_Province_Year!$A$5:$A$29,0),MATCH($B2061,Population_by_Province_Year!$B$4:$J$4,0)),"")</f>
        <v>350456</v>
      </c>
      <c r="H2061" s="22">
        <f>IFERROR(D2061/G2061*100000,"")</f>
        <v>62.775355536786357</v>
      </c>
    </row>
    <row r="2062" spans="1:8" ht="15" customHeight="1" x14ac:dyDescent="0.3">
      <c r="A2062" s="20" t="s">
        <v>19</v>
      </c>
      <c r="B2062" s="20">
        <v>2025</v>
      </c>
      <c r="C2062" s="20" t="s">
        <v>97</v>
      </c>
      <c r="D2062" s="20">
        <v>339</v>
      </c>
      <c r="E2062" s="20">
        <v>1</v>
      </c>
      <c r="F2062" s="22">
        <f>IFERROR(E2062/D2062*100,"")</f>
        <v>0.29498525073746312</v>
      </c>
      <c r="G2062" s="23">
        <f>IFERROR(INDEX(Population_by_Province_Year!$B$5:$J$29,MATCH($A2062,Population_by_Province_Year!$A$5:$A$29,0),MATCH($B2062,Population_by_Province_Year!$B$4:$J$4,0)),"")</f>
        <v>288016</v>
      </c>
      <c r="H2062" s="22">
        <f>IFERROR(D2062/G2062*100000,"")</f>
        <v>117.70179434475861</v>
      </c>
    </row>
    <row r="2063" spans="1:8" ht="15" customHeight="1" x14ac:dyDescent="0.3">
      <c r="A2063" s="20" t="s">
        <v>20</v>
      </c>
      <c r="B2063" s="20">
        <v>2025</v>
      </c>
      <c r="C2063" s="20" t="s">
        <v>97</v>
      </c>
      <c r="D2063" s="20">
        <v>271</v>
      </c>
      <c r="E2063" s="20">
        <v>0</v>
      </c>
      <c r="F2063" s="22">
        <f>IFERROR(E2063/D2063*100,"")</f>
        <v>0</v>
      </c>
      <c r="G2063" s="23">
        <f>IFERROR(INDEX(Population_by_Province_Year!$B$5:$J$29,MATCH($A2063,Population_by_Province_Year!$A$5:$A$29,0),MATCH($B2063,Population_by_Province_Year!$B$4:$J$4,0)),"")</f>
        <v>1195479</v>
      </c>
      <c r="H2063" s="22">
        <f>IFERROR(D2063/G2063*100000,"")</f>
        <v>22.668737803006159</v>
      </c>
    </row>
    <row r="2064" spans="1:8" ht="15" customHeight="1" x14ac:dyDescent="0.3">
      <c r="A2064" s="20" t="s">
        <v>21</v>
      </c>
      <c r="B2064" s="20">
        <v>2025</v>
      </c>
      <c r="C2064" s="20" t="s">
        <v>97</v>
      </c>
      <c r="D2064" s="20">
        <v>447</v>
      </c>
      <c r="E2064" s="20">
        <v>0</v>
      </c>
      <c r="F2064" s="22">
        <f>IFERROR(E2064/D2064*100,"")</f>
        <v>0</v>
      </c>
      <c r="G2064" s="23">
        <f>IFERROR(INDEX(Population_by_Province_Year!$B$5:$J$29,MATCH($A2064,Population_by_Province_Year!$A$5:$A$29,0),MATCH($B2064,Population_by_Province_Year!$B$4:$J$4,0)),"")</f>
        <v>474647</v>
      </c>
      <c r="H2064" s="22">
        <f>IFERROR(D2064/G2064*100000,"")</f>
        <v>94.175250238598366</v>
      </c>
    </row>
    <row r="2065" spans="1:8" ht="15" customHeight="1" x14ac:dyDescent="0.3">
      <c r="A2065" s="20" t="s">
        <v>22</v>
      </c>
      <c r="B2065" s="20">
        <v>2025</v>
      </c>
      <c r="C2065" s="20" t="s">
        <v>97</v>
      </c>
      <c r="D2065" s="20">
        <v>58</v>
      </c>
      <c r="E2065" s="20">
        <v>0</v>
      </c>
      <c r="F2065" s="22">
        <f>IFERROR(E2065/D2065*100,"")</f>
        <v>0</v>
      </c>
      <c r="G2065" s="23">
        <f>IFERROR(INDEX(Population_by_Province_Year!$B$5:$J$29,MATCH($A2065,Population_by_Province_Year!$A$5:$A$29,0),MATCH($B2065,Population_by_Province_Year!$B$4:$J$4,0)),"")</f>
        <v>245774</v>
      </c>
      <c r="H2065" s="22">
        <f>IFERROR(D2065/G2065*100000,"")</f>
        <v>23.598916077371893</v>
      </c>
    </row>
    <row r="2066" spans="1:8" ht="15" customHeight="1" x14ac:dyDescent="0.3">
      <c r="A2066" s="20" t="s">
        <v>23</v>
      </c>
      <c r="B2066" s="20">
        <v>2025</v>
      </c>
      <c r="C2066" s="20" t="s">
        <v>97</v>
      </c>
      <c r="D2066" s="20">
        <v>994</v>
      </c>
      <c r="E2066" s="20">
        <v>1</v>
      </c>
      <c r="F2066" s="22">
        <f>IFERROR(E2066/D2066*100,"")</f>
        <v>0.1006036217303823</v>
      </c>
      <c r="G2066" s="23">
        <f>IFERROR(INDEX(Population_by_Province_Year!$B$5:$J$29,MATCH($A2066,Population_by_Province_Year!$A$5:$A$29,0),MATCH($B2066,Population_by_Province_Year!$B$4:$J$4,0)),"")</f>
        <v>1146330</v>
      </c>
      <c r="H2066" s="22">
        <f>IFERROR(D2066/G2066*100000,"")</f>
        <v>86.711505412926471</v>
      </c>
    </row>
    <row r="2067" spans="1:8" ht="15" customHeight="1" x14ac:dyDescent="0.3">
      <c r="A2067" s="20" t="s">
        <v>24</v>
      </c>
      <c r="B2067" s="20">
        <v>2025</v>
      </c>
      <c r="C2067" s="20" t="s">
        <v>97</v>
      </c>
      <c r="D2067" s="20">
        <v>132</v>
      </c>
      <c r="E2067" s="20">
        <v>0</v>
      </c>
      <c r="F2067" s="22">
        <f>IFERROR(E2067/D2067*100,"")</f>
        <v>0</v>
      </c>
      <c r="G2067" s="23">
        <f>IFERROR(INDEX(Population_by_Province_Year!$B$5:$J$29,MATCH($A2067,Population_by_Province_Year!$A$5:$A$29,0),MATCH($B2067,Population_by_Province_Year!$B$4:$J$4,0)),"")</f>
        <v>187296</v>
      </c>
      <c r="H2067" s="22">
        <f>IFERROR(D2067/G2067*100000,"")</f>
        <v>70.476678626345461</v>
      </c>
    </row>
    <row r="2068" spans="1:8" ht="15" customHeight="1" x14ac:dyDescent="0.3">
      <c r="A2068" s="20" t="s">
        <v>25</v>
      </c>
      <c r="B2068" s="20">
        <v>2025</v>
      </c>
      <c r="C2068" s="20" t="s">
        <v>97</v>
      </c>
      <c r="D2068" s="20">
        <v>132</v>
      </c>
      <c r="E2068" s="20">
        <v>0</v>
      </c>
      <c r="F2068" s="22">
        <f>IFERROR(E2068/D2068*100,"")</f>
        <v>0</v>
      </c>
      <c r="G2068" s="23">
        <f>IFERROR(INDEX(Population_by_Province_Year!$B$5:$J$29,MATCH($A2068,Population_by_Province_Year!$A$5:$A$29,0),MATCH($B2068,Population_by_Province_Year!$B$4:$J$4,0)),"")</f>
        <v>593939</v>
      </c>
      <c r="H2068" s="22">
        <f>IFERROR(D2068/G2068*100000,"")</f>
        <v>22.224504536661172</v>
      </c>
    </row>
    <row r="2069" spans="1:8" ht="15" customHeight="1" x14ac:dyDescent="0.3">
      <c r="A2069" s="20" t="s">
        <v>26</v>
      </c>
      <c r="B2069" s="20">
        <v>2025</v>
      </c>
      <c r="C2069" s="20" t="s">
        <v>97</v>
      </c>
      <c r="D2069" s="20">
        <v>482</v>
      </c>
      <c r="E2069" s="20">
        <v>0</v>
      </c>
      <c r="F2069" s="22">
        <f>IFERROR(E2069/D2069*100,"")</f>
        <v>0</v>
      </c>
      <c r="G2069" s="23">
        <f>IFERROR(INDEX(Population_by_Province_Year!$B$5:$J$29,MATCH($A2069,Population_by_Province_Year!$A$5:$A$29,0),MATCH($B2069,Population_by_Province_Year!$B$4:$J$4,0)),"")</f>
        <v>1018251</v>
      </c>
      <c r="H2069" s="22">
        <f>IFERROR(D2069/G2069*100000,"")</f>
        <v>47.336069397427551</v>
      </c>
    </row>
    <row r="2070" spans="1:8" ht="15" customHeight="1" x14ac:dyDescent="0.3">
      <c r="A2070" s="20" t="s">
        <v>27</v>
      </c>
      <c r="B2070" s="20">
        <v>2025</v>
      </c>
      <c r="C2070" s="20" t="s">
        <v>97</v>
      </c>
      <c r="D2070" s="20">
        <v>509</v>
      </c>
      <c r="E2070" s="20">
        <v>0</v>
      </c>
      <c r="F2070" s="22">
        <f>IFERROR(E2070/D2070*100,"")</f>
        <v>0</v>
      </c>
      <c r="G2070" s="23">
        <f>IFERROR(INDEX(Population_by_Province_Year!$B$5:$J$29,MATCH($A2070,Population_by_Province_Year!$A$5:$A$29,0),MATCH($B2070,Population_by_Province_Year!$B$4:$J$4,0)),"")</f>
        <v>878018</v>
      </c>
      <c r="H2070" s="22">
        <f>IFERROR(D2070/G2070*100000,"")</f>
        <v>57.971476666765376</v>
      </c>
    </row>
    <row r="2071" spans="1:8" ht="15" customHeight="1" x14ac:dyDescent="0.3">
      <c r="A2071" s="20" t="s">
        <v>3</v>
      </c>
      <c r="B2071" s="20">
        <v>2025</v>
      </c>
      <c r="C2071" s="20" t="s">
        <v>107</v>
      </c>
      <c r="D2071" s="20">
        <v>322</v>
      </c>
      <c r="E2071" s="20">
        <v>1</v>
      </c>
      <c r="F2071" s="22">
        <f>IFERROR(E2071/D2071*100,"")</f>
        <v>0.3105590062111801</v>
      </c>
      <c r="G2071" s="23">
        <f>IFERROR(INDEX(Population_by_Province_Year!$B$5:$J$29,MATCH($A2071,Population_by_Province_Year!$A$5:$A$29,0),MATCH($B2071,Population_by_Province_Year!$B$4:$J$4,0)),"")</f>
        <v>974136</v>
      </c>
      <c r="H2071" s="22">
        <f>IFERROR(D2071/G2071*100000,"")</f>
        <v>33.054932781459669</v>
      </c>
    </row>
    <row r="2072" spans="1:8" ht="15" customHeight="1" x14ac:dyDescent="0.3">
      <c r="A2072" s="20" t="s">
        <v>4</v>
      </c>
      <c r="B2072" s="20">
        <v>2025</v>
      </c>
      <c r="C2072" s="20" t="s">
        <v>107</v>
      </c>
      <c r="D2072" s="20">
        <v>308</v>
      </c>
      <c r="E2072" s="20">
        <v>0</v>
      </c>
      <c r="F2072" s="22">
        <f>IFERROR(E2072/D2072*100,"")</f>
        <v>0</v>
      </c>
      <c r="G2072" s="23">
        <f>IFERROR(INDEX(Population_by_Province_Year!$B$5:$J$29,MATCH($A2072,Population_by_Province_Year!$A$5:$A$29,0),MATCH($B2072,Population_by_Province_Year!$B$4:$J$4,0)),"")</f>
        <v>1127042</v>
      </c>
      <c r="H2072" s="22">
        <f>IFERROR(D2072/G2072*100000,"")</f>
        <v>27.328174105312847</v>
      </c>
    </row>
    <row r="2073" spans="1:8" ht="15" customHeight="1" x14ac:dyDescent="0.3">
      <c r="A2073" s="20" t="s">
        <v>5</v>
      </c>
      <c r="B2073" s="20">
        <v>2025</v>
      </c>
      <c r="C2073" s="20" t="s">
        <v>107</v>
      </c>
      <c r="D2073" s="20">
        <v>286</v>
      </c>
      <c r="E2073" s="20">
        <v>0</v>
      </c>
      <c r="F2073" s="22">
        <f>IFERROR(E2073/D2073*100,"")</f>
        <v>0</v>
      </c>
      <c r="G2073" s="23">
        <f>IFERROR(INDEX(Population_by_Province_Year!$B$5:$J$29,MATCH($A2073,Population_by_Province_Year!$A$5:$A$29,0),MATCH($B2073,Population_by_Province_Year!$B$4:$J$4,0)),"")</f>
        <v>1016981</v>
      </c>
      <c r="H2073" s="22">
        <f>IFERROR(D2073/G2073*100000,"")</f>
        <v>28.122452631858408</v>
      </c>
    </row>
    <row r="2074" spans="1:8" ht="15" customHeight="1" x14ac:dyDescent="0.3">
      <c r="A2074" s="20" t="s">
        <v>6</v>
      </c>
      <c r="B2074" s="20">
        <v>2025</v>
      </c>
      <c r="C2074" s="20" t="s">
        <v>107</v>
      </c>
      <c r="D2074" s="20">
        <v>168</v>
      </c>
      <c r="E2074" s="20">
        <v>1</v>
      </c>
      <c r="F2074" s="22">
        <f>IFERROR(E2074/D2074*100,"")</f>
        <v>0.59523809523809523</v>
      </c>
      <c r="G2074" s="23">
        <f>IFERROR(INDEX(Population_by_Province_Year!$B$5:$J$29,MATCH($A2074,Population_by_Province_Year!$A$5:$A$29,0),MATCH($B2074,Population_by_Province_Year!$B$4:$J$4,0)),"")</f>
        <v>595668</v>
      </c>
      <c r="H2074" s="22">
        <f>IFERROR(D2074/G2074*100000,"")</f>
        <v>28.203630210117048</v>
      </c>
    </row>
    <row r="2075" spans="1:8" ht="15" customHeight="1" x14ac:dyDescent="0.3">
      <c r="A2075" s="20" t="s">
        <v>7</v>
      </c>
      <c r="B2075" s="20">
        <v>2025</v>
      </c>
      <c r="C2075" s="20" t="s">
        <v>107</v>
      </c>
      <c r="D2075" s="20">
        <v>1011</v>
      </c>
      <c r="E2075" s="20">
        <v>1</v>
      </c>
      <c r="F2075" s="22">
        <f>IFERROR(E2075/D2075*100,"")</f>
        <v>9.8911968348170121E-2</v>
      </c>
      <c r="G2075" s="23">
        <f>IFERROR(INDEX(Population_by_Province_Year!$B$5:$J$29,MATCH($A2075,Population_by_Province_Year!$A$5:$A$29,0),MATCH($B2075,Population_by_Province_Year!$B$4:$J$4,0)),"")</f>
        <v>991813</v>
      </c>
      <c r="H2075" s="22">
        <f>IFERROR(D2075/G2075*100000,"")</f>
        <v>101.93453806312277</v>
      </c>
    </row>
    <row r="2076" spans="1:8" ht="15" customHeight="1" x14ac:dyDescent="0.3">
      <c r="A2076" s="20" t="s">
        <v>8</v>
      </c>
      <c r="B2076" s="20">
        <v>2025</v>
      </c>
      <c r="C2076" s="20" t="s">
        <v>107</v>
      </c>
      <c r="D2076" s="20">
        <v>355</v>
      </c>
      <c r="E2076" s="20">
        <v>0</v>
      </c>
      <c r="F2076" s="22">
        <f>IFERROR(E2076/D2076*100,"")</f>
        <v>0</v>
      </c>
      <c r="G2076" s="23">
        <f>IFERROR(INDEX(Population_by_Province_Year!$B$5:$J$29,MATCH($A2076,Population_by_Province_Year!$A$5:$A$29,0),MATCH($B2076,Population_by_Province_Year!$B$4:$J$4,0)),"")</f>
        <v>770315</v>
      </c>
      <c r="H2076" s="22">
        <f>IFERROR(D2076/G2076*100000,"")</f>
        <v>46.085043131705859</v>
      </c>
    </row>
    <row r="2077" spans="1:8" ht="15" customHeight="1" x14ac:dyDescent="0.3">
      <c r="A2077" s="20" t="s">
        <v>9</v>
      </c>
      <c r="B2077" s="20">
        <v>2025</v>
      </c>
      <c r="C2077" s="20" t="s">
        <v>107</v>
      </c>
      <c r="D2077" s="20">
        <v>167</v>
      </c>
      <c r="E2077" s="20">
        <v>0</v>
      </c>
      <c r="F2077" s="22">
        <f>IFERROR(E2077/D2077*100,"")</f>
        <v>0</v>
      </c>
      <c r="G2077" s="23">
        <f>IFERROR(INDEX(Population_by_Province_Year!$B$5:$J$29,MATCH($A2077,Population_by_Province_Year!$A$5:$A$29,0),MATCH($B2077,Population_by_Province_Year!$B$4:$J$4,0)),"")</f>
        <v>671170</v>
      </c>
      <c r="H2077" s="22">
        <f>IFERROR(D2077/G2077*100000,"")</f>
        <v>24.88192261275087</v>
      </c>
    </row>
    <row r="2078" spans="1:8" ht="15" customHeight="1" x14ac:dyDescent="0.3">
      <c r="A2078" s="20" t="s">
        <v>10</v>
      </c>
      <c r="B2078" s="20">
        <v>2025</v>
      </c>
      <c r="C2078" s="20" t="s">
        <v>107</v>
      </c>
      <c r="D2078" s="20">
        <v>714</v>
      </c>
      <c r="E2078" s="20">
        <v>1</v>
      </c>
      <c r="F2078" s="22">
        <f>IFERROR(E2078/D2078*100,"")</f>
        <v>0.14005602240896359</v>
      </c>
      <c r="G2078" s="23">
        <f>IFERROR(INDEX(Population_by_Province_Year!$B$5:$J$29,MATCH($A2078,Population_by_Province_Year!$A$5:$A$29,0),MATCH($B2078,Population_by_Province_Year!$B$4:$J$4,0)),"")</f>
        <v>1358077</v>
      </c>
      <c r="H2078" s="22">
        <f>IFERROR(D2078/G2078*100000,"")</f>
        <v>52.574338568431692</v>
      </c>
    </row>
    <row r="2079" spans="1:8" ht="15" customHeight="1" x14ac:dyDescent="0.3">
      <c r="A2079" s="20" t="s">
        <v>11</v>
      </c>
      <c r="B2079" s="20">
        <v>2025</v>
      </c>
      <c r="C2079" s="20" t="s">
        <v>107</v>
      </c>
      <c r="D2079" s="20">
        <v>31</v>
      </c>
      <c r="E2079" s="20">
        <v>0</v>
      </c>
      <c r="F2079" s="22">
        <f>IFERROR(E2079/D2079*100,"")</f>
        <v>0</v>
      </c>
      <c r="G2079" s="23">
        <f>IFERROR(INDEX(Population_by_Province_Year!$B$5:$J$29,MATCH($A2079,Population_by_Province_Year!$A$5:$A$29,0),MATCH($B2079,Population_by_Province_Year!$B$4:$J$4,0)),"")</f>
        <v>48222</v>
      </c>
      <c r="H2079" s="22">
        <f>IFERROR(D2079/G2079*100000,"")</f>
        <v>64.286010534610753</v>
      </c>
    </row>
    <row r="2080" spans="1:8" ht="15" customHeight="1" x14ac:dyDescent="0.3">
      <c r="A2080" s="20" t="s">
        <v>12</v>
      </c>
      <c r="B2080" s="20">
        <v>2025</v>
      </c>
      <c r="C2080" s="20" t="s">
        <v>107</v>
      </c>
      <c r="D2080" s="20">
        <v>30</v>
      </c>
      <c r="E2080" s="20">
        <v>0</v>
      </c>
      <c r="F2080" s="22">
        <f>IFERROR(E2080/D2080*100,"")</f>
        <v>0</v>
      </c>
      <c r="G2080" s="23">
        <f>IFERROR(INDEX(Population_by_Province_Year!$B$5:$J$29,MATCH($A2080,Population_by_Province_Year!$A$5:$A$29,0),MATCH($B2080,Population_by_Province_Year!$B$4:$J$4,0)),"")</f>
        <v>142300</v>
      </c>
      <c r="H2080" s="22">
        <f>IFERROR(D2080/G2080*100000,"")</f>
        <v>21.082220660576247</v>
      </c>
    </row>
    <row r="2081" spans="1:8" ht="15" customHeight="1" x14ac:dyDescent="0.3">
      <c r="A2081" s="20" t="s">
        <v>13</v>
      </c>
      <c r="B2081" s="20">
        <v>2025</v>
      </c>
      <c r="C2081" s="20" t="s">
        <v>107</v>
      </c>
      <c r="D2081" s="20">
        <v>153</v>
      </c>
      <c r="E2081" s="20">
        <v>0</v>
      </c>
      <c r="F2081" s="22">
        <f>IFERROR(E2081/D2081*100,"")</f>
        <v>0</v>
      </c>
      <c r="G2081" s="23">
        <f>IFERROR(INDEX(Population_by_Province_Year!$B$5:$J$29,MATCH($A2081,Population_by_Province_Year!$A$5:$A$29,0),MATCH($B2081,Population_by_Province_Year!$B$4:$J$4,0)),"")</f>
        <v>423564</v>
      </c>
      <c r="H2081" s="22">
        <f>IFERROR(D2081/G2081*100000,"")</f>
        <v>36.122050032580674</v>
      </c>
    </row>
    <row r="2082" spans="1:8" ht="15" customHeight="1" x14ac:dyDescent="0.3">
      <c r="A2082" s="20" t="s">
        <v>14</v>
      </c>
      <c r="B2082" s="20">
        <v>2025</v>
      </c>
      <c r="C2082" s="20" t="s">
        <v>107</v>
      </c>
      <c r="D2082" s="20">
        <v>34</v>
      </c>
      <c r="E2082" s="20">
        <v>0</v>
      </c>
      <c r="F2082" s="22">
        <f>IFERROR(E2082/D2082*100,"")</f>
        <v>0</v>
      </c>
      <c r="G2082" s="23">
        <f>IFERROR(INDEX(Population_by_Province_Year!$B$5:$J$29,MATCH($A2082,Population_by_Province_Year!$A$5:$A$29,0),MATCH($B2082,Population_by_Province_Year!$B$4:$J$4,0)),"")</f>
        <v>104223</v>
      </c>
      <c r="H2082" s="22">
        <f>IFERROR(D2082/G2082*100000,"")</f>
        <v>32.622357828886138</v>
      </c>
    </row>
    <row r="2083" spans="1:8" ht="15" customHeight="1" x14ac:dyDescent="0.3">
      <c r="A2083" s="20" t="s">
        <v>15</v>
      </c>
      <c r="B2083" s="20">
        <v>2025</v>
      </c>
      <c r="C2083" s="20" t="s">
        <v>107</v>
      </c>
      <c r="D2083" s="20">
        <v>133</v>
      </c>
      <c r="E2083" s="20">
        <v>1</v>
      </c>
      <c r="F2083" s="22">
        <f>IFERROR(E2083/D2083*100,"")</f>
        <v>0.75187969924812026</v>
      </c>
      <c r="G2083" s="23">
        <f>IFERROR(INDEX(Population_by_Province_Year!$B$5:$J$29,MATCH($A2083,Population_by_Province_Year!$A$5:$A$29,0),MATCH($B2083,Population_by_Province_Year!$B$4:$J$4,0)),"")</f>
        <v>311990</v>
      </c>
      <c r="H2083" s="22">
        <f>IFERROR(D2083/G2083*100000,"")</f>
        <v>42.629571460623737</v>
      </c>
    </row>
    <row r="2084" spans="1:8" ht="15" customHeight="1" x14ac:dyDescent="0.3">
      <c r="A2084" s="20" t="s">
        <v>16</v>
      </c>
      <c r="B2084" s="20">
        <v>2025</v>
      </c>
      <c r="C2084" s="20" t="s">
        <v>107</v>
      </c>
      <c r="D2084" s="20">
        <v>45</v>
      </c>
      <c r="E2084" s="20">
        <v>0</v>
      </c>
      <c r="F2084" s="22">
        <f>IFERROR(E2084/D2084*100,"")</f>
        <v>0</v>
      </c>
      <c r="G2084" s="23">
        <f>IFERROR(INDEX(Population_by_Province_Year!$B$5:$J$29,MATCH($A2084,Population_by_Province_Year!$A$5:$A$29,0),MATCH($B2084,Population_by_Province_Year!$B$4:$J$4,0)),"")</f>
        <v>84895</v>
      </c>
      <c r="H2084" s="22">
        <f>IFERROR(D2084/G2084*100000,"")</f>
        <v>53.006655280051831</v>
      </c>
    </row>
    <row r="2085" spans="1:8" ht="15" customHeight="1" x14ac:dyDescent="0.3">
      <c r="A2085" s="20" t="s">
        <v>17</v>
      </c>
      <c r="B2085" s="20">
        <v>2025</v>
      </c>
      <c r="C2085" s="20" t="s">
        <v>107</v>
      </c>
      <c r="D2085" s="20">
        <v>1479</v>
      </c>
      <c r="E2085" s="20">
        <v>0</v>
      </c>
      <c r="F2085" s="22">
        <f>IFERROR(E2085/D2085*100,"")</f>
        <v>0</v>
      </c>
      <c r="G2085" s="23">
        <f>IFERROR(INDEX(Population_by_Province_Year!$B$5:$J$29,MATCH($A2085,Population_by_Province_Year!$A$5:$A$29,0),MATCH($B2085,Population_by_Province_Year!$B$4:$J$4,0)),"")</f>
        <v>2579157</v>
      </c>
      <c r="H2085" s="22">
        <f>IFERROR(D2085/G2085*100000,"")</f>
        <v>57.344318317962035</v>
      </c>
    </row>
    <row r="2086" spans="1:8" ht="15" customHeight="1" x14ac:dyDescent="0.3">
      <c r="A2086" s="20" t="s">
        <v>18</v>
      </c>
      <c r="B2086" s="20">
        <v>2025</v>
      </c>
      <c r="C2086" s="20" t="s">
        <v>107</v>
      </c>
      <c r="D2086" s="20">
        <v>211</v>
      </c>
      <c r="E2086" s="20">
        <v>0</v>
      </c>
      <c r="F2086" s="22">
        <f>IFERROR(E2086/D2086*100,"")</f>
        <v>0</v>
      </c>
      <c r="G2086" s="23">
        <f>IFERROR(INDEX(Population_by_Province_Year!$B$5:$J$29,MATCH($A2086,Population_by_Province_Year!$A$5:$A$29,0),MATCH($B2086,Population_by_Province_Year!$B$4:$J$4,0)),"")</f>
        <v>350456</v>
      </c>
      <c r="H2086" s="22">
        <f>IFERROR(D2086/G2086*100000,"")</f>
        <v>60.207272810281466</v>
      </c>
    </row>
    <row r="2087" spans="1:8" ht="15" customHeight="1" x14ac:dyDescent="0.3">
      <c r="A2087" s="20" t="s">
        <v>19</v>
      </c>
      <c r="B2087" s="20">
        <v>2025</v>
      </c>
      <c r="C2087" s="20" t="s">
        <v>107</v>
      </c>
      <c r="D2087" s="20">
        <v>202</v>
      </c>
      <c r="E2087" s="20">
        <v>0</v>
      </c>
      <c r="F2087" s="22">
        <f>IFERROR(E2087/D2087*100,"")</f>
        <v>0</v>
      </c>
      <c r="G2087" s="23">
        <f>IFERROR(INDEX(Population_by_Province_Year!$B$5:$J$29,MATCH($A2087,Population_by_Province_Year!$A$5:$A$29,0),MATCH($B2087,Population_by_Province_Year!$B$4:$J$4,0)),"")</f>
        <v>288016</v>
      </c>
      <c r="H2087" s="22">
        <f>IFERROR(D2087/G2087*100000,"")</f>
        <v>70.134992500416644</v>
      </c>
    </row>
    <row r="2088" spans="1:8" ht="15" customHeight="1" x14ac:dyDescent="0.3">
      <c r="A2088" s="20" t="s">
        <v>20</v>
      </c>
      <c r="B2088" s="20">
        <v>2025</v>
      </c>
      <c r="C2088" s="20" t="s">
        <v>107</v>
      </c>
      <c r="D2088" s="20">
        <v>237</v>
      </c>
      <c r="E2088" s="20">
        <v>0</v>
      </c>
      <c r="F2088" s="22">
        <f>IFERROR(E2088/D2088*100,"")</f>
        <v>0</v>
      </c>
      <c r="G2088" s="23">
        <f>IFERROR(INDEX(Population_by_Province_Year!$B$5:$J$29,MATCH($A2088,Population_by_Province_Year!$A$5:$A$29,0),MATCH($B2088,Population_by_Province_Year!$B$4:$J$4,0)),"")</f>
        <v>1195479</v>
      </c>
      <c r="H2088" s="22">
        <f>IFERROR(D2088/G2088*100000,"")</f>
        <v>19.824689517758156</v>
      </c>
    </row>
    <row r="2089" spans="1:8" ht="15" customHeight="1" x14ac:dyDescent="0.3">
      <c r="A2089" s="20" t="s">
        <v>21</v>
      </c>
      <c r="B2089" s="20">
        <v>2025</v>
      </c>
      <c r="C2089" s="20" t="s">
        <v>107</v>
      </c>
      <c r="D2089" s="20">
        <v>300</v>
      </c>
      <c r="E2089" s="20">
        <v>0</v>
      </c>
      <c r="F2089" s="22">
        <f>IFERROR(E2089/D2089*100,"")</f>
        <v>0</v>
      </c>
      <c r="G2089" s="23">
        <f>IFERROR(INDEX(Population_by_Province_Year!$B$5:$J$29,MATCH($A2089,Population_by_Province_Year!$A$5:$A$29,0),MATCH($B2089,Population_by_Province_Year!$B$4:$J$4,0)),"")</f>
        <v>474647</v>
      </c>
      <c r="H2089" s="22">
        <f>IFERROR(D2089/G2089*100000,"")</f>
        <v>63.204865931945221</v>
      </c>
    </row>
    <row r="2090" spans="1:8" ht="15" customHeight="1" x14ac:dyDescent="0.3">
      <c r="A2090" s="20" t="s">
        <v>22</v>
      </c>
      <c r="B2090" s="20">
        <v>2025</v>
      </c>
      <c r="C2090" s="20" t="s">
        <v>107</v>
      </c>
      <c r="D2090" s="20">
        <v>38</v>
      </c>
      <c r="E2090" s="20">
        <v>0</v>
      </c>
      <c r="F2090" s="22">
        <f>IFERROR(E2090/D2090*100,"")</f>
        <v>0</v>
      </c>
      <c r="G2090" s="23">
        <f>IFERROR(INDEX(Population_by_Province_Year!$B$5:$J$29,MATCH($A2090,Population_by_Province_Year!$A$5:$A$29,0),MATCH($B2090,Population_by_Province_Year!$B$4:$J$4,0)),"")</f>
        <v>245774</v>
      </c>
      <c r="H2090" s="22">
        <f>IFERROR(D2090/G2090*100000,"")</f>
        <v>15.461358809312621</v>
      </c>
    </row>
    <row r="2091" spans="1:8" ht="15" customHeight="1" x14ac:dyDescent="0.3">
      <c r="A2091" s="20" t="s">
        <v>23</v>
      </c>
      <c r="B2091" s="20">
        <v>2025</v>
      </c>
      <c r="C2091" s="20" t="s">
        <v>107</v>
      </c>
      <c r="D2091" s="20">
        <v>723</v>
      </c>
      <c r="E2091" s="20">
        <v>1</v>
      </c>
      <c r="F2091" s="22">
        <f>IFERROR(E2091/D2091*100,"")</f>
        <v>0.13831258644536654</v>
      </c>
      <c r="G2091" s="23">
        <f>IFERROR(INDEX(Population_by_Province_Year!$B$5:$J$29,MATCH($A2091,Population_by_Province_Year!$A$5:$A$29,0),MATCH($B2091,Population_by_Province_Year!$B$4:$J$4,0)),"")</f>
        <v>1146330</v>
      </c>
      <c r="H2091" s="22">
        <f>IFERROR(D2091/G2091*100000,"")</f>
        <v>63.070843474392184</v>
      </c>
    </row>
    <row r="2092" spans="1:8" ht="15" customHeight="1" x14ac:dyDescent="0.3">
      <c r="A2092" s="20" t="s">
        <v>24</v>
      </c>
      <c r="B2092" s="20">
        <v>2025</v>
      </c>
      <c r="C2092" s="20" t="s">
        <v>107</v>
      </c>
      <c r="D2092" s="20">
        <v>113</v>
      </c>
      <c r="E2092" s="20">
        <v>0</v>
      </c>
      <c r="F2092" s="22">
        <f>IFERROR(E2092/D2092*100,"")</f>
        <v>0</v>
      </c>
      <c r="G2092" s="23">
        <f>IFERROR(INDEX(Population_by_Province_Year!$B$5:$J$29,MATCH($A2092,Population_by_Province_Year!$A$5:$A$29,0),MATCH($B2092,Population_by_Province_Year!$B$4:$J$4,0)),"")</f>
        <v>187296</v>
      </c>
      <c r="H2092" s="22">
        <f>IFERROR(D2092/G2092*100000,"")</f>
        <v>60.33230821800786</v>
      </c>
    </row>
    <row r="2093" spans="1:8" ht="15" customHeight="1" x14ac:dyDescent="0.3">
      <c r="A2093" s="20" t="s">
        <v>25</v>
      </c>
      <c r="B2093" s="20">
        <v>2025</v>
      </c>
      <c r="C2093" s="20" t="s">
        <v>107</v>
      </c>
      <c r="D2093" s="20">
        <v>135</v>
      </c>
      <c r="E2093" s="20">
        <v>0</v>
      </c>
      <c r="F2093" s="22">
        <f>IFERROR(E2093/D2093*100,"")</f>
        <v>0</v>
      </c>
      <c r="G2093" s="23">
        <f>IFERROR(INDEX(Population_by_Province_Year!$B$5:$J$29,MATCH($A2093,Population_by_Province_Year!$A$5:$A$29,0),MATCH($B2093,Population_by_Province_Year!$B$4:$J$4,0)),"")</f>
        <v>593939</v>
      </c>
      <c r="H2093" s="22">
        <f>IFERROR(D2093/G2093*100000,"")</f>
        <v>22.729606912494383</v>
      </c>
    </row>
    <row r="2094" spans="1:8" ht="15" customHeight="1" x14ac:dyDescent="0.3">
      <c r="A2094" s="20" t="s">
        <v>26</v>
      </c>
      <c r="B2094" s="20">
        <v>2025</v>
      </c>
      <c r="C2094" s="20" t="s">
        <v>107</v>
      </c>
      <c r="D2094" s="20">
        <v>379</v>
      </c>
      <c r="E2094" s="20">
        <v>0</v>
      </c>
      <c r="F2094" s="22">
        <f>IFERROR(E2094/D2094*100,"")</f>
        <v>0</v>
      </c>
      <c r="G2094" s="23">
        <f>IFERROR(INDEX(Population_by_Province_Year!$B$5:$J$29,MATCH($A2094,Population_by_Province_Year!$A$5:$A$29,0),MATCH($B2094,Population_by_Province_Year!$B$4:$J$4,0)),"")</f>
        <v>1018251</v>
      </c>
      <c r="H2094" s="22">
        <f>IFERROR(D2094/G2094*100000,"")</f>
        <v>37.220685273080996</v>
      </c>
    </row>
    <row r="2095" spans="1:8" ht="15" customHeight="1" x14ac:dyDescent="0.3">
      <c r="A2095" s="20" t="s">
        <v>27</v>
      </c>
      <c r="B2095" s="20">
        <v>2025</v>
      </c>
      <c r="C2095" s="20" t="s">
        <v>107</v>
      </c>
      <c r="D2095" s="20">
        <v>337</v>
      </c>
      <c r="E2095" s="20">
        <v>0</v>
      </c>
      <c r="F2095" s="22">
        <f>IFERROR(E2095/D2095*100,"")</f>
        <v>0</v>
      </c>
      <c r="G2095" s="23">
        <f>IFERROR(INDEX(Population_by_Province_Year!$B$5:$J$29,MATCH($A2095,Population_by_Province_Year!$A$5:$A$29,0),MATCH($B2095,Population_by_Province_Year!$B$4:$J$4,0)),"")</f>
        <v>878018</v>
      </c>
      <c r="H2095" s="22">
        <f>IFERROR(D2095/G2095*100000,"")</f>
        <v>38.381901054420297</v>
      </c>
    </row>
    <row r="2096" spans="1:8" ht="15" customHeight="1" x14ac:dyDescent="0.3">
      <c r="A2096" s="20" t="s">
        <v>3</v>
      </c>
      <c r="B2096" s="20">
        <v>2025</v>
      </c>
      <c r="C2096" s="20" t="s">
        <v>106</v>
      </c>
      <c r="D2096" s="20">
        <v>400</v>
      </c>
      <c r="E2096" s="20">
        <v>1</v>
      </c>
      <c r="F2096" s="22">
        <f>IFERROR(E2096/D2096*100,"")</f>
        <v>0.25</v>
      </c>
      <c r="G2096" s="23">
        <f>IFERROR(INDEX(Population_by_Province_Year!$B$5:$J$29,MATCH($A2096,Population_by_Province_Year!$A$5:$A$29,0),MATCH($B2096,Population_by_Province_Year!$B$4:$J$4,0)),"")</f>
        <v>974136</v>
      </c>
      <c r="H2096" s="22">
        <f>IFERROR(D2096/G2096*100000,"")</f>
        <v>41.062028299949908</v>
      </c>
    </row>
    <row r="2097" spans="1:8" ht="15" customHeight="1" x14ac:dyDescent="0.3">
      <c r="A2097" s="20" t="s">
        <v>4</v>
      </c>
      <c r="B2097" s="20">
        <v>2025</v>
      </c>
      <c r="C2097" s="20" t="s">
        <v>106</v>
      </c>
      <c r="D2097" s="20">
        <v>393</v>
      </c>
      <c r="E2097" s="20">
        <v>1</v>
      </c>
      <c r="F2097" s="22">
        <f>IFERROR(E2097/D2097*100,"")</f>
        <v>0.2544529262086514</v>
      </c>
      <c r="G2097" s="23">
        <f>IFERROR(INDEX(Population_by_Province_Year!$B$5:$J$29,MATCH($A2097,Population_by_Province_Year!$A$5:$A$29,0),MATCH($B2097,Population_by_Province_Year!$B$4:$J$4,0)),"")</f>
        <v>1127042</v>
      </c>
      <c r="H2097" s="22">
        <f>IFERROR(D2097/G2097*100000,"")</f>
        <v>34.870040335675156</v>
      </c>
    </row>
    <row r="2098" spans="1:8" ht="15" customHeight="1" x14ac:dyDescent="0.3">
      <c r="A2098" s="20" t="s">
        <v>5</v>
      </c>
      <c r="B2098" s="20">
        <v>2025</v>
      </c>
      <c r="C2098" s="20" t="s">
        <v>106</v>
      </c>
      <c r="D2098" s="20">
        <v>296</v>
      </c>
      <c r="E2098" s="20">
        <v>0</v>
      </c>
      <c r="F2098" s="22">
        <f>IFERROR(E2098/D2098*100,"")</f>
        <v>0</v>
      </c>
      <c r="G2098" s="23">
        <f>IFERROR(INDEX(Population_by_Province_Year!$B$5:$J$29,MATCH($A2098,Population_by_Province_Year!$A$5:$A$29,0),MATCH($B2098,Population_by_Province_Year!$B$4:$J$4,0)),"")</f>
        <v>1016981</v>
      </c>
      <c r="H2098" s="22">
        <f>IFERROR(D2098/G2098*100000,"")</f>
        <v>29.105755171433881</v>
      </c>
    </row>
    <row r="2099" spans="1:8" ht="15" customHeight="1" x14ac:dyDescent="0.3">
      <c r="A2099" s="20" t="s">
        <v>6</v>
      </c>
      <c r="B2099" s="20">
        <v>2025</v>
      </c>
      <c r="C2099" s="20" t="s">
        <v>106</v>
      </c>
      <c r="D2099" s="20">
        <v>136</v>
      </c>
      <c r="E2099" s="20">
        <v>0</v>
      </c>
      <c r="F2099" s="22">
        <f>IFERROR(E2099/D2099*100,"")</f>
        <v>0</v>
      </c>
      <c r="G2099" s="23">
        <f>IFERROR(INDEX(Population_by_Province_Year!$B$5:$J$29,MATCH($A2099,Population_by_Province_Year!$A$5:$A$29,0),MATCH($B2099,Population_by_Province_Year!$B$4:$J$4,0)),"")</f>
        <v>595668</v>
      </c>
      <c r="H2099" s="22">
        <f>IFERROR(D2099/G2099*100000,"")</f>
        <v>22.831510170094752</v>
      </c>
    </row>
    <row r="2100" spans="1:8" ht="15" customHeight="1" x14ac:dyDescent="0.3">
      <c r="A2100" s="20" t="s">
        <v>7</v>
      </c>
      <c r="B2100" s="20">
        <v>2025</v>
      </c>
      <c r="C2100" s="20" t="s">
        <v>106</v>
      </c>
      <c r="D2100" s="20">
        <v>487</v>
      </c>
      <c r="E2100" s="20">
        <v>1</v>
      </c>
      <c r="F2100" s="22">
        <f>IFERROR(E2100/D2100*100,"")</f>
        <v>0.20533880903490762</v>
      </c>
      <c r="G2100" s="23">
        <f>IFERROR(INDEX(Population_by_Province_Year!$B$5:$J$29,MATCH($A2100,Population_by_Province_Year!$A$5:$A$29,0),MATCH($B2100,Population_by_Province_Year!$B$4:$J$4,0)),"")</f>
        <v>991813</v>
      </c>
      <c r="H2100" s="22">
        <f>IFERROR(D2100/G2100*100000,"")</f>
        <v>49.101998058101678</v>
      </c>
    </row>
    <row r="2101" spans="1:8" ht="15" customHeight="1" x14ac:dyDescent="0.3">
      <c r="A2101" s="20" t="s">
        <v>8</v>
      </c>
      <c r="B2101" s="20">
        <v>2025</v>
      </c>
      <c r="C2101" s="20" t="s">
        <v>106</v>
      </c>
      <c r="D2101" s="20">
        <v>306</v>
      </c>
      <c r="E2101" s="20">
        <v>0</v>
      </c>
      <c r="F2101" s="22">
        <f>IFERROR(E2101/D2101*100,"")</f>
        <v>0</v>
      </c>
      <c r="G2101" s="23">
        <f>IFERROR(INDEX(Population_by_Province_Year!$B$5:$J$29,MATCH($A2101,Population_by_Province_Year!$A$5:$A$29,0),MATCH($B2101,Population_by_Province_Year!$B$4:$J$4,0)),"")</f>
        <v>770315</v>
      </c>
      <c r="H2101" s="22">
        <f>IFERROR(D2101/G2101*100000,"")</f>
        <v>39.72400900930139</v>
      </c>
    </row>
    <row r="2102" spans="1:8" ht="15" customHeight="1" x14ac:dyDescent="0.3">
      <c r="A2102" s="20" t="s">
        <v>9</v>
      </c>
      <c r="B2102" s="20">
        <v>2025</v>
      </c>
      <c r="C2102" s="20" t="s">
        <v>106</v>
      </c>
      <c r="D2102" s="20">
        <v>145</v>
      </c>
      <c r="E2102" s="20">
        <v>0</v>
      </c>
      <c r="F2102" s="22">
        <f>IFERROR(E2102/D2102*100,"")</f>
        <v>0</v>
      </c>
      <c r="G2102" s="23">
        <f>IFERROR(INDEX(Population_by_Province_Year!$B$5:$J$29,MATCH($A2102,Population_by_Province_Year!$A$5:$A$29,0),MATCH($B2102,Population_by_Province_Year!$B$4:$J$4,0)),"")</f>
        <v>671170</v>
      </c>
      <c r="H2102" s="22">
        <f>IFERROR(D2102/G2102*100000,"")</f>
        <v>21.604064544005244</v>
      </c>
    </row>
    <row r="2103" spans="1:8" ht="15" customHeight="1" x14ac:dyDescent="0.3">
      <c r="A2103" s="20" t="s">
        <v>10</v>
      </c>
      <c r="B2103" s="20">
        <v>2025</v>
      </c>
      <c r="C2103" s="20" t="s">
        <v>106</v>
      </c>
      <c r="D2103" s="20">
        <v>790</v>
      </c>
      <c r="E2103" s="20">
        <v>0</v>
      </c>
      <c r="F2103" s="22">
        <f>IFERROR(E2103/D2103*100,"")</f>
        <v>0</v>
      </c>
      <c r="G2103" s="23">
        <f>IFERROR(INDEX(Population_by_Province_Year!$B$5:$J$29,MATCH($A2103,Population_by_Province_Year!$A$5:$A$29,0),MATCH($B2103,Population_by_Province_Year!$B$4:$J$4,0)),"")</f>
        <v>1358077</v>
      </c>
      <c r="H2103" s="22">
        <f>IFERROR(D2103/G2103*100000,"")</f>
        <v>58.170486651345989</v>
      </c>
    </row>
    <row r="2104" spans="1:8" ht="15" customHeight="1" x14ac:dyDescent="0.3">
      <c r="A2104" s="20" t="s">
        <v>11</v>
      </c>
      <c r="B2104" s="20">
        <v>2025</v>
      </c>
      <c r="C2104" s="20" t="s">
        <v>106</v>
      </c>
      <c r="D2104" s="20">
        <v>24</v>
      </c>
      <c r="E2104" s="20">
        <v>0</v>
      </c>
      <c r="F2104" s="22">
        <f>IFERROR(E2104/D2104*100,"")</f>
        <v>0</v>
      </c>
      <c r="G2104" s="23">
        <f>IFERROR(INDEX(Population_by_Province_Year!$B$5:$J$29,MATCH($A2104,Population_by_Province_Year!$A$5:$A$29,0),MATCH($B2104,Population_by_Province_Year!$B$4:$J$4,0)),"")</f>
        <v>48222</v>
      </c>
      <c r="H2104" s="22">
        <f>IFERROR(D2104/G2104*100000,"")</f>
        <v>49.769814607440594</v>
      </c>
    </row>
    <row r="2105" spans="1:8" ht="15" customHeight="1" x14ac:dyDescent="0.3">
      <c r="A2105" s="20" t="s">
        <v>12</v>
      </c>
      <c r="B2105" s="20">
        <v>2025</v>
      </c>
      <c r="C2105" s="20" t="s">
        <v>106</v>
      </c>
      <c r="D2105" s="20">
        <v>57</v>
      </c>
      <c r="E2105" s="20">
        <v>0</v>
      </c>
      <c r="F2105" s="22">
        <f>IFERROR(E2105/D2105*100,"")</f>
        <v>0</v>
      </c>
      <c r="G2105" s="23">
        <f>IFERROR(INDEX(Population_by_Province_Year!$B$5:$J$29,MATCH($A2105,Population_by_Province_Year!$A$5:$A$29,0),MATCH($B2105,Population_by_Province_Year!$B$4:$J$4,0)),"")</f>
        <v>142300</v>
      </c>
      <c r="H2105" s="22">
        <f>IFERROR(D2105/G2105*100000,"")</f>
        <v>40.056219255094867</v>
      </c>
    </row>
    <row r="2106" spans="1:8" ht="15" customHeight="1" x14ac:dyDescent="0.3">
      <c r="A2106" s="20" t="s">
        <v>13</v>
      </c>
      <c r="B2106" s="20">
        <v>2025</v>
      </c>
      <c r="C2106" s="20" t="s">
        <v>106</v>
      </c>
      <c r="D2106" s="20">
        <v>131</v>
      </c>
      <c r="E2106" s="20">
        <v>1</v>
      </c>
      <c r="F2106" s="22">
        <f>IFERROR(E2106/D2106*100,"")</f>
        <v>0.76335877862595414</v>
      </c>
      <c r="G2106" s="23">
        <f>IFERROR(INDEX(Population_by_Province_Year!$B$5:$J$29,MATCH($A2106,Population_by_Province_Year!$A$5:$A$29,0),MATCH($B2106,Population_by_Province_Year!$B$4:$J$4,0)),"")</f>
        <v>423564</v>
      </c>
      <c r="H2106" s="22">
        <f>IFERROR(D2106/G2106*100000,"")</f>
        <v>30.928029766457961</v>
      </c>
    </row>
    <row r="2107" spans="1:8" ht="15" customHeight="1" x14ac:dyDescent="0.3">
      <c r="A2107" s="20" t="s">
        <v>14</v>
      </c>
      <c r="B2107" s="20">
        <v>2025</v>
      </c>
      <c r="C2107" s="20" t="s">
        <v>106</v>
      </c>
      <c r="D2107" s="20">
        <v>48</v>
      </c>
      <c r="E2107" s="20">
        <v>0</v>
      </c>
      <c r="F2107" s="22">
        <f>IFERROR(E2107/D2107*100,"")</f>
        <v>0</v>
      </c>
      <c r="G2107" s="23">
        <f>IFERROR(INDEX(Population_by_Province_Year!$B$5:$J$29,MATCH($A2107,Population_by_Province_Year!$A$5:$A$29,0),MATCH($B2107,Population_by_Province_Year!$B$4:$J$4,0)),"")</f>
        <v>104223</v>
      </c>
      <c r="H2107" s="22">
        <f>IFERROR(D2107/G2107*100000,"")</f>
        <v>46.055093405486311</v>
      </c>
    </row>
    <row r="2108" spans="1:8" ht="15" customHeight="1" x14ac:dyDescent="0.3">
      <c r="A2108" s="20" t="s">
        <v>15</v>
      </c>
      <c r="B2108" s="20">
        <v>2025</v>
      </c>
      <c r="C2108" s="20" t="s">
        <v>106</v>
      </c>
      <c r="D2108" s="20">
        <v>108</v>
      </c>
      <c r="E2108" s="20">
        <v>0</v>
      </c>
      <c r="F2108" s="22">
        <f>IFERROR(E2108/D2108*100,"")</f>
        <v>0</v>
      </c>
      <c r="G2108" s="23">
        <f>IFERROR(INDEX(Population_by_Province_Year!$B$5:$J$29,MATCH($A2108,Population_by_Province_Year!$A$5:$A$29,0),MATCH($B2108,Population_by_Province_Year!$B$4:$J$4,0)),"")</f>
        <v>311990</v>
      </c>
      <c r="H2108" s="22">
        <f>IFERROR(D2108/G2108*100000,"")</f>
        <v>34.616494118401235</v>
      </c>
    </row>
    <row r="2109" spans="1:8" ht="15" customHeight="1" x14ac:dyDescent="0.3">
      <c r="A2109" s="20" t="s">
        <v>16</v>
      </c>
      <c r="B2109" s="20">
        <v>2025</v>
      </c>
      <c r="C2109" s="20" t="s">
        <v>106</v>
      </c>
      <c r="D2109" s="20">
        <v>30</v>
      </c>
      <c r="E2109" s="20">
        <v>0</v>
      </c>
      <c r="F2109" s="22">
        <f>IFERROR(E2109/D2109*100,"")</f>
        <v>0</v>
      </c>
      <c r="G2109" s="23">
        <f>IFERROR(INDEX(Population_by_Province_Year!$B$5:$J$29,MATCH($A2109,Population_by_Province_Year!$A$5:$A$29,0),MATCH($B2109,Population_by_Province_Year!$B$4:$J$4,0)),"")</f>
        <v>84895</v>
      </c>
      <c r="H2109" s="22">
        <f>IFERROR(D2109/G2109*100000,"")</f>
        <v>35.337770186701221</v>
      </c>
    </row>
    <row r="2110" spans="1:8" ht="15" customHeight="1" x14ac:dyDescent="0.3">
      <c r="A2110" s="20" t="s">
        <v>17</v>
      </c>
      <c r="B2110" s="20">
        <v>2025</v>
      </c>
      <c r="C2110" s="20" t="s">
        <v>106</v>
      </c>
      <c r="D2110" s="20">
        <v>1816</v>
      </c>
      <c r="E2110" s="20">
        <v>1</v>
      </c>
      <c r="F2110" s="22">
        <f>IFERROR(E2110/D2110*100,"")</f>
        <v>5.506607929515419E-2</v>
      </c>
      <c r="G2110" s="23">
        <f>IFERROR(INDEX(Population_by_Province_Year!$B$5:$J$29,MATCH($A2110,Population_by_Province_Year!$A$5:$A$29,0),MATCH($B2110,Population_by_Province_Year!$B$4:$J$4,0)),"")</f>
        <v>2579157</v>
      </c>
      <c r="H2110" s="22">
        <f>IFERROR(D2110/G2110*100000,"")</f>
        <v>70.410603154441546</v>
      </c>
    </row>
    <row r="2111" spans="1:8" ht="15" customHeight="1" x14ac:dyDescent="0.3">
      <c r="A2111" s="20" t="s">
        <v>18</v>
      </c>
      <c r="B2111" s="20">
        <v>2025</v>
      </c>
      <c r="C2111" s="20" t="s">
        <v>106</v>
      </c>
      <c r="D2111" s="20">
        <v>178</v>
      </c>
      <c r="E2111" s="20">
        <v>0</v>
      </c>
      <c r="F2111" s="22">
        <f>IFERROR(E2111/D2111*100,"")</f>
        <v>0</v>
      </c>
      <c r="G2111" s="23">
        <f>IFERROR(INDEX(Population_by_Province_Year!$B$5:$J$29,MATCH($A2111,Population_by_Province_Year!$A$5:$A$29,0),MATCH($B2111,Population_by_Province_Year!$B$4:$J$4,0)),"")</f>
        <v>350456</v>
      </c>
      <c r="H2111" s="22">
        <f>IFERROR(D2111/G2111*100000,"")</f>
        <v>50.790969479763511</v>
      </c>
    </row>
    <row r="2112" spans="1:8" ht="15" customHeight="1" x14ac:dyDescent="0.3">
      <c r="A2112" s="20" t="s">
        <v>19</v>
      </c>
      <c r="B2112" s="20">
        <v>2025</v>
      </c>
      <c r="C2112" s="20" t="s">
        <v>106</v>
      </c>
      <c r="D2112" s="20">
        <v>135</v>
      </c>
      <c r="E2112" s="20">
        <v>0</v>
      </c>
      <c r="F2112" s="22">
        <f>IFERROR(E2112/D2112*100,"")</f>
        <v>0</v>
      </c>
      <c r="G2112" s="23">
        <f>IFERROR(INDEX(Population_by_Province_Year!$B$5:$J$29,MATCH($A2112,Population_by_Province_Year!$A$5:$A$29,0),MATCH($B2112,Population_by_Province_Year!$B$4:$J$4,0)),"")</f>
        <v>288016</v>
      </c>
      <c r="H2112" s="22">
        <f>IFERROR(D2112/G2112*100000,"")</f>
        <v>46.872395978001222</v>
      </c>
    </row>
    <row r="2113" spans="1:8" ht="15" customHeight="1" x14ac:dyDescent="0.3">
      <c r="A2113" s="20" t="s">
        <v>20</v>
      </c>
      <c r="B2113" s="20">
        <v>2025</v>
      </c>
      <c r="C2113" s="20" t="s">
        <v>106</v>
      </c>
      <c r="D2113" s="20">
        <v>306</v>
      </c>
      <c r="E2113" s="20">
        <v>0</v>
      </c>
      <c r="F2113" s="22">
        <f>IFERROR(E2113/D2113*100,"")</f>
        <v>0</v>
      </c>
      <c r="G2113" s="23">
        <f>IFERROR(INDEX(Population_by_Province_Year!$B$5:$J$29,MATCH($A2113,Population_by_Province_Year!$A$5:$A$29,0),MATCH($B2113,Population_by_Province_Year!$B$4:$J$4,0)),"")</f>
        <v>1195479</v>
      </c>
      <c r="H2113" s="22">
        <f>IFERROR(D2113/G2113*100000,"")</f>
        <v>25.596434567232048</v>
      </c>
    </row>
    <row r="2114" spans="1:8" ht="15" customHeight="1" x14ac:dyDescent="0.3">
      <c r="A2114" s="20" t="s">
        <v>21</v>
      </c>
      <c r="B2114" s="20">
        <v>2025</v>
      </c>
      <c r="C2114" s="20" t="s">
        <v>106</v>
      </c>
      <c r="D2114" s="20">
        <v>354</v>
      </c>
      <c r="E2114" s="20">
        <v>0</v>
      </c>
      <c r="F2114" s="22">
        <f>IFERROR(E2114/D2114*100,"")</f>
        <v>0</v>
      </c>
      <c r="G2114" s="23">
        <f>IFERROR(INDEX(Population_by_Province_Year!$B$5:$J$29,MATCH($A2114,Population_by_Province_Year!$A$5:$A$29,0),MATCH($B2114,Population_by_Province_Year!$B$4:$J$4,0)),"")</f>
        <v>474647</v>
      </c>
      <c r="H2114" s="22">
        <f>IFERROR(D2114/G2114*100000,"")</f>
        <v>74.581741799695351</v>
      </c>
    </row>
    <row r="2115" spans="1:8" ht="15" customHeight="1" x14ac:dyDescent="0.3">
      <c r="A2115" s="20" t="s">
        <v>22</v>
      </c>
      <c r="B2115" s="20">
        <v>2025</v>
      </c>
      <c r="C2115" s="20" t="s">
        <v>106</v>
      </c>
      <c r="D2115" s="20">
        <v>26</v>
      </c>
      <c r="E2115" s="20">
        <v>0</v>
      </c>
      <c r="F2115" s="22">
        <f>IFERROR(E2115/D2115*100,"")</f>
        <v>0</v>
      </c>
      <c r="G2115" s="23">
        <f>IFERROR(INDEX(Population_by_Province_Year!$B$5:$J$29,MATCH($A2115,Population_by_Province_Year!$A$5:$A$29,0),MATCH($B2115,Population_by_Province_Year!$B$4:$J$4,0)),"")</f>
        <v>245774</v>
      </c>
      <c r="H2115" s="22">
        <f>IFERROR(D2115/G2115*100000,"")</f>
        <v>10.578824448477055</v>
      </c>
    </row>
    <row r="2116" spans="1:8" ht="15" customHeight="1" x14ac:dyDescent="0.3">
      <c r="A2116" s="20" t="s">
        <v>23</v>
      </c>
      <c r="B2116" s="20">
        <v>2025</v>
      </c>
      <c r="C2116" s="20" t="s">
        <v>106</v>
      </c>
      <c r="D2116" s="20">
        <v>620</v>
      </c>
      <c r="E2116" s="20">
        <v>1</v>
      </c>
      <c r="F2116" s="22">
        <f>IFERROR(E2116/D2116*100,"")</f>
        <v>0.16129032258064516</v>
      </c>
      <c r="G2116" s="23">
        <f>IFERROR(INDEX(Population_by_Province_Year!$B$5:$J$29,MATCH($A2116,Population_by_Province_Year!$A$5:$A$29,0),MATCH($B2116,Population_by_Province_Year!$B$4:$J$4,0)),"")</f>
        <v>1146330</v>
      </c>
      <c r="H2116" s="22">
        <f>IFERROR(D2116/G2116*100000,"")</f>
        <v>54.085647239451113</v>
      </c>
    </row>
    <row r="2117" spans="1:8" ht="15" customHeight="1" x14ac:dyDescent="0.3">
      <c r="A2117" s="20" t="s">
        <v>24</v>
      </c>
      <c r="B2117" s="20">
        <v>2025</v>
      </c>
      <c r="C2117" s="20" t="s">
        <v>106</v>
      </c>
      <c r="D2117" s="20">
        <v>86</v>
      </c>
      <c r="E2117" s="20">
        <v>0</v>
      </c>
      <c r="F2117" s="22">
        <f>IFERROR(E2117/D2117*100,"")</f>
        <v>0</v>
      </c>
      <c r="G2117" s="23">
        <f>IFERROR(INDEX(Population_by_Province_Year!$B$5:$J$29,MATCH($A2117,Population_by_Province_Year!$A$5:$A$29,0),MATCH($B2117,Population_by_Province_Year!$B$4:$J$4,0)),"")</f>
        <v>187296</v>
      </c>
      <c r="H2117" s="22">
        <f>IFERROR(D2117/G2117*100000,"")</f>
        <v>45.916623953528102</v>
      </c>
    </row>
    <row r="2118" spans="1:8" ht="15" customHeight="1" x14ac:dyDescent="0.3">
      <c r="A2118" s="20" t="s">
        <v>25</v>
      </c>
      <c r="B2118" s="20">
        <v>2025</v>
      </c>
      <c r="C2118" s="20" t="s">
        <v>106</v>
      </c>
      <c r="D2118" s="20">
        <v>165</v>
      </c>
      <c r="E2118" s="20">
        <v>0</v>
      </c>
      <c r="F2118" s="22">
        <f>IFERROR(E2118/D2118*100,"")</f>
        <v>0</v>
      </c>
      <c r="G2118" s="23">
        <f>IFERROR(INDEX(Population_by_Province_Year!$B$5:$J$29,MATCH($A2118,Population_by_Province_Year!$A$5:$A$29,0),MATCH($B2118,Population_by_Province_Year!$B$4:$J$4,0)),"")</f>
        <v>593939</v>
      </c>
      <c r="H2118" s="22">
        <f>IFERROR(D2118/G2118*100000,"")</f>
        <v>27.780630670826465</v>
      </c>
    </row>
    <row r="2119" spans="1:8" ht="15" customHeight="1" x14ac:dyDescent="0.3">
      <c r="A2119" s="20" t="s">
        <v>26</v>
      </c>
      <c r="B2119" s="20">
        <v>2025</v>
      </c>
      <c r="C2119" s="20" t="s">
        <v>106</v>
      </c>
      <c r="D2119" s="20">
        <v>330</v>
      </c>
      <c r="E2119" s="20">
        <v>0</v>
      </c>
      <c r="F2119" s="22">
        <f>IFERROR(E2119/D2119*100,"")</f>
        <v>0</v>
      </c>
      <c r="G2119" s="23">
        <f>IFERROR(INDEX(Population_by_Province_Year!$B$5:$J$29,MATCH($A2119,Population_by_Province_Year!$A$5:$A$29,0),MATCH($B2119,Population_by_Province_Year!$B$4:$J$4,0)),"")</f>
        <v>1018251</v>
      </c>
      <c r="H2119" s="22">
        <f>IFERROR(D2119/G2119*100000,"")</f>
        <v>32.408512243052058</v>
      </c>
    </row>
    <row r="2120" spans="1:8" ht="15" customHeight="1" x14ac:dyDescent="0.3">
      <c r="A2120" s="20" t="s">
        <v>27</v>
      </c>
      <c r="B2120" s="20">
        <v>2025</v>
      </c>
      <c r="C2120" s="20" t="s">
        <v>106</v>
      </c>
      <c r="D2120" s="20">
        <v>297</v>
      </c>
      <c r="E2120" s="20">
        <v>0</v>
      </c>
      <c r="F2120" s="22">
        <f>IFERROR(E2120/D2120*100,"")</f>
        <v>0</v>
      </c>
      <c r="G2120" s="23">
        <f>IFERROR(INDEX(Population_by_Province_Year!$B$5:$J$29,MATCH($A2120,Population_by_Province_Year!$A$5:$A$29,0),MATCH($B2120,Population_by_Province_Year!$B$4:$J$4,0)),"")</f>
        <v>878018</v>
      </c>
      <c r="H2120" s="22">
        <f>IFERROR(D2120/G2120*100000,"")</f>
        <v>33.826185795735391</v>
      </c>
    </row>
    <row r="2121" spans="1:8" ht="15" customHeight="1" x14ac:dyDescent="0.3">
      <c r="A2121" s="20" t="s">
        <v>3</v>
      </c>
      <c r="B2121" s="20">
        <v>2025</v>
      </c>
      <c r="C2121" s="20" t="s">
        <v>105</v>
      </c>
      <c r="D2121" s="20">
        <v>262</v>
      </c>
      <c r="E2121" s="20">
        <v>1</v>
      </c>
      <c r="F2121" s="22">
        <f>IFERROR(E2121/D2121*100,"")</f>
        <v>0.38167938931297707</v>
      </c>
      <c r="G2121" s="23">
        <f>IFERROR(INDEX(Population_by_Province_Year!$B$5:$J$29,MATCH($A2121,Population_by_Province_Year!$A$5:$A$29,0),MATCH($B2121,Population_by_Province_Year!$B$4:$J$4,0)),"")</f>
        <v>974136</v>
      </c>
      <c r="H2121" s="22">
        <f>IFERROR(D2121/G2121*100000,"")</f>
        <v>26.895628536467189</v>
      </c>
    </row>
    <row r="2122" spans="1:8" ht="15" customHeight="1" x14ac:dyDescent="0.3">
      <c r="A2122" s="20" t="s">
        <v>4</v>
      </c>
      <c r="B2122" s="20">
        <v>2025</v>
      </c>
      <c r="C2122" s="20" t="s">
        <v>105</v>
      </c>
      <c r="D2122" s="20">
        <v>284</v>
      </c>
      <c r="E2122" s="20">
        <v>0</v>
      </c>
      <c r="F2122" s="22">
        <f>IFERROR(E2122/D2122*100,"")</f>
        <v>0</v>
      </c>
      <c r="G2122" s="23">
        <f>IFERROR(INDEX(Population_by_Province_Year!$B$5:$J$29,MATCH($A2122,Population_by_Province_Year!$A$5:$A$29,0),MATCH($B2122,Population_by_Province_Year!$B$4:$J$4,0)),"")</f>
        <v>1127042</v>
      </c>
      <c r="H2122" s="22">
        <f>IFERROR(D2122/G2122*100000,"")</f>
        <v>25.198705993210545</v>
      </c>
    </row>
    <row r="2123" spans="1:8" ht="15" customHeight="1" x14ac:dyDescent="0.3">
      <c r="A2123" s="20" t="s">
        <v>5</v>
      </c>
      <c r="B2123" s="20">
        <v>2025</v>
      </c>
      <c r="C2123" s="20" t="s">
        <v>105</v>
      </c>
      <c r="D2123" s="20">
        <v>278</v>
      </c>
      <c r="E2123" s="20">
        <v>0</v>
      </c>
      <c r="F2123" s="22">
        <f>IFERROR(E2123/D2123*100,"")</f>
        <v>0</v>
      </c>
      <c r="G2123" s="23">
        <f>IFERROR(INDEX(Population_by_Province_Year!$B$5:$J$29,MATCH($A2123,Population_by_Province_Year!$A$5:$A$29,0),MATCH($B2123,Population_by_Province_Year!$B$4:$J$4,0)),"")</f>
        <v>1016981</v>
      </c>
      <c r="H2123" s="22">
        <f>IFERROR(D2123/G2123*100000,"")</f>
        <v>27.335810600198037</v>
      </c>
    </row>
    <row r="2124" spans="1:8" ht="15" customHeight="1" x14ac:dyDescent="0.3">
      <c r="A2124" s="20" t="s">
        <v>6</v>
      </c>
      <c r="B2124" s="20">
        <v>2025</v>
      </c>
      <c r="C2124" s="20" t="s">
        <v>105</v>
      </c>
      <c r="D2124" s="20">
        <v>80</v>
      </c>
      <c r="E2124" s="20">
        <v>0</v>
      </c>
      <c r="F2124" s="22">
        <f>IFERROR(E2124/D2124*100,"")</f>
        <v>0</v>
      </c>
      <c r="G2124" s="23">
        <f>IFERROR(INDEX(Population_by_Province_Year!$B$5:$J$29,MATCH($A2124,Population_by_Province_Year!$A$5:$A$29,0),MATCH($B2124,Population_by_Province_Year!$B$4:$J$4,0)),"")</f>
        <v>595668</v>
      </c>
      <c r="H2124" s="22">
        <f>IFERROR(D2124/G2124*100000,"")</f>
        <v>13.430300100055737</v>
      </c>
    </row>
    <row r="2125" spans="1:8" ht="15" customHeight="1" x14ac:dyDescent="0.3">
      <c r="A2125" s="20" t="s">
        <v>7</v>
      </c>
      <c r="B2125" s="20">
        <v>2025</v>
      </c>
      <c r="C2125" s="20" t="s">
        <v>105</v>
      </c>
      <c r="D2125" s="20">
        <v>285</v>
      </c>
      <c r="E2125" s="20">
        <v>0</v>
      </c>
      <c r="F2125" s="22">
        <f>IFERROR(E2125/D2125*100,"")</f>
        <v>0</v>
      </c>
      <c r="G2125" s="23">
        <f>IFERROR(INDEX(Population_by_Province_Year!$B$5:$J$29,MATCH($A2125,Population_by_Province_Year!$A$5:$A$29,0),MATCH($B2125,Population_by_Province_Year!$B$4:$J$4,0)),"")</f>
        <v>991813</v>
      </c>
      <c r="H2125" s="22">
        <f>IFERROR(D2125/G2125*100000,"")</f>
        <v>28.735255537082089</v>
      </c>
    </row>
    <row r="2126" spans="1:8" ht="15" customHeight="1" x14ac:dyDescent="0.3">
      <c r="A2126" s="20" t="s">
        <v>8</v>
      </c>
      <c r="B2126" s="20">
        <v>2025</v>
      </c>
      <c r="C2126" s="20" t="s">
        <v>105</v>
      </c>
      <c r="D2126" s="20">
        <v>185</v>
      </c>
      <c r="E2126" s="20">
        <v>0</v>
      </c>
      <c r="F2126" s="22">
        <f>IFERROR(E2126/D2126*100,"")</f>
        <v>0</v>
      </c>
      <c r="G2126" s="23">
        <f>IFERROR(INDEX(Population_by_Province_Year!$B$5:$J$29,MATCH($A2126,Population_by_Province_Year!$A$5:$A$29,0),MATCH($B2126,Population_by_Province_Year!$B$4:$J$4,0)),"")</f>
        <v>770315</v>
      </c>
      <c r="H2126" s="22">
        <f>IFERROR(D2126/G2126*100000,"")</f>
        <v>24.016149237649532</v>
      </c>
    </row>
    <row r="2127" spans="1:8" ht="15" customHeight="1" x14ac:dyDescent="0.3">
      <c r="A2127" s="20" t="s">
        <v>9</v>
      </c>
      <c r="B2127" s="20">
        <v>2025</v>
      </c>
      <c r="C2127" s="20" t="s">
        <v>105</v>
      </c>
      <c r="D2127" s="20">
        <v>108</v>
      </c>
      <c r="E2127" s="20">
        <v>0</v>
      </c>
      <c r="F2127" s="22">
        <f>IFERROR(E2127/D2127*100,"")</f>
        <v>0</v>
      </c>
      <c r="G2127" s="23">
        <f>IFERROR(INDEX(Population_by_Province_Year!$B$5:$J$29,MATCH($A2127,Population_by_Province_Year!$A$5:$A$29,0),MATCH($B2127,Population_by_Province_Year!$B$4:$J$4,0)),"")</f>
        <v>671170</v>
      </c>
      <c r="H2127" s="22">
        <f>IFERROR(D2127/G2127*100000,"")</f>
        <v>16.091303246569424</v>
      </c>
    </row>
    <row r="2128" spans="1:8" ht="15" customHeight="1" x14ac:dyDescent="0.3">
      <c r="A2128" s="20" t="s">
        <v>10</v>
      </c>
      <c r="B2128" s="20">
        <v>2025</v>
      </c>
      <c r="C2128" s="20" t="s">
        <v>105</v>
      </c>
      <c r="D2128" s="20">
        <v>600</v>
      </c>
      <c r="E2128" s="20">
        <v>1</v>
      </c>
      <c r="F2128" s="22">
        <f>IFERROR(E2128/D2128*100,"")</f>
        <v>0.16666666666666669</v>
      </c>
      <c r="G2128" s="23">
        <f>IFERROR(INDEX(Population_by_Province_Year!$B$5:$J$29,MATCH($A2128,Population_by_Province_Year!$A$5:$A$29,0),MATCH($B2128,Population_by_Province_Year!$B$4:$J$4,0)),"")</f>
        <v>1358077</v>
      </c>
      <c r="H2128" s="22">
        <f>IFERROR(D2128/G2128*100000,"")</f>
        <v>44.180116444060246</v>
      </c>
    </row>
    <row r="2129" spans="1:8" ht="15" customHeight="1" x14ac:dyDescent="0.3">
      <c r="A2129" s="20" t="s">
        <v>11</v>
      </c>
      <c r="B2129" s="20">
        <v>2025</v>
      </c>
      <c r="C2129" s="20" t="s">
        <v>105</v>
      </c>
      <c r="D2129" s="20">
        <v>24</v>
      </c>
      <c r="E2129" s="20">
        <v>0</v>
      </c>
      <c r="F2129" s="22">
        <f>IFERROR(E2129/D2129*100,"")</f>
        <v>0</v>
      </c>
      <c r="G2129" s="23">
        <f>IFERROR(INDEX(Population_by_Province_Year!$B$5:$J$29,MATCH($A2129,Population_by_Province_Year!$A$5:$A$29,0),MATCH($B2129,Population_by_Province_Year!$B$4:$J$4,0)),"")</f>
        <v>48222</v>
      </c>
      <c r="H2129" s="22">
        <f>IFERROR(D2129/G2129*100000,"")</f>
        <v>49.769814607440594</v>
      </c>
    </row>
    <row r="2130" spans="1:8" ht="15" customHeight="1" x14ac:dyDescent="0.3">
      <c r="A2130" s="20" t="s">
        <v>12</v>
      </c>
      <c r="B2130" s="20">
        <v>2025</v>
      </c>
      <c r="C2130" s="20" t="s">
        <v>105</v>
      </c>
      <c r="D2130" s="20">
        <v>49</v>
      </c>
      <c r="E2130" s="20">
        <v>0</v>
      </c>
      <c r="F2130" s="22">
        <f>IFERROR(E2130/D2130*100,"")</f>
        <v>0</v>
      </c>
      <c r="G2130" s="23">
        <f>IFERROR(INDEX(Population_by_Province_Year!$B$5:$J$29,MATCH($A2130,Population_by_Province_Year!$A$5:$A$29,0),MATCH($B2130,Population_by_Province_Year!$B$4:$J$4,0)),"")</f>
        <v>142300</v>
      </c>
      <c r="H2130" s="22">
        <f>IFERROR(D2130/G2130*100000,"")</f>
        <v>34.434293745607874</v>
      </c>
    </row>
    <row r="2131" spans="1:8" ht="15" customHeight="1" x14ac:dyDescent="0.3">
      <c r="A2131" s="20" t="s">
        <v>13</v>
      </c>
      <c r="B2131" s="20">
        <v>2025</v>
      </c>
      <c r="C2131" s="20" t="s">
        <v>105</v>
      </c>
      <c r="D2131" s="20">
        <v>130</v>
      </c>
      <c r="E2131" s="20">
        <v>0</v>
      </c>
      <c r="F2131" s="22">
        <f>IFERROR(E2131/D2131*100,"")</f>
        <v>0</v>
      </c>
      <c r="G2131" s="23">
        <f>IFERROR(INDEX(Population_by_Province_Year!$B$5:$J$29,MATCH($A2131,Population_by_Province_Year!$A$5:$A$29,0),MATCH($B2131,Population_by_Province_Year!$B$4:$J$4,0)),"")</f>
        <v>423564</v>
      </c>
      <c r="H2131" s="22">
        <f>IFERROR(D2131/G2131*100000,"")</f>
        <v>30.691937936179656</v>
      </c>
    </row>
    <row r="2132" spans="1:8" ht="15" customHeight="1" x14ac:dyDescent="0.3">
      <c r="A2132" s="20" t="s">
        <v>14</v>
      </c>
      <c r="B2132" s="20">
        <v>2025</v>
      </c>
      <c r="C2132" s="20" t="s">
        <v>105</v>
      </c>
      <c r="D2132" s="20">
        <v>11</v>
      </c>
      <c r="E2132" s="20">
        <v>0</v>
      </c>
      <c r="F2132" s="22">
        <f>IFERROR(E2132/D2132*100,"")</f>
        <v>0</v>
      </c>
      <c r="G2132" s="23">
        <f>IFERROR(INDEX(Population_by_Province_Year!$B$5:$J$29,MATCH($A2132,Population_by_Province_Year!$A$5:$A$29,0),MATCH($B2132,Population_by_Province_Year!$B$4:$J$4,0)),"")</f>
        <v>104223</v>
      </c>
      <c r="H2132" s="22">
        <f>IFERROR(D2132/G2132*100000,"")</f>
        <v>10.554292238757281</v>
      </c>
    </row>
    <row r="2133" spans="1:8" ht="15" customHeight="1" x14ac:dyDescent="0.3">
      <c r="A2133" s="20" t="s">
        <v>15</v>
      </c>
      <c r="B2133" s="20">
        <v>2025</v>
      </c>
      <c r="C2133" s="20" t="s">
        <v>105</v>
      </c>
      <c r="D2133" s="20">
        <v>39</v>
      </c>
      <c r="E2133" s="20">
        <v>0</v>
      </c>
      <c r="F2133" s="22">
        <f>IFERROR(E2133/D2133*100,"")</f>
        <v>0</v>
      </c>
      <c r="G2133" s="23">
        <f>IFERROR(INDEX(Population_by_Province_Year!$B$5:$J$29,MATCH($A2133,Population_by_Province_Year!$A$5:$A$29,0),MATCH($B2133,Population_by_Province_Year!$B$4:$J$4,0)),"")</f>
        <v>311990</v>
      </c>
      <c r="H2133" s="22">
        <f>IFERROR(D2133/G2133*100000,"")</f>
        <v>12.500400653867112</v>
      </c>
    </row>
    <row r="2134" spans="1:8" ht="15" customHeight="1" x14ac:dyDescent="0.3">
      <c r="A2134" s="20" t="s">
        <v>16</v>
      </c>
      <c r="B2134" s="20">
        <v>2025</v>
      </c>
      <c r="C2134" s="20" t="s">
        <v>105</v>
      </c>
      <c r="D2134" s="20">
        <v>35</v>
      </c>
      <c r="E2134" s="20">
        <v>0</v>
      </c>
      <c r="F2134" s="22">
        <f>IFERROR(E2134/D2134*100,"")</f>
        <v>0</v>
      </c>
      <c r="G2134" s="23">
        <f>IFERROR(INDEX(Population_by_Province_Year!$B$5:$J$29,MATCH($A2134,Population_by_Province_Year!$A$5:$A$29,0),MATCH($B2134,Population_by_Province_Year!$B$4:$J$4,0)),"")</f>
        <v>84895</v>
      </c>
      <c r="H2134" s="22">
        <f>IFERROR(D2134/G2134*100000,"")</f>
        <v>41.227398551151424</v>
      </c>
    </row>
    <row r="2135" spans="1:8" ht="15" customHeight="1" x14ac:dyDescent="0.3">
      <c r="A2135" s="20" t="s">
        <v>17</v>
      </c>
      <c r="B2135" s="20">
        <v>2025</v>
      </c>
      <c r="C2135" s="20" t="s">
        <v>105</v>
      </c>
      <c r="D2135" s="20">
        <v>1905</v>
      </c>
      <c r="E2135" s="20">
        <v>1</v>
      </c>
      <c r="F2135" s="22">
        <f>IFERROR(E2135/D2135*100,"")</f>
        <v>5.2493438320209973E-2</v>
      </c>
      <c r="G2135" s="23">
        <f>IFERROR(INDEX(Population_by_Province_Year!$B$5:$J$29,MATCH($A2135,Population_by_Province_Year!$A$5:$A$29,0),MATCH($B2135,Population_by_Province_Year!$B$4:$J$4,0)),"")</f>
        <v>2579157</v>
      </c>
      <c r="H2135" s="22">
        <f>IFERROR(D2135/G2135*100000,"")</f>
        <v>73.86134306674623</v>
      </c>
    </row>
    <row r="2136" spans="1:8" ht="15" customHeight="1" x14ac:dyDescent="0.3">
      <c r="A2136" s="20" t="s">
        <v>18</v>
      </c>
      <c r="B2136" s="20">
        <v>2025</v>
      </c>
      <c r="C2136" s="20" t="s">
        <v>105</v>
      </c>
      <c r="D2136" s="20">
        <v>201</v>
      </c>
      <c r="E2136" s="20">
        <v>0</v>
      </c>
      <c r="F2136" s="22">
        <f>IFERROR(E2136/D2136*100,"")</f>
        <v>0</v>
      </c>
      <c r="G2136" s="23">
        <f>IFERROR(INDEX(Population_by_Province_Year!$B$5:$J$29,MATCH($A2136,Population_by_Province_Year!$A$5:$A$29,0),MATCH($B2136,Population_by_Province_Year!$B$4:$J$4,0)),"")</f>
        <v>350456</v>
      </c>
      <c r="H2136" s="22">
        <f>IFERROR(D2136/G2136*100000,"")</f>
        <v>57.35384755860936</v>
      </c>
    </row>
    <row r="2137" spans="1:8" ht="15" customHeight="1" x14ac:dyDescent="0.3">
      <c r="A2137" s="20" t="s">
        <v>19</v>
      </c>
      <c r="B2137" s="20">
        <v>2025</v>
      </c>
      <c r="C2137" s="20" t="s">
        <v>105</v>
      </c>
      <c r="D2137" s="20">
        <v>72</v>
      </c>
      <c r="E2137" s="20">
        <v>0</v>
      </c>
      <c r="F2137" s="22">
        <f>IFERROR(E2137/D2137*100,"")</f>
        <v>0</v>
      </c>
      <c r="G2137" s="23">
        <f>IFERROR(INDEX(Population_by_Province_Year!$B$5:$J$29,MATCH($A2137,Population_by_Province_Year!$A$5:$A$29,0),MATCH($B2137,Population_by_Province_Year!$B$4:$J$4,0)),"")</f>
        <v>288016</v>
      </c>
      <c r="H2137" s="22">
        <f>IFERROR(D2137/G2137*100000,"")</f>
        <v>24.998611188267315</v>
      </c>
    </row>
    <row r="2138" spans="1:8" ht="15" customHeight="1" x14ac:dyDescent="0.3">
      <c r="A2138" s="20" t="s">
        <v>20</v>
      </c>
      <c r="B2138" s="20">
        <v>2025</v>
      </c>
      <c r="C2138" s="20" t="s">
        <v>105</v>
      </c>
      <c r="D2138" s="20">
        <v>292</v>
      </c>
      <c r="E2138" s="20">
        <v>0</v>
      </c>
      <c r="F2138" s="22">
        <f>IFERROR(E2138/D2138*100,"")</f>
        <v>0</v>
      </c>
      <c r="G2138" s="23">
        <f>IFERROR(INDEX(Population_by_Province_Year!$B$5:$J$29,MATCH($A2138,Population_by_Province_Year!$A$5:$A$29,0),MATCH($B2138,Population_by_Province_Year!$B$4:$J$4,0)),"")</f>
        <v>1195479</v>
      </c>
      <c r="H2138" s="22">
        <f>IFERROR(D2138/G2138*100000,"")</f>
        <v>24.425355861541693</v>
      </c>
    </row>
    <row r="2139" spans="1:8" ht="15" customHeight="1" x14ac:dyDescent="0.3">
      <c r="A2139" s="20" t="s">
        <v>21</v>
      </c>
      <c r="B2139" s="20">
        <v>2025</v>
      </c>
      <c r="C2139" s="20" t="s">
        <v>105</v>
      </c>
      <c r="D2139" s="20">
        <v>266</v>
      </c>
      <c r="E2139" s="20">
        <v>0</v>
      </c>
      <c r="F2139" s="22">
        <f>IFERROR(E2139/D2139*100,"")</f>
        <v>0</v>
      </c>
      <c r="G2139" s="23">
        <f>IFERROR(INDEX(Population_by_Province_Year!$B$5:$J$29,MATCH($A2139,Population_by_Province_Year!$A$5:$A$29,0),MATCH($B2139,Population_by_Province_Year!$B$4:$J$4,0)),"")</f>
        <v>474647</v>
      </c>
      <c r="H2139" s="22">
        <f>IFERROR(D2139/G2139*100000,"")</f>
        <v>56.041647792991427</v>
      </c>
    </row>
    <row r="2140" spans="1:8" ht="15" customHeight="1" x14ac:dyDescent="0.3">
      <c r="A2140" s="20" t="s">
        <v>22</v>
      </c>
      <c r="B2140" s="20">
        <v>2025</v>
      </c>
      <c r="C2140" s="20" t="s">
        <v>105</v>
      </c>
      <c r="D2140" s="20">
        <v>37</v>
      </c>
      <c r="E2140" s="20">
        <v>0</v>
      </c>
      <c r="F2140" s="22">
        <f>IFERROR(E2140/D2140*100,"")</f>
        <v>0</v>
      </c>
      <c r="G2140" s="23">
        <f>IFERROR(INDEX(Population_by_Province_Year!$B$5:$J$29,MATCH($A2140,Population_by_Province_Year!$A$5:$A$29,0),MATCH($B2140,Population_by_Province_Year!$B$4:$J$4,0)),"")</f>
        <v>245774</v>
      </c>
      <c r="H2140" s="22">
        <f>IFERROR(D2140/G2140*100000,"")</f>
        <v>15.054480945909658</v>
      </c>
    </row>
    <row r="2141" spans="1:8" ht="15" customHeight="1" x14ac:dyDescent="0.3">
      <c r="A2141" s="20" t="s">
        <v>23</v>
      </c>
      <c r="B2141" s="20">
        <v>2025</v>
      </c>
      <c r="C2141" s="20" t="s">
        <v>105</v>
      </c>
      <c r="D2141" s="20">
        <v>275</v>
      </c>
      <c r="E2141" s="20">
        <v>0</v>
      </c>
      <c r="F2141" s="22">
        <f>IFERROR(E2141/D2141*100,"")</f>
        <v>0</v>
      </c>
      <c r="G2141" s="23">
        <f>IFERROR(INDEX(Population_by_Province_Year!$B$5:$J$29,MATCH($A2141,Population_by_Province_Year!$A$5:$A$29,0),MATCH($B2141,Population_by_Province_Year!$B$4:$J$4,0)),"")</f>
        <v>1146330</v>
      </c>
      <c r="H2141" s="22">
        <f>IFERROR(D2141/G2141*100000,"")</f>
        <v>23.98960159814364</v>
      </c>
    </row>
    <row r="2142" spans="1:8" ht="15" customHeight="1" x14ac:dyDescent="0.3">
      <c r="A2142" s="20" t="s">
        <v>24</v>
      </c>
      <c r="B2142" s="20">
        <v>2025</v>
      </c>
      <c r="C2142" s="20" t="s">
        <v>105</v>
      </c>
      <c r="D2142" s="20">
        <v>38</v>
      </c>
      <c r="E2142" s="20">
        <v>0</v>
      </c>
      <c r="F2142" s="22">
        <f>IFERROR(E2142/D2142*100,"")</f>
        <v>0</v>
      </c>
      <c r="G2142" s="23">
        <f>IFERROR(INDEX(Population_by_Province_Year!$B$5:$J$29,MATCH($A2142,Population_by_Province_Year!$A$5:$A$29,0),MATCH($B2142,Population_by_Province_Year!$B$4:$J$4,0)),"")</f>
        <v>187296</v>
      </c>
      <c r="H2142" s="22">
        <f>IFERROR(D2142/G2142*100000,"")</f>
        <v>20.288740816675208</v>
      </c>
    </row>
    <row r="2143" spans="1:8" ht="15" customHeight="1" x14ac:dyDescent="0.3">
      <c r="A2143" s="20" t="s">
        <v>25</v>
      </c>
      <c r="B2143" s="20">
        <v>2025</v>
      </c>
      <c r="C2143" s="20" t="s">
        <v>105</v>
      </c>
      <c r="D2143" s="20">
        <v>139</v>
      </c>
      <c r="E2143" s="20">
        <v>1</v>
      </c>
      <c r="F2143" s="22">
        <f>IFERROR(E2143/D2143*100,"")</f>
        <v>0.71942446043165476</v>
      </c>
      <c r="G2143" s="23">
        <f>IFERROR(INDEX(Population_by_Province_Year!$B$5:$J$29,MATCH($A2143,Population_by_Province_Year!$A$5:$A$29,0),MATCH($B2143,Population_by_Province_Year!$B$4:$J$4,0)),"")</f>
        <v>593939</v>
      </c>
      <c r="H2143" s="22">
        <f>IFERROR(D2143/G2143*100000,"")</f>
        <v>23.403076746938659</v>
      </c>
    </row>
    <row r="2144" spans="1:8" ht="15" customHeight="1" x14ac:dyDescent="0.3">
      <c r="A2144" s="20" t="s">
        <v>26</v>
      </c>
      <c r="B2144" s="20">
        <v>2025</v>
      </c>
      <c r="C2144" s="20" t="s">
        <v>105</v>
      </c>
      <c r="D2144" s="20">
        <v>316</v>
      </c>
      <c r="E2144" s="20">
        <v>2</v>
      </c>
      <c r="F2144" s="22">
        <f>IFERROR(E2144/D2144*100,"")</f>
        <v>0.63291139240506333</v>
      </c>
      <c r="G2144" s="23">
        <f>IFERROR(INDEX(Population_by_Province_Year!$B$5:$J$29,MATCH($A2144,Population_by_Province_Year!$A$5:$A$29,0),MATCH($B2144,Population_by_Province_Year!$B$4:$J$4,0)),"")</f>
        <v>1018251</v>
      </c>
      <c r="H2144" s="22">
        <f>IFERROR(D2144/G2144*100000,"")</f>
        <v>31.03360566304379</v>
      </c>
    </row>
    <row r="2145" spans="1:8" ht="15" customHeight="1" x14ac:dyDescent="0.3">
      <c r="A2145" s="20" t="s">
        <v>27</v>
      </c>
      <c r="B2145" s="20">
        <v>2025</v>
      </c>
      <c r="C2145" s="20" t="s">
        <v>105</v>
      </c>
      <c r="D2145" s="20">
        <v>222</v>
      </c>
      <c r="E2145" s="20">
        <v>1</v>
      </c>
      <c r="F2145" s="22">
        <f>IFERROR(E2145/D2145*100,"")</f>
        <v>0.45045045045045046</v>
      </c>
      <c r="G2145" s="23">
        <f>IFERROR(INDEX(Population_by_Province_Year!$B$5:$J$29,MATCH($A2145,Population_by_Province_Year!$A$5:$A$29,0),MATCH($B2145,Population_by_Province_Year!$B$4:$J$4,0)),"")</f>
        <v>878018</v>
      </c>
      <c r="H2145" s="22">
        <f>IFERROR(D2145/G2145*100000,"")</f>
        <v>25.284219685701206</v>
      </c>
    </row>
    <row r="2146" spans="1:8" ht="15" customHeight="1" x14ac:dyDescent="0.3">
      <c r="A2146" s="20" t="s">
        <v>3</v>
      </c>
      <c r="B2146" s="20">
        <v>2025</v>
      </c>
      <c r="C2146" s="20" t="s">
        <v>98</v>
      </c>
      <c r="D2146" s="20">
        <v>116</v>
      </c>
      <c r="E2146" s="20">
        <v>0</v>
      </c>
      <c r="F2146" s="22">
        <f>IFERROR(E2146/D2146*100,"")</f>
        <v>0</v>
      </c>
      <c r="G2146" s="23">
        <f>IFERROR(INDEX(Population_by_Province_Year!$B$5:$J$29,MATCH($A2146,Population_by_Province_Year!$A$5:$A$29,0),MATCH($B2146,Population_by_Province_Year!$B$4:$J$4,0)),"")</f>
        <v>974136</v>
      </c>
      <c r="H2146" s="22">
        <f>IFERROR(D2146/G2146*100000,"")</f>
        <v>11.907988206985474</v>
      </c>
    </row>
    <row r="2147" spans="1:8" ht="15" customHeight="1" x14ac:dyDescent="0.3">
      <c r="A2147" s="20" t="s">
        <v>4</v>
      </c>
      <c r="B2147" s="20">
        <v>2025</v>
      </c>
      <c r="C2147" s="20" t="s">
        <v>98</v>
      </c>
      <c r="D2147" s="20">
        <v>110</v>
      </c>
      <c r="E2147" s="20">
        <v>0</v>
      </c>
      <c r="F2147" s="22">
        <f>IFERROR(E2147/D2147*100,"")</f>
        <v>0</v>
      </c>
      <c r="G2147" s="23">
        <f>IFERROR(INDEX(Population_by_Province_Year!$B$5:$J$29,MATCH($A2147,Population_by_Province_Year!$A$5:$A$29,0),MATCH($B2147,Population_by_Province_Year!$B$4:$J$4,0)),"")</f>
        <v>1127042</v>
      </c>
      <c r="H2147" s="22">
        <f>IFERROR(D2147/G2147*100000,"")</f>
        <v>9.7600621804688732</v>
      </c>
    </row>
    <row r="2148" spans="1:8" ht="15" customHeight="1" x14ac:dyDescent="0.3">
      <c r="A2148" s="20" t="s">
        <v>5</v>
      </c>
      <c r="B2148" s="20">
        <v>2025</v>
      </c>
      <c r="C2148" s="20" t="s">
        <v>98</v>
      </c>
      <c r="D2148" s="20">
        <v>133</v>
      </c>
      <c r="E2148" s="20">
        <v>1</v>
      </c>
      <c r="F2148" s="22">
        <f>IFERROR(E2148/D2148*100,"")</f>
        <v>0.75187969924812026</v>
      </c>
      <c r="G2148" s="23">
        <f>IFERROR(INDEX(Population_by_Province_Year!$B$5:$J$29,MATCH($A2148,Population_by_Province_Year!$A$5:$A$29,0),MATCH($B2148,Population_by_Province_Year!$B$4:$J$4,0)),"")</f>
        <v>1016981</v>
      </c>
      <c r="H2148" s="22">
        <f>IFERROR(D2148/G2148*100000,"")</f>
        <v>13.077923776353737</v>
      </c>
    </row>
    <row r="2149" spans="1:8" ht="15" customHeight="1" x14ac:dyDescent="0.3">
      <c r="A2149" s="20" t="s">
        <v>6</v>
      </c>
      <c r="B2149" s="20">
        <v>2025</v>
      </c>
      <c r="C2149" s="20" t="s">
        <v>98</v>
      </c>
      <c r="D2149" s="20">
        <v>36</v>
      </c>
      <c r="E2149" s="20">
        <v>0</v>
      </c>
      <c r="F2149" s="22">
        <f>IFERROR(E2149/D2149*100,"")</f>
        <v>0</v>
      </c>
      <c r="G2149" s="23">
        <f>IFERROR(INDEX(Population_by_Province_Year!$B$5:$J$29,MATCH($A2149,Population_by_Province_Year!$A$5:$A$29,0),MATCH($B2149,Population_by_Province_Year!$B$4:$J$4,0)),"")</f>
        <v>595668</v>
      </c>
      <c r="H2149" s="22">
        <f>IFERROR(D2149/G2149*100000,"")</f>
        <v>6.0436350450250815</v>
      </c>
    </row>
    <row r="2150" spans="1:8" ht="15" customHeight="1" x14ac:dyDescent="0.3">
      <c r="A2150" s="20" t="s">
        <v>7</v>
      </c>
      <c r="B2150" s="20">
        <v>2025</v>
      </c>
      <c r="C2150" s="20" t="s">
        <v>98</v>
      </c>
      <c r="D2150" s="20">
        <v>109</v>
      </c>
      <c r="E2150" s="20">
        <v>0</v>
      </c>
      <c r="F2150" s="22">
        <f>IFERROR(E2150/D2150*100,"")</f>
        <v>0</v>
      </c>
      <c r="G2150" s="23">
        <f>IFERROR(INDEX(Population_by_Province_Year!$B$5:$J$29,MATCH($A2150,Population_by_Province_Year!$A$5:$A$29,0),MATCH($B2150,Population_by_Province_Year!$B$4:$J$4,0)),"")</f>
        <v>991813</v>
      </c>
      <c r="H2150" s="22">
        <f>IFERROR(D2150/G2150*100000,"")</f>
        <v>10.989974924708589</v>
      </c>
    </row>
    <row r="2151" spans="1:8" ht="15" customHeight="1" x14ac:dyDescent="0.3">
      <c r="A2151" s="20" t="s">
        <v>8</v>
      </c>
      <c r="B2151" s="20">
        <v>2025</v>
      </c>
      <c r="C2151" s="20" t="s">
        <v>98</v>
      </c>
      <c r="D2151" s="20">
        <v>77</v>
      </c>
      <c r="E2151" s="20">
        <v>0</v>
      </c>
      <c r="F2151" s="22">
        <f>IFERROR(E2151/D2151*100,"")</f>
        <v>0</v>
      </c>
      <c r="G2151" s="23">
        <f>IFERROR(INDEX(Population_by_Province_Year!$B$5:$J$29,MATCH($A2151,Population_by_Province_Year!$A$5:$A$29,0),MATCH($B2151,Population_by_Province_Year!$B$4:$J$4,0)),"")</f>
        <v>770315</v>
      </c>
      <c r="H2151" s="22">
        <f>IFERROR(D2151/G2151*100000,"")</f>
        <v>9.9959107637784541</v>
      </c>
    </row>
    <row r="2152" spans="1:8" ht="15" customHeight="1" x14ac:dyDescent="0.3">
      <c r="A2152" s="20" t="s">
        <v>9</v>
      </c>
      <c r="B2152" s="20">
        <v>2025</v>
      </c>
      <c r="C2152" s="20" t="s">
        <v>98</v>
      </c>
      <c r="D2152" s="20">
        <v>48</v>
      </c>
      <c r="E2152" s="20">
        <v>0</v>
      </c>
      <c r="F2152" s="22">
        <f>IFERROR(E2152/D2152*100,"")</f>
        <v>0</v>
      </c>
      <c r="G2152" s="23">
        <f>IFERROR(INDEX(Population_by_Province_Year!$B$5:$J$29,MATCH($A2152,Population_by_Province_Year!$A$5:$A$29,0),MATCH($B2152,Population_by_Province_Year!$B$4:$J$4,0)),"")</f>
        <v>671170</v>
      </c>
      <c r="H2152" s="22">
        <f>IFERROR(D2152/G2152*100000,"")</f>
        <v>7.1516903318086333</v>
      </c>
    </row>
    <row r="2153" spans="1:8" ht="15" customHeight="1" x14ac:dyDescent="0.3">
      <c r="A2153" s="20" t="s">
        <v>10</v>
      </c>
      <c r="B2153" s="20">
        <v>2025</v>
      </c>
      <c r="C2153" s="20" t="s">
        <v>98</v>
      </c>
      <c r="D2153" s="20">
        <v>362</v>
      </c>
      <c r="E2153" s="20">
        <v>1</v>
      </c>
      <c r="F2153" s="22">
        <f>IFERROR(E2153/D2153*100,"")</f>
        <v>0.27624309392265189</v>
      </c>
      <c r="G2153" s="23">
        <f>IFERROR(INDEX(Population_by_Province_Year!$B$5:$J$29,MATCH($A2153,Population_by_Province_Year!$A$5:$A$29,0),MATCH($B2153,Population_by_Province_Year!$B$4:$J$4,0)),"")</f>
        <v>1358077</v>
      </c>
      <c r="H2153" s="22">
        <f>IFERROR(D2153/G2153*100000,"")</f>
        <v>26.655336921249678</v>
      </c>
    </row>
    <row r="2154" spans="1:8" ht="15" customHeight="1" x14ac:dyDescent="0.3">
      <c r="A2154" s="20" t="s">
        <v>11</v>
      </c>
      <c r="B2154" s="20">
        <v>2025</v>
      </c>
      <c r="C2154" s="20" t="s">
        <v>98</v>
      </c>
      <c r="D2154" s="20">
        <v>1</v>
      </c>
      <c r="E2154" s="20">
        <v>0</v>
      </c>
      <c r="F2154" s="22">
        <f>IFERROR(E2154/D2154*100,"")</f>
        <v>0</v>
      </c>
      <c r="G2154" s="23">
        <f>IFERROR(INDEX(Population_by_Province_Year!$B$5:$J$29,MATCH($A2154,Population_by_Province_Year!$A$5:$A$29,0),MATCH($B2154,Population_by_Province_Year!$B$4:$J$4,0)),"")</f>
        <v>48222</v>
      </c>
      <c r="H2154" s="22">
        <f>IFERROR(D2154/G2154*100000,"")</f>
        <v>2.0737422753100243</v>
      </c>
    </row>
    <row r="2155" spans="1:8" ht="15" customHeight="1" x14ac:dyDescent="0.3">
      <c r="A2155" s="20" t="s">
        <v>12</v>
      </c>
      <c r="B2155" s="20">
        <v>2025</v>
      </c>
      <c r="C2155" s="20" t="s">
        <v>98</v>
      </c>
      <c r="D2155" s="20">
        <v>12</v>
      </c>
      <c r="E2155" s="20">
        <v>0</v>
      </c>
      <c r="F2155" s="22">
        <f>IFERROR(E2155/D2155*100,"")</f>
        <v>0</v>
      </c>
      <c r="G2155" s="23">
        <f>IFERROR(INDEX(Population_by_Province_Year!$B$5:$J$29,MATCH($A2155,Population_by_Province_Year!$A$5:$A$29,0),MATCH($B2155,Population_by_Province_Year!$B$4:$J$4,0)),"")</f>
        <v>142300</v>
      </c>
      <c r="H2155" s="22">
        <f>IFERROR(D2155/G2155*100000,"")</f>
        <v>8.432888264230499</v>
      </c>
    </row>
    <row r="2156" spans="1:8" ht="15" customHeight="1" x14ac:dyDescent="0.3">
      <c r="A2156" s="20" t="s">
        <v>13</v>
      </c>
      <c r="B2156" s="20">
        <v>2025</v>
      </c>
      <c r="C2156" s="20" t="s">
        <v>98</v>
      </c>
      <c r="D2156" s="20">
        <v>34</v>
      </c>
      <c r="E2156" s="20">
        <v>0</v>
      </c>
      <c r="F2156" s="22">
        <f>IFERROR(E2156/D2156*100,"")</f>
        <v>0</v>
      </c>
      <c r="G2156" s="23">
        <f>IFERROR(INDEX(Population_by_Province_Year!$B$5:$J$29,MATCH($A2156,Population_by_Province_Year!$A$5:$A$29,0),MATCH($B2156,Population_by_Province_Year!$B$4:$J$4,0)),"")</f>
        <v>423564</v>
      </c>
      <c r="H2156" s="22">
        <f>IFERROR(D2156/G2156*100000,"")</f>
        <v>8.0271222294623712</v>
      </c>
    </row>
    <row r="2157" spans="1:8" ht="15" customHeight="1" x14ac:dyDescent="0.3">
      <c r="A2157" s="20" t="s">
        <v>14</v>
      </c>
      <c r="B2157" s="20">
        <v>2025</v>
      </c>
      <c r="C2157" s="20" t="s">
        <v>98</v>
      </c>
      <c r="D2157" s="20">
        <v>9</v>
      </c>
      <c r="E2157" s="20">
        <v>0</v>
      </c>
      <c r="F2157" s="22">
        <f>IFERROR(E2157/D2157*100,"")</f>
        <v>0</v>
      </c>
      <c r="G2157" s="23">
        <f>IFERROR(INDEX(Population_by_Province_Year!$B$5:$J$29,MATCH($A2157,Population_by_Province_Year!$A$5:$A$29,0),MATCH($B2157,Population_by_Province_Year!$B$4:$J$4,0)),"")</f>
        <v>104223</v>
      </c>
      <c r="H2157" s="22">
        <f>IFERROR(D2157/G2157*100000,"")</f>
        <v>8.6353300135286837</v>
      </c>
    </row>
    <row r="2158" spans="1:8" ht="15" customHeight="1" x14ac:dyDescent="0.3">
      <c r="A2158" s="20" t="s">
        <v>15</v>
      </c>
      <c r="B2158" s="20">
        <v>2025</v>
      </c>
      <c r="C2158" s="20" t="s">
        <v>98</v>
      </c>
      <c r="D2158" s="20">
        <v>7</v>
      </c>
      <c r="E2158" s="20">
        <v>0</v>
      </c>
      <c r="F2158" s="22">
        <f>IFERROR(E2158/D2158*100,"")</f>
        <v>0</v>
      </c>
      <c r="G2158" s="23">
        <f>IFERROR(INDEX(Population_by_Province_Year!$B$5:$J$29,MATCH($A2158,Population_by_Province_Year!$A$5:$A$29,0),MATCH($B2158,Population_by_Province_Year!$B$4:$J$4,0)),"")</f>
        <v>311990</v>
      </c>
      <c r="H2158" s="22">
        <f>IFERROR(D2158/G2158*100000,"")</f>
        <v>2.2436616558223017</v>
      </c>
    </row>
    <row r="2159" spans="1:8" ht="15" customHeight="1" x14ac:dyDescent="0.3">
      <c r="A2159" s="20" t="s">
        <v>16</v>
      </c>
      <c r="B2159" s="20">
        <v>2025</v>
      </c>
      <c r="C2159" s="20" t="s">
        <v>98</v>
      </c>
      <c r="D2159" s="20">
        <v>7</v>
      </c>
      <c r="E2159" s="20">
        <v>0</v>
      </c>
      <c r="F2159" s="22">
        <f>IFERROR(E2159/D2159*100,"")</f>
        <v>0</v>
      </c>
      <c r="G2159" s="23">
        <f>IFERROR(INDEX(Population_by_Province_Year!$B$5:$J$29,MATCH($A2159,Population_by_Province_Year!$A$5:$A$29,0),MATCH($B2159,Population_by_Province_Year!$B$4:$J$4,0)),"")</f>
        <v>84895</v>
      </c>
      <c r="H2159" s="22">
        <f>IFERROR(D2159/G2159*100000,"")</f>
        <v>8.2454797102302848</v>
      </c>
    </row>
    <row r="2160" spans="1:8" ht="15" customHeight="1" x14ac:dyDescent="0.3">
      <c r="A2160" s="20" t="s">
        <v>17</v>
      </c>
      <c r="B2160" s="20">
        <v>2025</v>
      </c>
      <c r="C2160" s="20" t="s">
        <v>98</v>
      </c>
      <c r="D2160" s="20">
        <v>1081</v>
      </c>
      <c r="E2160" s="20">
        <v>3</v>
      </c>
      <c r="F2160" s="22">
        <f>IFERROR(E2160/D2160*100,"")</f>
        <v>0.27752081406105455</v>
      </c>
      <c r="G2160" s="23">
        <f>IFERROR(INDEX(Population_by_Province_Year!$B$5:$J$29,MATCH($A2160,Population_by_Province_Year!$A$5:$A$29,0),MATCH($B2160,Population_by_Province_Year!$B$4:$J$4,0)),"")</f>
        <v>2579157</v>
      </c>
      <c r="H2160" s="22">
        <f>IFERROR(D2160/G2160*100000,"")</f>
        <v>41.912919609004028</v>
      </c>
    </row>
    <row r="2161" spans="1:8" ht="15" customHeight="1" x14ac:dyDescent="0.3">
      <c r="A2161" s="20" t="s">
        <v>18</v>
      </c>
      <c r="B2161" s="20">
        <v>2025</v>
      </c>
      <c r="C2161" s="20" t="s">
        <v>98</v>
      </c>
      <c r="D2161" s="20">
        <v>101</v>
      </c>
      <c r="E2161" s="20">
        <v>0</v>
      </c>
      <c r="F2161" s="22">
        <f>IFERROR(E2161/D2161*100,"")</f>
        <v>0</v>
      </c>
      <c r="G2161" s="23">
        <f>IFERROR(INDEX(Population_by_Province_Year!$B$5:$J$29,MATCH($A2161,Population_by_Province_Year!$A$5:$A$29,0),MATCH($B2161,Population_by_Province_Year!$B$4:$J$4,0)),"")</f>
        <v>350456</v>
      </c>
      <c r="H2161" s="22">
        <f>IFERROR(D2161/G2161*100000,"")</f>
        <v>28.819595041888284</v>
      </c>
    </row>
    <row r="2162" spans="1:8" ht="15" customHeight="1" x14ac:dyDescent="0.3">
      <c r="A2162" s="20" t="s">
        <v>19</v>
      </c>
      <c r="B2162" s="20">
        <v>2025</v>
      </c>
      <c r="C2162" s="20" t="s">
        <v>98</v>
      </c>
      <c r="D2162" s="20">
        <v>32</v>
      </c>
      <c r="E2162" s="20">
        <v>0</v>
      </c>
      <c r="F2162" s="22">
        <f>IFERROR(E2162/D2162*100,"")</f>
        <v>0</v>
      </c>
      <c r="G2162" s="23">
        <f>IFERROR(INDEX(Population_by_Province_Year!$B$5:$J$29,MATCH($A2162,Population_by_Province_Year!$A$5:$A$29,0),MATCH($B2162,Population_by_Province_Year!$B$4:$J$4,0)),"")</f>
        <v>288016</v>
      </c>
      <c r="H2162" s="22">
        <f>IFERROR(D2162/G2162*100000,"")</f>
        <v>11.110493861452142</v>
      </c>
    </row>
    <row r="2163" spans="1:8" ht="15" customHeight="1" x14ac:dyDescent="0.3">
      <c r="A2163" s="20" t="s">
        <v>20</v>
      </c>
      <c r="B2163" s="20">
        <v>2025</v>
      </c>
      <c r="C2163" s="20" t="s">
        <v>98</v>
      </c>
      <c r="D2163" s="20">
        <v>129</v>
      </c>
      <c r="E2163" s="20">
        <v>0</v>
      </c>
      <c r="F2163" s="22">
        <f>IFERROR(E2163/D2163*100,"")</f>
        <v>0</v>
      </c>
      <c r="G2163" s="23">
        <f>IFERROR(INDEX(Population_by_Province_Year!$B$5:$J$29,MATCH($A2163,Population_by_Province_Year!$A$5:$A$29,0),MATCH($B2163,Population_by_Province_Year!$B$4:$J$4,0)),"")</f>
        <v>1195479</v>
      </c>
      <c r="H2163" s="22">
        <f>IFERROR(D2163/G2163*100000,"")</f>
        <v>10.790653788146843</v>
      </c>
    </row>
    <row r="2164" spans="1:8" ht="15" customHeight="1" x14ac:dyDescent="0.3">
      <c r="A2164" s="20" t="s">
        <v>21</v>
      </c>
      <c r="B2164" s="20">
        <v>2025</v>
      </c>
      <c r="C2164" s="20" t="s">
        <v>98</v>
      </c>
      <c r="D2164" s="20">
        <v>133</v>
      </c>
      <c r="E2164" s="20">
        <v>0</v>
      </c>
      <c r="F2164" s="22">
        <f>IFERROR(E2164/D2164*100,"")</f>
        <v>0</v>
      </c>
      <c r="G2164" s="23">
        <f>IFERROR(INDEX(Population_by_Province_Year!$B$5:$J$29,MATCH($A2164,Population_by_Province_Year!$A$5:$A$29,0),MATCH($B2164,Population_by_Province_Year!$B$4:$J$4,0)),"")</f>
        <v>474647</v>
      </c>
      <c r="H2164" s="22">
        <f>IFERROR(D2164/G2164*100000,"")</f>
        <v>28.020823896495713</v>
      </c>
    </row>
    <row r="2165" spans="1:8" ht="15" customHeight="1" x14ac:dyDescent="0.3">
      <c r="A2165" s="20" t="s">
        <v>22</v>
      </c>
      <c r="B2165" s="20">
        <v>2025</v>
      </c>
      <c r="C2165" s="20" t="s">
        <v>98</v>
      </c>
      <c r="D2165" s="20">
        <v>48</v>
      </c>
      <c r="E2165" s="20">
        <v>0</v>
      </c>
      <c r="F2165" s="22">
        <f>IFERROR(E2165/D2165*100,"")</f>
        <v>0</v>
      </c>
      <c r="G2165" s="23">
        <f>IFERROR(INDEX(Population_by_Province_Year!$B$5:$J$29,MATCH($A2165,Population_by_Province_Year!$A$5:$A$29,0),MATCH($B2165,Population_by_Province_Year!$B$4:$J$4,0)),"")</f>
        <v>245774</v>
      </c>
      <c r="H2165" s="22">
        <f>IFERROR(D2165/G2165*100000,"")</f>
        <v>19.530137443342259</v>
      </c>
    </row>
    <row r="2166" spans="1:8" ht="15" customHeight="1" x14ac:dyDescent="0.3">
      <c r="A2166" s="20" t="s">
        <v>23</v>
      </c>
      <c r="B2166" s="20">
        <v>2025</v>
      </c>
      <c r="C2166" s="20" t="s">
        <v>98</v>
      </c>
      <c r="D2166" s="20">
        <v>96</v>
      </c>
      <c r="E2166" s="20">
        <v>1</v>
      </c>
      <c r="F2166" s="22">
        <f>IFERROR(E2166/D2166*100,"")</f>
        <v>1.0416666666666665</v>
      </c>
      <c r="G2166" s="23">
        <f>IFERROR(INDEX(Population_by_Province_Year!$B$5:$J$29,MATCH($A2166,Population_by_Province_Year!$A$5:$A$29,0),MATCH($B2166,Population_by_Province_Year!$B$4:$J$4,0)),"")</f>
        <v>1146330</v>
      </c>
      <c r="H2166" s="22">
        <f>IFERROR(D2166/G2166*100000,"")</f>
        <v>8.3745518306246893</v>
      </c>
    </row>
    <row r="2167" spans="1:8" ht="15" customHeight="1" x14ac:dyDescent="0.3">
      <c r="A2167" s="20" t="s">
        <v>24</v>
      </c>
      <c r="B2167" s="20">
        <v>2025</v>
      </c>
      <c r="C2167" s="20" t="s">
        <v>98</v>
      </c>
      <c r="D2167" s="20">
        <v>16</v>
      </c>
      <c r="E2167" s="20">
        <v>0</v>
      </c>
      <c r="F2167" s="22">
        <f>IFERROR(E2167/D2167*100,"")</f>
        <v>0</v>
      </c>
      <c r="G2167" s="23">
        <f>IFERROR(INDEX(Population_by_Province_Year!$B$5:$J$29,MATCH($A2167,Population_by_Province_Year!$A$5:$A$29,0),MATCH($B2167,Population_by_Province_Year!$B$4:$J$4,0)),"")</f>
        <v>187296</v>
      </c>
      <c r="H2167" s="22">
        <f>IFERROR(D2167/G2167*100000,"")</f>
        <v>8.5426277122842986</v>
      </c>
    </row>
    <row r="2168" spans="1:8" ht="15" customHeight="1" x14ac:dyDescent="0.3">
      <c r="A2168" s="20" t="s">
        <v>25</v>
      </c>
      <c r="B2168" s="20">
        <v>2025</v>
      </c>
      <c r="C2168" s="20" t="s">
        <v>98</v>
      </c>
      <c r="D2168" s="20">
        <v>61</v>
      </c>
      <c r="E2168" s="20">
        <v>1</v>
      </c>
      <c r="F2168" s="22">
        <f>IFERROR(E2168/D2168*100,"")</f>
        <v>1.639344262295082</v>
      </c>
      <c r="G2168" s="23">
        <f>IFERROR(INDEX(Population_by_Province_Year!$B$5:$J$29,MATCH($A2168,Population_by_Province_Year!$A$5:$A$29,0),MATCH($B2168,Population_by_Province_Year!$B$4:$J$4,0)),"")</f>
        <v>593939</v>
      </c>
      <c r="H2168" s="22">
        <f>IFERROR(D2168/G2168*100000,"")</f>
        <v>10.270414975275239</v>
      </c>
    </row>
    <row r="2169" spans="1:8" ht="15" customHeight="1" x14ac:dyDescent="0.3">
      <c r="A2169" s="20" t="s">
        <v>26</v>
      </c>
      <c r="B2169" s="20">
        <v>2025</v>
      </c>
      <c r="C2169" s="20" t="s">
        <v>98</v>
      </c>
      <c r="D2169" s="20">
        <v>139</v>
      </c>
      <c r="E2169" s="20">
        <v>0</v>
      </c>
      <c r="F2169" s="22">
        <f>IFERROR(E2169/D2169*100,"")</f>
        <v>0</v>
      </c>
      <c r="G2169" s="23">
        <f>IFERROR(INDEX(Population_by_Province_Year!$B$5:$J$29,MATCH($A2169,Population_by_Province_Year!$A$5:$A$29,0),MATCH($B2169,Population_by_Province_Year!$B$4:$J$4,0)),"")</f>
        <v>1018251</v>
      </c>
      <c r="H2169" s="22">
        <f>IFERROR(D2169/G2169*100000,"")</f>
        <v>13.650858187224957</v>
      </c>
    </row>
    <row r="2170" spans="1:8" ht="15" customHeight="1" x14ac:dyDescent="0.3">
      <c r="A2170" s="20" t="s">
        <v>27</v>
      </c>
      <c r="B2170" s="20">
        <v>2025</v>
      </c>
      <c r="C2170" s="20" t="s">
        <v>98</v>
      </c>
      <c r="D2170" s="20">
        <v>85</v>
      </c>
      <c r="E2170" s="20">
        <v>0</v>
      </c>
      <c r="F2170" s="22">
        <f>IFERROR(E2170/D2170*100,"")</f>
        <v>0</v>
      </c>
      <c r="G2170" s="23">
        <f>IFERROR(INDEX(Population_by_Province_Year!$B$5:$J$29,MATCH($A2170,Population_by_Province_Year!$A$5:$A$29,0),MATCH($B2170,Population_by_Province_Year!$B$4:$J$4,0)),"")</f>
        <v>878018</v>
      </c>
      <c r="H2170" s="22">
        <f>IFERROR(D2170/G2170*100000,"")</f>
        <v>9.6808949247054148</v>
      </c>
    </row>
    <row r="2171" spans="1:8" ht="15" customHeight="1" x14ac:dyDescent="0.3">
      <c r="A2171" s="20" t="s">
        <v>3</v>
      </c>
      <c r="B2171" s="20">
        <v>2026</v>
      </c>
      <c r="C2171" s="20" t="s">
        <v>100</v>
      </c>
      <c r="D2171" s="20">
        <v>78</v>
      </c>
      <c r="E2171" s="20">
        <v>0</v>
      </c>
      <c r="F2171" s="22">
        <f>IFERROR(E2171/D2171*100,"")</f>
        <v>0</v>
      </c>
      <c r="G2171" s="23">
        <f>IFERROR(INDEX(Population_by_Province_Year!$B$5:$J$29,MATCH($A2171,Population_by_Province_Year!$A$5:$A$29,0),MATCH($B2171,Population_by_Province_Year!$B$4:$J$4,0)),"")</f>
        <v>987347</v>
      </c>
      <c r="H2171" s="22">
        <f>IFERROR(D2171/G2171*100000,"")</f>
        <v>7.8999581707343012</v>
      </c>
    </row>
    <row r="2172" spans="1:8" ht="15" customHeight="1" x14ac:dyDescent="0.3">
      <c r="A2172" s="20" t="s">
        <v>4</v>
      </c>
      <c r="B2172" s="20">
        <v>2026</v>
      </c>
      <c r="C2172" s="20" t="s">
        <v>100</v>
      </c>
      <c r="D2172" s="20">
        <v>86</v>
      </c>
      <c r="E2172" s="20">
        <v>0</v>
      </c>
      <c r="F2172" s="22">
        <f>IFERROR(E2172/D2172*100,"")</f>
        <v>0</v>
      </c>
      <c r="G2172" s="23">
        <f>IFERROR(INDEX(Population_by_Province_Year!$B$5:$J$29,MATCH($A2172,Population_by_Province_Year!$A$5:$A$29,0),MATCH($B2172,Population_by_Province_Year!$B$4:$J$4,0)),"")</f>
        <v>1142327</v>
      </c>
      <c r="H2172" s="22">
        <f>IFERROR(D2172/G2172*100000,"")</f>
        <v>7.5284922793560867</v>
      </c>
    </row>
    <row r="2173" spans="1:8" ht="15" customHeight="1" x14ac:dyDescent="0.3">
      <c r="A2173" s="20" t="s">
        <v>5</v>
      </c>
      <c r="B2173" s="20">
        <v>2026</v>
      </c>
      <c r="C2173" s="20" t="s">
        <v>100</v>
      </c>
      <c r="D2173" s="20">
        <v>127</v>
      </c>
      <c r="E2173" s="20">
        <v>0</v>
      </c>
      <c r="F2173" s="22">
        <f>IFERROR(E2173/D2173*100,"")</f>
        <v>0</v>
      </c>
      <c r="G2173" s="23">
        <f>IFERROR(INDEX(Population_by_Province_Year!$B$5:$J$29,MATCH($A2173,Population_by_Province_Year!$A$5:$A$29,0),MATCH($B2173,Population_by_Province_Year!$B$4:$J$4,0)),"")</f>
        <v>1030773</v>
      </c>
      <c r="H2173" s="22">
        <f>IFERROR(D2173/G2173*100000,"")</f>
        <v>12.320850468531869</v>
      </c>
    </row>
    <row r="2174" spans="1:8" ht="15" customHeight="1" x14ac:dyDescent="0.3">
      <c r="A2174" s="20" t="s">
        <v>6</v>
      </c>
      <c r="B2174" s="20">
        <v>2026</v>
      </c>
      <c r="C2174" s="20" t="s">
        <v>100</v>
      </c>
      <c r="D2174" s="20">
        <v>28</v>
      </c>
      <c r="E2174" s="20">
        <v>0</v>
      </c>
      <c r="F2174" s="22">
        <f>IFERROR(E2174/D2174*100,"")</f>
        <v>0</v>
      </c>
      <c r="G2174" s="23">
        <f>IFERROR(INDEX(Population_by_Province_Year!$B$5:$J$29,MATCH($A2174,Population_by_Province_Year!$A$5:$A$29,0),MATCH($B2174,Population_by_Province_Year!$B$4:$J$4,0)),"")</f>
        <v>603746</v>
      </c>
      <c r="H2174" s="22">
        <f>IFERROR(D2174/G2174*100000,"")</f>
        <v>4.6377118854617665</v>
      </c>
    </row>
    <row r="2175" spans="1:8" ht="15" customHeight="1" x14ac:dyDescent="0.3">
      <c r="A2175" s="20" t="s">
        <v>7</v>
      </c>
      <c r="B2175" s="20">
        <v>2026</v>
      </c>
      <c r="C2175" s="20" t="s">
        <v>100</v>
      </c>
      <c r="D2175" s="20">
        <v>238</v>
      </c>
      <c r="E2175" s="20">
        <v>0</v>
      </c>
      <c r="F2175" s="22">
        <f>IFERROR(E2175/D2175*100,"")</f>
        <v>0</v>
      </c>
      <c r="G2175" s="23">
        <f>IFERROR(INDEX(Population_by_Province_Year!$B$5:$J$29,MATCH($A2175,Population_by_Province_Year!$A$5:$A$29,0),MATCH($B2175,Population_by_Province_Year!$B$4:$J$4,0)),"")</f>
        <v>1005264</v>
      </c>
      <c r="H2175" s="22">
        <f>IFERROR(D2175/G2175*100000,"")</f>
        <v>23.67537283738401</v>
      </c>
    </row>
    <row r="2176" spans="1:8" ht="15" customHeight="1" x14ac:dyDescent="0.3">
      <c r="A2176" s="20" t="s">
        <v>8</v>
      </c>
      <c r="B2176" s="20">
        <v>2026</v>
      </c>
      <c r="C2176" s="20" t="s">
        <v>100</v>
      </c>
      <c r="D2176" s="20">
        <v>69</v>
      </c>
      <c r="E2176" s="20">
        <v>0</v>
      </c>
      <c r="F2176" s="22">
        <f>IFERROR(E2176/D2176*100,"")</f>
        <v>0</v>
      </c>
      <c r="G2176" s="23">
        <f>IFERROR(INDEX(Population_by_Province_Year!$B$5:$J$29,MATCH($A2176,Population_by_Province_Year!$A$5:$A$29,0),MATCH($B2176,Population_by_Province_Year!$B$4:$J$4,0)),"")</f>
        <v>780762</v>
      </c>
      <c r="H2176" s="22">
        <f>IFERROR(D2176/G2176*100000,"")</f>
        <v>8.8375202686606169</v>
      </c>
    </row>
    <row r="2177" spans="1:8" ht="15" customHeight="1" x14ac:dyDescent="0.3">
      <c r="A2177" s="20" t="s">
        <v>9</v>
      </c>
      <c r="B2177" s="20">
        <v>2026</v>
      </c>
      <c r="C2177" s="20" t="s">
        <v>100</v>
      </c>
      <c r="D2177" s="20">
        <v>27</v>
      </c>
      <c r="E2177" s="20">
        <v>0</v>
      </c>
      <c r="F2177" s="22">
        <f>IFERROR(E2177/D2177*100,"")</f>
        <v>0</v>
      </c>
      <c r="G2177" s="23">
        <f>IFERROR(INDEX(Population_by_Province_Year!$B$5:$J$29,MATCH($A2177,Population_by_Province_Year!$A$5:$A$29,0),MATCH($B2177,Population_by_Province_Year!$B$4:$J$4,0)),"")</f>
        <v>680273</v>
      </c>
      <c r="H2177" s="22">
        <f>IFERROR(D2177/G2177*100000,"")</f>
        <v>3.9689948006168114</v>
      </c>
    </row>
    <row r="2178" spans="1:8" ht="15" customHeight="1" x14ac:dyDescent="0.3">
      <c r="A2178" s="20" t="s">
        <v>10</v>
      </c>
      <c r="B2178" s="20">
        <v>2026</v>
      </c>
      <c r="C2178" s="20" t="s">
        <v>100</v>
      </c>
      <c r="D2178" s="20">
        <v>414</v>
      </c>
      <c r="E2178" s="20">
        <v>1</v>
      </c>
      <c r="F2178" s="22">
        <f>IFERROR(E2178/D2178*100,"")</f>
        <v>0.24154589371980675</v>
      </c>
      <c r="G2178" s="23">
        <f>IFERROR(INDEX(Population_by_Province_Year!$B$5:$J$29,MATCH($A2178,Population_by_Province_Year!$A$5:$A$29,0),MATCH($B2178,Population_by_Province_Year!$B$4:$J$4,0)),"")</f>
        <v>1376495</v>
      </c>
      <c r="H2178" s="22">
        <f>IFERROR(D2178/G2178*100000,"")</f>
        <v>30.076389670866952</v>
      </c>
    </row>
    <row r="2179" spans="1:8" ht="15" customHeight="1" x14ac:dyDescent="0.3">
      <c r="A2179" s="20" t="s">
        <v>11</v>
      </c>
      <c r="B2179" s="20">
        <v>2026</v>
      </c>
      <c r="C2179" s="20" t="s">
        <v>100</v>
      </c>
      <c r="D2179" s="20">
        <v>15</v>
      </c>
      <c r="E2179" s="20">
        <v>0</v>
      </c>
      <c r="F2179" s="22">
        <f>IFERROR(E2179/D2179*100,"")</f>
        <v>0</v>
      </c>
      <c r="G2179" s="23">
        <f>IFERROR(INDEX(Population_by_Province_Year!$B$5:$J$29,MATCH($A2179,Population_by_Province_Year!$A$5:$A$29,0),MATCH($B2179,Population_by_Province_Year!$B$4:$J$4,0)),"")</f>
        <v>48876</v>
      </c>
      <c r="H2179" s="22">
        <f>IFERROR(D2179/G2179*100000,"")</f>
        <v>30.689909157868893</v>
      </c>
    </row>
    <row r="2180" spans="1:8" ht="15" customHeight="1" x14ac:dyDescent="0.3">
      <c r="A2180" s="20" t="s">
        <v>12</v>
      </c>
      <c r="B2180" s="20">
        <v>2026</v>
      </c>
      <c r="C2180" s="20" t="s">
        <v>100</v>
      </c>
      <c r="D2180" s="20">
        <v>12</v>
      </c>
      <c r="E2180" s="20">
        <v>0</v>
      </c>
      <c r="F2180" s="22">
        <f>IFERROR(E2180/D2180*100,"")</f>
        <v>0</v>
      </c>
      <c r="G2180" s="23">
        <f>IFERROR(INDEX(Population_by_Province_Year!$B$5:$J$29,MATCH($A2180,Population_by_Province_Year!$A$5:$A$29,0),MATCH($B2180,Population_by_Province_Year!$B$4:$J$4,0)),"")</f>
        <v>144230</v>
      </c>
      <c r="H2180" s="22">
        <f>IFERROR(D2180/G2180*100000,"")</f>
        <v>8.320044373569992</v>
      </c>
    </row>
    <row r="2181" spans="1:8" ht="15" customHeight="1" x14ac:dyDescent="0.3">
      <c r="A2181" s="20" t="s">
        <v>13</v>
      </c>
      <c r="B2181" s="20">
        <v>2026</v>
      </c>
      <c r="C2181" s="20" t="s">
        <v>100</v>
      </c>
      <c r="D2181" s="20">
        <v>29</v>
      </c>
      <c r="E2181" s="20">
        <v>0</v>
      </c>
      <c r="F2181" s="22">
        <f>IFERROR(E2181/D2181*100,"")</f>
        <v>0</v>
      </c>
      <c r="G2181" s="23">
        <f>IFERROR(INDEX(Population_by_Province_Year!$B$5:$J$29,MATCH($A2181,Population_by_Province_Year!$A$5:$A$29,0),MATCH($B2181,Population_by_Province_Year!$B$4:$J$4,0)),"")</f>
        <v>429308</v>
      </c>
      <c r="H2181" s="22">
        <f>IFERROR(D2181/G2181*100000,"")</f>
        <v>6.755056975411593</v>
      </c>
    </row>
    <row r="2182" spans="1:8" ht="15" customHeight="1" x14ac:dyDescent="0.3">
      <c r="A2182" s="20" t="s">
        <v>14</v>
      </c>
      <c r="B2182" s="20">
        <v>2026</v>
      </c>
      <c r="C2182" s="20" t="s">
        <v>100</v>
      </c>
      <c r="D2182" s="20">
        <v>6</v>
      </c>
      <c r="E2182" s="20">
        <v>0</v>
      </c>
      <c r="F2182" s="22">
        <f>IFERROR(E2182/D2182*100,"")</f>
        <v>0</v>
      </c>
      <c r="G2182" s="23">
        <f>IFERROR(INDEX(Population_by_Province_Year!$B$5:$J$29,MATCH($A2182,Population_by_Province_Year!$A$5:$A$29,0),MATCH($B2182,Population_by_Province_Year!$B$4:$J$4,0)),"")</f>
        <v>105636</v>
      </c>
      <c r="H2182" s="22">
        <f>IFERROR(D2182/G2182*100000,"")</f>
        <v>5.6798818584573443</v>
      </c>
    </row>
    <row r="2183" spans="1:8" ht="15" customHeight="1" x14ac:dyDescent="0.3">
      <c r="A2183" s="20" t="s">
        <v>15</v>
      </c>
      <c r="B2183" s="20">
        <v>2026</v>
      </c>
      <c r="C2183" s="20" t="s">
        <v>100</v>
      </c>
      <c r="D2183" s="20">
        <v>20</v>
      </c>
      <c r="E2183" s="20">
        <v>0</v>
      </c>
      <c r="F2183" s="22">
        <f>IFERROR(E2183/D2183*100,"")</f>
        <v>0</v>
      </c>
      <c r="G2183" s="23">
        <f>IFERROR(INDEX(Population_by_Province_Year!$B$5:$J$29,MATCH($A2183,Population_by_Province_Year!$A$5:$A$29,0),MATCH($B2183,Population_by_Province_Year!$B$4:$J$4,0)),"")</f>
        <v>316221</v>
      </c>
      <c r="H2183" s="22">
        <f>IFERROR(D2183/G2183*100000,"")</f>
        <v>6.3246906435688972</v>
      </c>
    </row>
    <row r="2184" spans="1:8" ht="15" customHeight="1" x14ac:dyDescent="0.3">
      <c r="A2184" s="20" t="s">
        <v>16</v>
      </c>
      <c r="B2184" s="20">
        <v>2026</v>
      </c>
      <c r="C2184" s="20" t="s">
        <v>100</v>
      </c>
      <c r="D2184" s="20">
        <v>21</v>
      </c>
      <c r="E2184" s="20">
        <v>0</v>
      </c>
      <c r="F2184" s="22">
        <f>IFERROR(E2184/D2184*100,"")</f>
        <v>0</v>
      </c>
      <c r="G2184" s="23">
        <f>IFERROR(INDEX(Population_by_Province_Year!$B$5:$J$29,MATCH($A2184,Population_by_Province_Year!$A$5:$A$29,0),MATCH($B2184,Population_by_Province_Year!$B$4:$J$4,0)),"")</f>
        <v>86046</v>
      </c>
      <c r="H2184" s="22">
        <f>IFERROR(D2184/G2184*100000,"")</f>
        <v>24.405550519489577</v>
      </c>
    </row>
    <row r="2185" spans="1:8" ht="15" customHeight="1" x14ac:dyDescent="0.3">
      <c r="A2185" s="20" t="s">
        <v>17</v>
      </c>
      <c r="B2185" s="20">
        <v>2026</v>
      </c>
      <c r="C2185" s="20" t="s">
        <v>100</v>
      </c>
      <c r="D2185" s="20">
        <v>984</v>
      </c>
      <c r="E2185" s="20">
        <v>0</v>
      </c>
      <c r="F2185" s="22">
        <f>IFERROR(E2185/D2185*100,"")</f>
        <v>0</v>
      </c>
      <c r="G2185" s="23">
        <f>IFERROR(INDEX(Population_by_Province_Year!$B$5:$J$29,MATCH($A2185,Population_by_Province_Year!$A$5:$A$29,0),MATCH($B2185,Population_by_Province_Year!$B$4:$J$4,0)),"")</f>
        <v>2614134</v>
      </c>
      <c r="H2185" s="22">
        <f>IFERROR(D2185/G2185*100000,"")</f>
        <v>37.641528705108463</v>
      </c>
    </row>
    <row r="2186" spans="1:8" ht="15" customHeight="1" x14ac:dyDescent="0.3">
      <c r="A2186" s="20" t="s">
        <v>18</v>
      </c>
      <c r="B2186" s="20">
        <v>2026</v>
      </c>
      <c r="C2186" s="20" t="s">
        <v>100</v>
      </c>
      <c r="D2186" s="20">
        <v>88</v>
      </c>
      <c r="E2186" s="20">
        <v>0</v>
      </c>
      <c r="F2186" s="22">
        <f>IFERROR(E2186/D2186*100,"")</f>
        <v>0</v>
      </c>
      <c r="G2186" s="23">
        <f>IFERROR(INDEX(Population_by_Province_Year!$B$5:$J$29,MATCH($A2186,Population_by_Province_Year!$A$5:$A$29,0),MATCH($B2186,Population_by_Province_Year!$B$4:$J$4,0)),"")</f>
        <v>355209</v>
      </c>
      <c r="H2186" s="22">
        <f>IFERROR(D2186/G2186*100000,"")</f>
        <v>24.774147051454214</v>
      </c>
    </row>
    <row r="2187" spans="1:8" ht="15" customHeight="1" x14ac:dyDescent="0.3">
      <c r="A2187" s="20" t="s">
        <v>19</v>
      </c>
      <c r="B2187" s="20">
        <v>2026</v>
      </c>
      <c r="C2187" s="20" t="s">
        <v>100</v>
      </c>
      <c r="D2187" s="20">
        <v>30</v>
      </c>
      <c r="E2187" s="20">
        <v>0</v>
      </c>
      <c r="F2187" s="22">
        <f>IFERROR(E2187/D2187*100,"")</f>
        <v>0</v>
      </c>
      <c r="G2187" s="23">
        <f>IFERROR(INDEX(Population_by_Province_Year!$B$5:$J$29,MATCH($A2187,Population_by_Province_Year!$A$5:$A$29,0),MATCH($B2187,Population_by_Province_Year!$B$4:$J$4,0)),"")</f>
        <v>291922</v>
      </c>
      <c r="H2187" s="22">
        <f>IFERROR(D2187/G2187*100000,"")</f>
        <v>10.276717753372477</v>
      </c>
    </row>
    <row r="2188" spans="1:8" ht="15" customHeight="1" x14ac:dyDescent="0.3">
      <c r="A2188" s="20" t="s">
        <v>20</v>
      </c>
      <c r="B2188" s="20">
        <v>2026</v>
      </c>
      <c r="C2188" s="20" t="s">
        <v>100</v>
      </c>
      <c r="D2188" s="20">
        <v>160</v>
      </c>
      <c r="E2188" s="20">
        <v>0</v>
      </c>
      <c r="F2188" s="22">
        <f>IFERROR(E2188/D2188*100,"")</f>
        <v>0</v>
      </c>
      <c r="G2188" s="23">
        <f>IFERROR(INDEX(Population_by_Province_Year!$B$5:$J$29,MATCH($A2188,Population_by_Province_Year!$A$5:$A$29,0),MATCH($B2188,Population_by_Province_Year!$B$4:$J$4,0)),"")</f>
        <v>1211692</v>
      </c>
      <c r="H2188" s="22">
        <f>IFERROR(D2188/G2188*100000,"")</f>
        <v>13.204675775692172</v>
      </c>
    </row>
    <row r="2189" spans="1:8" ht="15" customHeight="1" x14ac:dyDescent="0.3">
      <c r="A2189" s="20" t="s">
        <v>21</v>
      </c>
      <c r="B2189" s="20">
        <v>2026</v>
      </c>
      <c r="C2189" s="20" t="s">
        <v>100</v>
      </c>
      <c r="D2189" s="20">
        <v>74</v>
      </c>
      <c r="E2189" s="20">
        <v>0</v>
      </c>
      <c r="F2189" s="22">
        <f>IFERROR(E2189/D2189*100,"")</f>
        <v>0</v>
      </c>
      <c r="G2189" s="23">
        <f>IFERROR(INDEX(Population_by_Province_Year!$B$5:$J$29,MATCH($A2189,Population_by_Province_Year!$A$5:$A$29,0),MATCH($B2189,Population_by_Province_Year!$B$4:$J$4,0)),"")</f>
        <v>481084</v>
      </c>
      <c r="H2189" s="22">
        <f>IFERROR(D2189/G2189*100000,"")</f>
        <v>15.381929143351266</v>
      </c>
    </row>
    <row r="2190" spans="1:8" ht="15" customHeight="1" x14ac:dyDescent="0.3">
      <c r="A2190" s="20" t="s">
        <v>22</v>
      </c>
      <c r="B2190" s="20">
        <v>2026</v>
      </c>
      <c r="C2190" s="20" t="s">
        <v>100</v>
      </c>
      <c r="D2190" s="20">
        <v>32</v>
      </c>
      <c r="E2190" s="20">
        <v>0</v>
      </c>
      <c r="F2190" s="22">
        <f>IFERROR(E2190/D2190*100,"")</f>
        <v>0</v>
      </c>
      <c r="G2190" s="23">
        <f>IFERROR(INDEX(Population_by_Province_Year!$B$5:$J$29,MATCH($A2190,Population_by_Province_Year!$A$5:$A$29,0),MATCH($B2190,Population_by_Province_Year!$B$4:$J$4,0)),"")</f>
        <v>249108</v>
      </c>
      <c r="H2190" s="22">
        <f>IFERROR(D2190/G2190*100000,"")</f>
        <v>12.845833935481798</v>
      </c>
    </row>
    <row r="2191" spans="1:8" ht="15" customHeight="1" x14ac:dyDescent="0.3">
      <c r="A2191" s="20" t="s">
        <v>23</v>
      </c>
      <c r="B2191" s="20">
        <v>2026</v>
      </c>
      <c r="C2191" s="20" t="s">
        <v>100</v>
      </c>
      <c r="D2191" s="20">
        <v>71</v>
      </c>
      <c r="E2191" s="20">
        <v>0</v>
      </c>
      <c r="F2191" s="22">
        <f>IFERROR(E2191/D2191*100,"")</f>
        <v>0</v>
      </c>
      <c r="G2191" s="23">
        <f>IFERROR(INDEX(Population_by_Province_Year!$B$5:$J$29,MATCH($A2191,Population_by_Province_Year!$A$5:$A$29,0),MATCH($B2191,Population_by_Province_Year!$B$4:$J$4,0)),"")</f>
        <v>1161876</v>
      </c>
      <c r="H2191" s="22">
        <f>IFERROR(D2191/G2191*100000,"")</f>
        <v>6.1108070052225889</v>
      </c>
    </row>
    <row r="2192" spans="1:8" ht="15" customHeight="1" x14ac:dyDescent="0.3">
      <c r="A2192" s="20" t="s">
        <v>24</v>
      </c>
      <c r="B2192" s="20">
        <v>2026</v>
      </c>
      <c r="C2192" s="20" t="s">
        <v>100</v>
      </c>
      <c r="D2192" s="20">
        <v>13</v>
      </c>
      <c r="E2192" s="20">
        <v>0</v>
      </c>
      <c r="F2192" s="22">
        <f>IFERROR(E2192/D2192*100,"")</f>
        <v>0</v>
      </c>
      <c r="G2192" s="23">
        <f>IFERROR(INDEX(Population_by_Province_Year!$B$5:$J$29,MATCH($A2192,Population_by_Province_Year!$A$5:$A$29,0),MATCH($B2192,Population_by_Province_Year!$B$4:$J$4,0)),"")</f>
        <v>189836</v>
      </c>
      <c r="H2192" s="22">
        <f>IFERROR(D2192/G2192*100000,"")</f>
        <v>6.84801618238901</v>
      </c>
    </row>
    <row r="2193" spans="1:8" ht="15" customHeight="1" x14ac:dyDescent="0.3">
      <c r="A2193" s="20" t="s">
        <v>25</v>
      </c>
      <c r="B2193" s="20">
        <v>2026</v>
      </c>
      <c r="C2193" s="20" t="s">
        <v>100</v>
      </c>
      <c r="D2193" s="20">
        <v>64</v>
      </c>
      <c r="E2193" s="20">
        <v>0</v>
      </c>
      <c r="F2193" s="22">
        <f>IFERROR(E2193/D2193*100,"")</f>
        <v>0</v>
      </c>
      <c r="G2193" s="23">
        <f>IFERROR(INDEX(Population_by_Province_Year!$B$5:$J$29,MATCH($A2193,Population_by_Province_Year!$A$5:$A$29,0),MATCH($B2193,Population_by_Province_Year!$B$4:$J$4,0)),"")</f>
        <v>601993</v>
      </c>
      <c r="H2193" s="22">
        <f>IFERROR(D2193/G2193*100000,"")</f>
        <v>10.631352856262447</v>
      </c>
    </row>
    <row r="2194" spans="1:8" ht="15" customHeight="1" x14ac:dyDescent="0.3">
      <c r="A2194" s="20" t="s">
        <v>26</v>
      </c>
      <c r="B2194" s="20">
        <v>2026</v>
      </c>
      <c r="C2194" s="20" t="s">
        <v>100</v>
      </c>
      <c r="D2194" s="20">
        <v>176</v>
      </c>
      <c r="E2194" s="20">
        <v>1</v>
      </c>
      <c r="F2194" s="22">
        <f>IFERROR(E2194/D2194*100,"")</f>
        <v>0.56818181818181823</v>
      </c>
      <c r="G2194" s="23">
        <f>IFERROR(INDEX(Population_by_Province_Year!$B$5:$J$29,MATCH($A2194,Population_by_Province_Year!$A$5:$A$29,0),MATCH($B2194,Population_by_Province_Year!$B$4:$J$4,0)),"")</f>
        <v>1032060</v>
      </c>
      <c r="H2194" s="22">
        <f>IFERROR(D2194/G2194*100000,"")</f>
        <v>17.053272096583534</v>
      </c>
    </row>
    <row r="2195" spans="1:8" ht="15" customHeight="1" x14ac:dyDescent="0.3">
      <c r="A2195" s="20" t="s">
        <v>27</v>
      </c>
      <c r="B2195" s="20">
        <v>2026</v>
      </c>
      <c r="C2195" s="20" t="s">
        <v>100</v>
      </c>
      <c r="D2195" s="20">
        <v>57</v>
      </c>
      <c r="E2195" s="20">
        <v>0</v>
      </c>
      <c r="F2195" s="22">
        <f>IFERROR(E2195/D2195*100,"")</f>
        <v>0</v>
      </c>
      <c r="G2195" s="23">
        <f>IFERROR(INDEX(Population_by_Province_Year!$B$5:$J$29,MATCH($A2195,Population_by_Province_Year!$A$5:$A$29,0),MATCH($B2195,Population_by_Province_Year!$B$4:$J$4,0)),"")</f>
        <v>889926</v>
      </c>
      <c r="H2195" s="22">
        <f>IFERROR(D2195/G2195*100000,"")</f>
        <v>6.4050269348237938</v>
      </c>
    </row>
    <row r="2196" spans="1:8" ht="15" customHeight="1" x14ac:dyDescent="0.3">
      <c r="A2196" s="20" t="s">
        <v>3</v>
      </c>
      <c r="B2196" s="20">
        <v>2026</v>
      </c>
      <c r="C2196" s="20" t="s">
        <v>99</v>
      </c>
      <c r="D2196" s="20">
        <v>31</v>
      </c>
      <c r="E2196" s="20">
        <v>0</v>
      </c>
      <c r="F2196" s="22">
        <f>IFERROR(E2196/D2196*100,"")</f>
        <v>0</v>
      </c>
      <c r="G2196" s="23">
        <f>IFERROR(INDEX(Population_by_Province_Year!$B$5:$J$29,MATCH($A2196,Population_by_Province_Year!$A$5:$A$29,0),MATCH($B2196,Population_by_Province_Year!$B$4:$J$4,0)),"")</f>
        <v>987347</v>
      </c>
      <c r="H2196" s="22">
        <f>IFERROR(D2196/G2196*100000,"")</f>
        <v>3.1397269652918371</v>
      </c>
    </row>
    <row r="2197" spans="1:8" ht="15" customHeight="1" x14ac:dyDescent="0.3">
      <c r="A2197" s="20" t="s">
        <v>4</v>
      </c>
      <c r="B2197" s="20">
        <v>2026</v>
      </c>
      <c r="C2197" s="20" t="s">
        <v>99</v>
      </c>
      <c r="D2197" s="20">
        <v>42</v>
      </c>
      <c r="E2197" s="20">
        <v>0</v>
      </c>
      <c r="F2197" s="22">
        <f>IFERROR(E2197/D2197*100,"")</f>
        <v>0</v>
      </c>
      <c r="G2197" s="23">
        <f>IFERROR(INDEX(Population_by_Province_Year!$B$5:$J$29,MATCH($A2197,Population_by_Province_Year!$A$5:$A$29,0),MATCH($B2197,Population_by_Province_Year!$B$4:$J$4,0)),"")</f>
        <v>1142327</v>
      </c>
      <c r="H2197" s="22">
        <f>IFERROR(D2197/G2197*100000,"")</f>
        <v>3.6767055317785537</v>
      </c>
    </row>
    <row r="2198" spans="1:8" ht="15" customHeight="1" x14ac:dyDescent="0.3">
      <c r="A2198" s="20" t="s">
        <v>5</v>
      </c>
      <c r="B2198" s="20">
        <v>2026</v>
      </c>
      <c r="C2198" s="20" t="s">
        <v>99</v>
      </c>
      <c r="D2198" s="20">
        <v>57</v>
      </c>
      <c r="E2198" s="20">
        <v>0</v>
      </c>
      <c r="F2198" s="22">
        <f>IFERROR(E2198/D2198*100,"")</f>
        <v>0</v>
      </c>
      <c r="G2198" s="23">
        <f>IFERROR(INDEX(Population_by_Province_Year!$B$5:$J$29,MATCH($A2198,Population_by_Province_Year!$A$5:$A$29,0),MATCH($B2198,Population_by_Province_Year!$B$4:$J$4,0)),"")</f>
        <v>1030773</v>
      </c>
      <c r="H2198" s="22">
        <f>IFERROR(D2198/G2198*100000,"")</f>
        <v>5.5298305252465862</v>
      </c>
    </row>
    <row r="2199" spans="1:8" ht="15" customHeight="1" x14ac:dyDescent="0.3">
      <c r="A2199" s="20" t="s">
        <v>6</v>
      </c>
      <c r="B2199" s="20">
        <v>2026</v>
      </c>
      <c r="C2199" s="20" t="s">
        <v>99</v>
      </c>
      <c r="D2199" s="20">
        <v>10</v>
      </c>
      <c r="E2199" s="20">
        <v>0</v>
      </c>
      <c r="F2199" s="22">
        <f>IFERROR(E2199/D2199*100,"")</f>
        <v>0</v>
      </c>
      <c r="G2199" s="23">
        <f>IFERROR(INDEX(Population_by_Province_Year!$B$5:$J$29,MATCH($A2199,Population_by_Province_Year!$A$5:$A$29,0),MATCH($B2199,Population_by_Province_Year!$B$4:$J$4,0)),"")</f>
        <v>603746</v>
      </c>
      <c r="H2199" s="22">
        <f>IFERROR(D2199/G2199*100000,"")</f>
        <v>1.6563256733792027</v>
      </c>
    </row>
    <row r="2200" spans="1:8" ht="15" customHeight="1" x14ac:dyDescent="0.3">
      <c r="A2200" s="20" t="s">
        <v>7</v>
      </c>
      <c r="B2200" s="20">
        <v>2026</v>
      </c>
      <c r="C2200" s="20" t="s">
        <v>99</v>
      </c>
      <c r="D2200" s="20">
        <v>84</v>
      </c>
      <c r="E2200" s="20">
        <v>0</v>
      </c>
      <c r="F2200" s="22">
        <f>IFERROR(E2200/D2200*100,"")</f>
        <v>0</v>
      </c>
      <c r="G2200" s="23">
        <f>IFERROR(INDEX(Population_by_Province_Year!$B$5:$J$29,MATCH($A2200,Population_by_Province_Year!$A$5:$A$29,0),MATCH($B2200,Population_by_Province_Year!$B$4:$J$4,0)),"")</f>
        <v>1005264</v>
      </c>
      <c r="H2200" s="22">
        <f>IFERROR(D2200/G2200*100000,"")</f>
        <v>8.356013942606122</v>
      </c>
    </row>
    <row r="2201" spans="1:8" ht="15" customHeight="1" x14ac:dyDescent="0.3">
      <c r="A2201" s="20" t="s">
        <v>8</v>
      </c>
      <c r="B2201" s="20">
        <v>2026</v>
      </c>
      <c r="C2201" s="20" t="s">
        <v>99</v>
      </c>
      <c r="D2201" s="20">
        <v>43</v>
      </c>
      <c r="E2201" s="20">
        <v>0</v>
      </c>
      <c r="F2201" s="22">
        <f>IFERROR(E2201/D2201*100,"")</f>
        <v>0</v>
      </c>
      <c r="G2201" s="23">
        <f>IFERROR(INDEX(Population_by_Province_Year!$B$5:$J$29,MATCH($A2201,Population_by_Province_Year!$A$5:$A$29,0),MATCH($B2201,Population_by_Province_Year!$B$4:$J$4,0)),"")</f>
        <v>780762</v>
      </c>
      <c r="H2201" s="22">
        <f>IFERROR(D2201/G2201*100000,"")</f>
        <v>5.5074401674261813</v>
      </c>
    </row>
    <row r="2202" spans="1:8" ht="15" customHeight="1" x14ac:dyDescent="0.3">
      <c r="A2202" s="20" t="s">
        <v>9</v>
      </c>
      <c r="B2202" s="20">
        <v>2026</v>
      </c>
      <c r="C2202" s="20" t="s">
        <v>99</v>
      </c>
      <c r="D2202" s="20">
        <v>20</v>
      </c>
      <c r="E2202" s="20">
        <v>0</v>
      </c>
      <c r="F2202" s="22">
        <f>IFERROR(E2202/D2202*100,"")</f>
        <v>0</v>
      </c>
      <c r="G2202" s="23">
        <f>IFERROR(INDEX(Population_by_Province_Year!$B$5:$J$29,MATCH($A2202,Population_by_Province_Year!$A$5:$A$29,0),MATCH($B2202,Population_by_Province_Year!$B$4:$J$4,0)),"")</f>
        <v>680273</v>
      </c>
      <c r="H2202" s="22">
        <f>IFERROR(D2202/G2202*100000,"")</f>
        <v>2.9399961486050454</v>
      </c>
    </row>
    <row r="2203" spans="1:8" ht="15" customHeight="1" x14ac:dyDescent="0.3">
      <c r="A2203" s="20" t="s">
        <v>10</v>
      </c>
      <c r="B2203" s="20">
        <v>2026</v>
      </c>
      <c r="C2203" s="20" t="s">
        <v>99</v>
      </c>
      <c r="D2203" s="20">
        <v>193</v>
      </c>
      <c r="E2203" s="20">
        <v>0</v>
      </c>
      <c r="F2203" s="22">
        <f>IFERROR(E2203/D2203*100,"")</f>
        <v>0</v>
      </c>
      <c r="G2203" s="23">
        <f>IFERROR(INDEX(Population_by_Province_Year!$B$5:$J$29,MATCH($A2203,Population_by_Province_Year!$A$5:$A$29,0),MATCH($B2203,Population_by_Province_Year!$B$4:$J$4,0)),"")</f>
        <v>1376495</v>
      </c>
      <c r="H2203" s="22">
        <f>IFERROR(D2203/G2203*100000,"")</f>
        <v>14.021118856225414</v>
      </c>
    </row>
    <row r="2204" spans="1:8" ht="15" customHeight="1" x14ac:dyDescent="0.3">
      <c r="A2204" s="20" t="s">
        <v>11</v>
      </c>
      <c r="B2204" s="20">
        <v>2026</v>
      </c>
      <c r="C2204" s="20" t="s">
        <v>99</v>
      </c>
      <c r="D2204" s="20">
        <v>5</v>
      </c>
      <c r="E2204" s="20">
        <v>0</v>
      </c>
      <c r="F2204" s="22">
        <f>IFERROR(E2204/D2204*100,"")</f>
        <v>0</v>
      </c>
      <c r="G2204" s="23">
        <f>IFERROR(INDEX(Population_by_Province_Year!$B$5:$J$29,MATCH($A2204,Population_by_Province_Year!$A$5:$A$29,0),MATCH($B2204,Population_by_Province_Year!$B$4:$J$4,0)),"")</f>
        <v>48876</v>
      </c>
      <c r="H2204" s="22">
        <f>IFERROR(D2204/G2204*100000,"")</f>
        <v>10.229969719289631</v>
      </c>
    </row>
    <row r="2205" spans="1:8" ht="15" customHeight="1" x14ac:dyDescent="0.3">
      <c r="A2205" s="20" t="s">
        <v>12</v>
      </c>
      <c r="B2205" s="20">
        <v>2026</v>
      </c>
      <c r="C2205" s="20" t="s">
        <v>99</v>
      </c>
      <c r="D2205" s="20">
        <v>4</v>
      </c>
      <c r="E2205" s="20">
        <v>0</v>
      </c>
      <c r="F2205" s="22">
        <f>IFERROR(E2205/D2205*100,"")</f>
        <v>0</v>
      </c>
      <c r="G2205" s="23">
        <f>IFERROR(INDEX(Population_by_Province_Year!$B$5:$J$29,MATCH($A2205,Population_by_Province_Year!$A$5:$A$29,0),MATCH($B2205,Population_by_Province_Year!$B$4:$J$4,0)),"")</f>
        <v>144230</v>
      </c>
      <c r="H2205" s="22">
        <f>IFERROR(D2205/G2205*100000,"")</f>
        <v>2.7733481245233307</v>
      </c>
    </row>
    <row r="2206" spans="1:8" ht="15" customHeight="1" x14ac:dyDescent="0.3">
      <c r="A2206" s="20" t="s">
        <v>13</v>
      </c>
      <c r="B2206" s="20">
        <v>2026</v>
      </c>
      <c r="C2206" s="20" t="s">
        <v>99</v>
      </c>
      <c r="D2206" s="20">
        <v>8</v>
      </c>
      <c r="E2206" s="20">
        <v>0</v>
      </c>
      <c r="F2206" s="22">
        <f>IFERROR(E2206/D2206*100,"")</f>
        <v>0</v>
      </c>
      <c r="G2206" s="23">
        <f>IFERROR(INDEX(Population_by_Province_Year!$B$5:$J$29,MATCH($A2206,Population_by_Province_Year!$A$5:$A$29,0),MATCH($B2206,Population_by_Province_Year!$B$4:$J$4,0)),"")</f>
        <v>429308</v>
      </c>
      <c r="H2206" s="22">
        <f>IFERROR(D2206/G2206*100000,"")</f>
        <v>1.8634639932169912</v>
      </c>
    </row>
    <row r="2207" spans="1:8" ht="15" customHeight="1" x14ac:dyDescent="0.3">
      <c r="A2207" s="20" t="s">
        <v>14</v>
      </c>
      <c r="B2207" s="20">
        <v>2026</v>
      </c>
      <c r="C2207" s="20" t="s">
        <v>99</v>
      </c>
      <c r="D2207" s="20">
        <v>0</v>
      </c>
      <c r="E2207" s="20">
        <v>0</v>
      </c>
      <c r="F2207" s="22" t="str">
        <f>IFERROR(E2207/D2207*100,"")</f>
        <v/>
      </c>
      <c r="G2207" s="23">
        <f>IFERROR(INDEX(Population_by_Province_Year!$B$5:$J$29,MATCH($A2207,Population_by_Province_Year!$A$5:$A$29,0),MATCH($B2207,Population_by_Province_Year!$B$4:$J$4,0)),"")</f>
        <v>105636</v>
      </c>
      <c r="H2207" s="22">
        <f>IFERROR(D2207/G2207*100000,"")</f>
        <v>0</v>
      </c>
    </row>
    <row r="2208" spans="1:8" ht="15" customHeight="1" x14ac:dyDescent="0.3">
      <c r="A2208" s="20" t="s">
        <v>15</v>
      </c>
      <c r="B2208" s="20">
        <v>2026</v>
      </c>
      <c r="C2208" s="20" t="s">
        <v>99</v>
      </c>
      <c r="D2208" s="20">
        <v>2</v>
      </c>
      <c r="E2208" s="20">
        <v>0</v>
      </c>
      <c r="F2208" s="22">
        <f>IFERROR(E2208/D2208*100,"")</f>
        <v>0</v>
      </c>
      <c r="G2208" s="23">
        <f>IFERROR(INDEX(Population_by_Province_Year!$B$5:$J$29,MATCH($A2208,Population_by_Province_Year!$A$5:$A$29,0),MATCH($B2208,Population_by_Province_Year!$B$4:$J$4,0)),"")</f>
        <v>316221</v>
      </c>
      <c r="H2208" s="22">
        <f>IFERROR(D2208/G2208*100000,"")</f>
        <v>0.63246906435688965</v>
      </c>
    </row>
    <row r="2209" spans="1:8" ht="15" customHeight="1" x14ac:dyDescent="0.3">
      <c r="A2209" s="20" t="s">
        <v>16</v>
      </c>
      <c r="B2209" s="20">
        <v>2026</v>
      </c>
      <c r="C2209" s="20" t="s">
        <v>99</v>
      </c>
      <c r="D2209" s="20">
        <v>4</v>
      </c>
      <c r="E2209" s="20">
        <v>0</v>
      </c>
      <c r="F2209" s="22">
        <f>IFERROR(E2209/D2209*100,"")</f>
        <v>0</v>
      </c>
      <c r="G2209" s="23">
        <f>IFERROR(INDEX(Population_by_Province_Year!$B$5:$J$29,MATCH($A2209,Population_by_Province_Year!$A$5:$A$29,0),MATCH($B2209,Population_by_Province_Year!$B$4:$J$4,0)),"")</f>
        <v>86046</v>
      </c>
      <c r="H2209" s="22">
        <f>IFERROR(D2209/G2209*100000,"")</f>
        <v>4.6486762894265858</v>
      </c>
    </row>
    <row r="2210" spans="1:8" ht="15" customHeight="1" x14ac:dyDescent="0.3">
      <c r="A2210" s="20" t="s">
        <v>17</v>
      </c>
      <c r="B2210" s="20">
        <v>2026</v>
      </c>
      <c r="C2210" s="20" t="s">
        <v>99</v>
      </c>
      <c r="D2210" s="20">
        <v>343</v>
      </c>
      <c r="E2210" s="20">
        <v>0</v>
      </c>
      <c r="F2210" s="22">
        <f>IFERROR(E2210/D2210*100,"")</f>
        <v>0</v>
      </c>
      <c r="G2210" s="23">
        <f>IFERROR(INDEX(Population_by_Province_Year!$B$5:$J$29,MATCH($A2210,Population_by_Province_Year!$A$5:$A$29,0),MATCH($B2210,Population_by_Province_Year!$B$4:$J$4,0)),"")</f>
        <v>2614134</v>
      </c>
      <c r="H2210" s="22">
        <f>IFERROR(D2210/G2210*100000,"")</f>
        <v>13.120980026272562</v>
      </c>
    </row>
    <row r="2211" spans="1:8" ht="15" customHeight="1" x14ac:dyDescent="0.3">
      <c r="A2211" s="20" t="s">
        <v>18</v>
      </c>
      <c r="B2211" s="20">
        <v>2026</v>
      </c>
      <c r="C2211" s="20" t="s">
        <v>99</v>
      </c>
      <c r="D2211" s="20">
        <v>48</v>
      </c>
      <c r="E2211" s="20">
        <v>0</v>
      </c>
      <c r="F2211" s="22">
        <f>IFERROR(E2211/D2211*100,"")</f>
        <v>0</v>
      </c>
      <c r="G2211" s="23">
        <f>IFERROR(INDEX(Population_by_Province_Year!$B$5:$J$29,MATCH($A2211,Population_by_Province_Year!$A$5:$A$29,0),MATCH($B2211,Population_by_Province_Year!$B$4:$J$4,0)),"")</f>
        <v>355209</v>
      </c>
      <c r="H2211" s="22">
        <f>IFERROR(D2211/G2211*100000,"")</f>
        <v>13.513171118975027</v>
      </c>
    </row>
    <row r="2212" spans="1:8" ht="15" customHeight="1" x14ac:dyDescent="0.3">
      <c r="A2212" s="20" t="s">
        <v>19</v>
      </c>
      <c r="B2212" s="20">
        <v>2026</v>
      </c>
      <c r="C2212" s="20" t="s">
        <v>99</v>
      </c>
      <c r="D2212" s="20">
        <v>14</v>
      </c>
      <c r="E2212" s="20">
        <v>0</v>
      </c>
      <c r="F2212" s="22">
        <f>IFERROR(E2212/D2212*100,"")</f>
        <v>0</v>
      </c>
      <c r="G2212" s="23">
        <f>IFERROR(INDEX(Population_by_Province_Year!$B$5:$J$29,MATCH($A2212,Population_by_Province_Year!$A$5:$A$29,0),MATCH($B2212,Population_by_Province_Year!$B$4:$J$4,0)),"")</f>
        <v>291922</v>
      </c>
      <c r="H2212" s="22">
        <f>IFERROR(D2212/G2212*100000,"")</f>
        <v>4.795801618240489</v>
      </c>
    </row>
    <row r="2213" spans="1:8" ht="15" customHeight="1" x14ac:dyDescent="0.3">
      <c r="A2213" s="20" t="s">
        <v>20</v>
      </c>
      <c r="B2213" s="20">
        <v>2026</v>
      </c>
      <c r="C2213" s="20" t="s">
        <v>99</v>
      </c>
      <c r="D2213" s="20">
        <v>72</v>
      </c>
      <c r="E2213" s="20">
        <v>1</v>
      </c>
      <c r="F2213" s="22">
        <f>IFERROR(E2213/D2213*100,"")</f>
        <v>1.3888888888888888</v>
      </c>
      <c r="G2213" s="23">
        <f>IFERROR(INDEX(Population_by_Province_Year!$B$5:$J$29,MATCH($A2213,Population_by_Province_Year!$A$5:$A$29,0),MATCH($B2213,Population_by_Province_Year!$B$4:$J$4,0)),"")</f>
        <v>1211692</v>
      </c>
      <c r="H2213" s="22">
        <f>IFERROR(D2213/G2213*100000,"")</f>
        <v>5.9421040990614777</v>
      </c>
    </row>
    <row r="2214" spans="1:8" ht="15" customHeight="1" x14ac:dyDescent="0.3">
      <c r="A2214" s="20" t="s">
        <v>21</v>
      </c>
      <c r="B2214" s="20">
        <v>2026</v>
      </c>
      <c r="C2214" s="20" t="s">
        <v>99</v>
      </c>
      <c r="D2214" s="20">
        <v>40</v>
      </c>
      <c r="E2214" s="20">
        <v>0</v>
      </c>
      <c r="F2214" s="22">
        <f>IFERROR(E2214/D2214*100,"")</f>
        <v>0</v>
      </c>
      <c r="G2214" s="23">
        <f>IFERROR(INDEX(Population_by_Province_Year!$B$5:$J$29,MATCH($A2214,Population_by_Province_Year!$A$5:$A$29,0),MATCH($B2214,Population_by_Province_Year!$B$4:$J$4,0)),"")</f>
        <v>481084</v>
      </c>
      <c r="H2214" s="22">
        <f>IFERROR(D2214/G2214*100000,"")</f>
        <v>8.3145562937033866</v>
      </c>
    </row>
    <row r="2215" spans="1:8" ht="15" customHeight="1" x14ac:dyDescent="0.3">
      <c r="A2215" s="20" t="s">
        <v>22</v>
      </c>
      <c r="B2215" s="20">
        <v>2026</v>
      </c>
      <c r="C2215" s="20" t="s">
        <v>99</v>
      </c>
      <c r="D2215" s="20">
        <v>4</v>
      </c>
      <c r="E2215" s="20">
        <v>0</v>
      </c>
      <c r="F2215" s="22">
        <f>IFERROR(E2215/D2215*100,"")</f>
        <v>0</v>
      </c>
      <c r="G2215" s="23">
        <f>IFERROR(INDEX(Population_by_Province_Year!$B$5:$J$29,MATCH($A2215,Population_by_Province_Year!$A$5:$A$29,0),MATCH($B2215,Population_by_Province_Year!$B$4:$J$4,0)),"")</f>
        <v>249108</v>
      </c>
      <c r="H2215" s="22">
        <f>IFERROR(D2215/G2215*100000,"")</f>
        <v>1.6057292419352247</v>
      </c>
    </row>
    <row r="2216" spans="1:8" ht="15" customHeight="1" x14ac:dyDescent="0.3">
      <c r="A2216" s="20" t="s">
        <v>23</v>
      </c>
      <c r="B2216" s="20">
        <v>2026</v>
      </c>
      <c r="C2216" s="20" t="s">
        <v>99</v>
      </c>
      <c r="D2216" s="20">
        <v>55</v>
      </c>
      <c r="E2216" s="20">
        <v>0</v>
      </c>
      <c r="F2216" s="22">
        <f>IFERROR(E2216/D2216*100,"")</f>
        <v>0</v>
      </c>
      <c r="G2216" s="23">
        <f>IFERROR(INDEX(Population_by_Province_Year!$B$5:$J$29,MATCH($A2216,Population_by_Province_Year!$A$5:$A$29,0),MATCH($B2216,Population_by_Province_Year!$B$4:$J$4,0)),"")</f>
        <v>1161876</v>
      </c>
      <c r="H2216" s="22">
        <f>IFERROR(D2216/G2216*100000,"")</f>
        <v>4.7337237364400329</v>
      </c>
    </row>
    <row r="2217" spans="1:8" ht="15" customHeight="1" x14ac:dyDescent="0.3">
      <c r="A2217" s="20" t="s">
        <v>24</v>
      </c>
      <c r="B2217" s="20">
        <v>2026</v>
      </c>
      <c r="C2217" s="20" t="s">
        <v>99</v>
      </c>
      <c r="D2217" s="20">
        <v>5</v>
      </c>
      <c r="E2217" s="20">
        <v>0</v>
      </c>
      <c r="F2217" s="22">
        <f>IFERROR(E2217/D2217*100,"")</f>
        <v>0</v>
      </c>
      <c r="G2217" s="23">
        <f>IFERROR(INDEX(Population_by_Province_Year!$B$5:$J$29,MATCH($A2217,Population_by_Province_Year!$A$5:$A$29,0),MATCH($B2217,Population_by_Province_Year!$B$4:$J$4,0)),"")</f>
        <v>189836</v>
      </c>
      <c r="H2217" s="22">
        <f>IFERROR(D2217/G2217*100000,"")</f>
        <v>2.6338523778419267</v>
      </c>
    </row>
    <row r="2218" spans="1:8" ht="15" customHeight="1" x14ac:dyDescent="0.3">
      <c r="A2218" s="20" t="s">
        <v>25</v>
      </c>
      <c r="B2218" s="20">
        <v>2026</v>
      </c>
      <c r="C2218" s="20" t="s">
        <v>99</v>
      </c>
      <c r="D2218" s="20">
        <v>34</v>
      </c>
      <c r="E2218" s="20">
        <v>0</v>
      </c>
      <c r="F2218" s="22">
        <f>IFERROR(E2218/D2218*100,"")</f>
        <v>0</v>
      </c>
      <c r="G2218" s="23">
        <f>IFERROR(INDEX(Population_by_Province_Year!$B$5:$J$29,MATCH($A2218,Population_by_Province_Year!$A$5:$A$29,0),MATCH($B2218,Population_by_Province_Year!$B$4:$J$4,0)),"")</f>
        <v>601993</v>
      </c>
      <c r="H2218" s="22">
        <f>IFERROR(D2218/G2218*100000,"")</f>
        <v>5.6479062048894253</v>
      </c>
    </row>
    <row r="2219" spans="1:8" ht="15" customHeight="1" x14ac:dyDescent="0.3">
      <c r="A2219" s="20" t="s">
        <v>26</v>
      </c>
      <c r="B2219" s="20">
        <v>2026</v>
      </c>
      <c r="C2219" s="20" t="s">
        <v>99</v>
      </c>
      <c r="D2219" s="20">
        <v>109</v>
      </c>
      <c r="E2219" s="20">
        <v>0</v>
      </c>
      <c r="F2219" s="22">
        <f>IFERROR(E2219/D2219*100,"")</f>
        <v>0</v>
      </c>
      <c r="G2219" s="23">
        <f>IFERROR(INDEX(Population_by_Province_Year!$B$5:$J$29,MATCH($A2219,Population_by_Province_Year!$A$5:$A$29,0),MATCH($B2219,Population_by_Province_Year!$B$4:$J$4,0)),"")</f>
        <v>1032060</v>
      </c>
      <c r="H2219" s="22">
        <f>IFERROR(D2219/G2219*100000,"")</f>
        <v>10.561401468906846</v>
      </c>
    </row>
    <row r="2220" spans="1:8" ht="15" customHeight="1" x14ac:dyDescent="0.3">
      <c r="A2220" s="20" t="s">
        <v>27</v>
      </c>
      <c r="B2220" s="20">
        <v>2026</v>
      </c>
      <c r="C2220" s="20" t="s">
        <v>99</v>
      </c>
      <c r="D2220" s="20">
        <v>33</v>
      </c>
      <c r="E2220" s="20">
        <v>0</v>
      </c>
      <c r="F2220" s="22">
        <f>IFERROR(E2220/D2220*100,"")</f>
        <v>0</v>
      </c>
      <c r="G2220" s="23">
        <f>IFERROR(INDEX(Population_by_Province_Year!$B$5:$J$29,MATCH($A2220,Population_by_Province_Year!$A$5:$A$29,0),MATCH($B2220,Population_by_Province_Year!$B$4:$J$4,0)),"")</f>
        <v>889926</v>
      </c>
      <c r="H2220" s="22">
        <f>IFERROR(D2220/G2220*100000,"")</f>
        <v>3.7081734885821969</v>
      </c>
    </row>
    <row r="2221" spans="1:8" ht="15" customHeight="1" x14ac:dyDescent="0.3">
      <c r="A2221" s="20" t="s">
        <v>3</v>
      </c>
      <c r="B2221" s="20">
        <v>2026</v>
      </c>
      <c r="C2221" s="20" t="s">
        <v>103</v>
      </c>
      <c r="D2221" s="20">
        <v>72</v>
      </c>
      <c r="E2221" s="20">
        <v>0</v>
      </c>
      <c r="F2221" s="22">
        <f>IFERROR(E2221/D2221*100,"")</f>
        <v>0</v>
      </c>
      <c r="G2221" s="23">
        <f>IFERROR(INDEX(Population_by_Province_Year!$B$5:$J$29,MATCH($A2221,Population_by_Province_Year!$A$5:$A$29,0),MATCH($B2221,Population_by_Province_Year!$B$4:$J$4,0)),"")</f>
        <v>987347</v>
      </c>
      <c r="H2221" s="22">
        <f>IFERROR(D2221/G2221*100000,"")</f>
        <v>7.2922690806778157</v>
      </c>
    </row>
    <row r="2222" spans="1:8" ht="15" customHeight="1" x14ac:dyDescent="0.3">
      <c r="A2222" s="20" t="s">
        <v>4</v>
      </c>
      <c r="B2222" s="20">
        <v>2026</v>
      </c>
      <c r="C2222" s="20" t="s">
        <v>103</v>
      </c>
      <c r="D2222" s="20">
        <v>68</v>
      </c>
      <c r="E2222" s="20">
        <v>0</v>
      </c>
      <c r="F2222" s="22">
        <f>IFERROR(E2222/D2222*100,"")</f>
        <v>0</v>
      </c>
      <c r="G2222" s="23">
        <f>IFERROR(INDEX(Population_by_Province_Year!$B$5:$J$29,MATCH($A2222,Population_by_Province_Year!$A$5:$A$29,0),MATCH($B2222,Population_by_Province_Year!$B$4:$J$4,0)),"")</f>
        <v>1142327</v>
      </c>
      <c r="H2222" s="22">
        <f>IFERROR(D2222/G2222*100000,"")</f>
        <v>5.9527613371652777</v>
      </c>
    </row>
    <row r="2223" spans="1:8" ht="15" customHeight="1" x14ac:dyDescent="0.3">
      <c r="A2223" s="20" t="s">
        <v>5</v>
      </c>
      <c r="B2223" s="20">
        <v>2026</v>
      </c>
      <c r="C2223" s="20" t="s">
        <v>103</v>
      </c>
      <c r="D2223" s="20">
        <v>78</v>
      </c>
      <c r="E2223" s="20">
        <v>0</v>
      </c>
      <c r="F2223" s="22">
        <f>IFERROR(E2223/D2223*100,"")</f>
        <v>0</v>
      </c>
      <c r="G2223" s="23">
        <f>IFERROR(INDEX(Population_by_Province_Year!$B$5:$J$29,MATCH($A2223,Population_by_Province_Year!$A$5:$A$29,0),MATCH($B2223,Population_by_Province_Year!$B$4:$J$4,0)),"")</f>
        <v>1030773</v>
      </c>
      <c r="H2223" s="22">
        <f>IFERROR(D2223/G2223*100000,"")</f>
        <v>7.5671365082321715</v>
      </c>
    </row>
    <row r="2224" spans="1:8" ht="15" customHeight="1" x14ac:dyDescent="0.3">
      <c r="A2224" s="20" t="s">
        <v>6</v>
      </c>
      <c r="B2224" s="20">
        <v>2026</v>
      </c>
      <c r="C2224" s="20" t="s">
        <v>103</v>
      </c>
      <c r="D2224" s="20">
        <v>42</v>
      </c>
      <c r="E2224" s="20">
        <v>0</v>
      </c>
      <c r="F2224" s="22">
        <f>IFERROR(E2224/D2224*100,"")</f>
        <v>0</v>
      </c>
      <c r="G2224" s="23">
        <f>IFERROR(INDEX(Population_by_Province_Year!$B$5:$J$29,MATCH($A2224,Population_by_Province_Year!$A$5:$A$29,0),MATCH($B2224,Population_by_Province_Year!$B$4:$J$4,0)),"")</f>
        <v>603746</v>
      </c>
      <c r="H2224" s="22">
        <f>IFERROR(D2224/G2224*100000,"")</f>
        <v>6.9565678281926502</v>
      </c>
    </row>
    <row r="2225" spans="1:8" ht="15" customHeight="1" x14ac:dyDescent="0.3">
      <c r="A2225" s="20" t="s">
        <v>7</v>
      </c>
      <c r="B2225" s="20">
        <v>2026</v>
      </c>
      <c r="C2225" s="20" t="s">
        <v>103</v>
      </c>
      <c r="D2225" s="20">
        <v>88</v>
      </c>
      <c r="E2225" s="20">
        <v>0</v>
      </c>
      <c r="F2225" s="22">
        <f>IFERROR(E2225/D2225*100,"")</f>
        <v>0</v>
      </c>
      <c r="G2225" s="23">
        <f>IFERROR(INDEX(Population_by_Province_Year!$B$5:$J$29,MATCH($A2225,Population_by_Province_Year!$A$5:$A$29,0),MATCH($B2225,Population_by_Province_Year!$B$4:$J$4,0)),"")</f>
        <v>1005264</v>
      </c>
      <c r="H2225" s="22">
        <f>IFERROR(D2225/G2225*100000,"")</f>
        <v>8.7539193684445085</v>
      </c>
    </row>
    <row r="2226" spans="1:8" ht="15" customHeight="1" x14ac:dyDescent="0.3">
      <c r="A2226" s="20" t="s">
        <v>8</v>
      </c>
      <c r="B2226" s="20">
        <v>2026</v>
      </c>
      <c r="C2226" s="20" t="s">
        <v>103</v>
      </c>
      <c r="D2226" s="20">
        <v>51</v>
      </c>
      <c r="E2226" s="20">
        <v>0</v>
      </c>
      <c r="F2226" s="22">
        <f>IFERROR(E2226/D2226*100,"")</f>
        <v>0</v>
      </c>
      <c r="G2226" s="23">
        <f>IFERROR(INDEX(Population_by_Province_Year!$B$5:$J$29,MATCH($A2226,Population_by_Province_Year!$A$5:$A$29,0),MATCH($B2226,Population_by_Province_Year!$B$4:$J$4,0)),"")</f>
        <v>780762</v>
      </c>
      <c r="H2226" s="22">
        <f>IFERROR(D2226/G2226*100000,"")</f>
        <v>6.5320801985752377</v>
      </c>
    </row>
    <row r="2227" spans="1:8" ht="15" customHeight="1" x14ac:dyDescent="0.3">
      <c r="A2227" s="20" t="s">
        <v>9</v>
      </c>
      <c r="B2227" s="20">
        <v>2026</v>
      </c>
      <c r="C2227" s="20" t="s">
        <v>103</v>
      </c>
      <c r="D2227" s="20">
        <v>25</v>
      </c>
      <c r="E2227" s="20">
        <v>0</v>
      </c>
      <c r="F2227" s="22">
        <f>IFERROR(E2227/D2227*100,"")</f>
        <v>0</v>
      </c>
      <c r="G2227" s="23">
        <f>IFERROR(INDEX(Population_by_Province_Year!$B$5:$J$29,MATCH($A2227,Population_by_Province_Year!$A$5:$A$29,0),MATCH($B2227,Population_by_Province_Year!$B$4:$J$4,0)),"")</f>
        <v>680273</v>
      </c>
      <c r="H2227" s="22">
        <f>IFERROR(D2227/G2227*100000,"")</f>
        <v>3.6749951857563068</v>
      </c>
    </row>
    <row r="2228" spans="1:8" ht="15" customHeight="1" x14ac:dyDescent="0.3">
      <c r="A2228" s="20" t="s">
        <v>10</v>
      </c>
      <c r="B2228" s="20">
        <v>2026</v>
      </c>
      <c r="C2228" s="20" t="s">
        <v>103</v>
      </c>
      <c r="D2228" s="20">
        <v>342</v>
      </c>
      <c r="E2228" s="20">
        <v>0</v>
      </c>
      <c r="F2228" s="22">
        <f>IFERROR(E2228/D2228*100,"")</f>
        <v>0</v>
      </c>
      <c r="G2228" s="23">
        <f>IFERROR(INDEX(Population_by_Province_Year!$B$5:$J$29,MATCH($A2228,Population_by_Province_Year!$A$5:$A$29,0),MATCH($B2228,Population_by_Province_Year!$B$4:$J$4,0)),"")</f>
        <v>1376495</v>
      </c>
      <c r="H2228" s="22">
        <f>IFERROR(D2228/G2228*100000,"")</f>
        <v>24.845713206368348</v>
      </c>
    </row>
    <row r="2229" spans="1:8" ht="15" customHeight="1" x14ac:dyDescent="0.3">
      <c r="A2229" s="20" t="s">
        <v>11</v>
      </c>
      <c r="B2229" s="20">
        <v>2026</v>
      </c>
      <c r="C2229" s="20" t="s">
        <v>103</v>
      </c>
      <c r="D2229" s="20">
        <v>3</v>
      </c>
      <c r="E2229" s="20">
        <v>0</v>
      </c>
      <c r="F2229" s="22">
        <f>IFERROR(E2229/D2229*100,"")</f>
        <v>0</v>
      </c>
      <c r="G2229" s="23">
        <f>IFERROR(INDEX(Population_by_Province_Year!$B$5:$J$29,MATCH($A2229,Population_by_Province_Year!$A$5:$A$29,0),MATCH($B2229,Population_by_Province_Year!$B$4:$J$4,0)),"")</f>
        <v>48876</v>
      </c>
      <c r="H2229" s="22">
        <f>IFERROR(D2229/G2229*100000,"")</f>
        <v>6.1379818315737786</v>
      </c>
    </row>
    <row r="2230" spans="1:8" ht="15" customHeight="1" x14ac:dyDescent="0.3">
      <c r="A2230" s="20" t="s">
        <v>12</v>
      </c>
      <c r="B2230" s="20">
        <v>2026</v>
      </c>
      <c r="C2230" s="20" t="s">
        <v>103</v>
      </c>
      <c r="D2230" s="20">
        <v>9</v>
      </c>
      <c r="E2230" s="20">
        <v>0</v>
      </c>
      <c r="F2230" s="22">
        <f>IFERROR(E2230/D2230*100,"")</f>
        <v>0</v>
      </c>
      <c r="G2230" s="23">
        <f>IFERROR(INDEX(Population_by_Province_Year!$B$5:$J$29,MATCH($A2230,Population_by_Province_Year!$A$5:$A$29,0),MATCH($B2230,Population_by_Province_Year!$B$4:$J$4,0)),"")</f>
        <v>144230</v>
      </c>
      <c r="H2230" s="22">
        <f>IFERROR(D2230/G2230*100000,"")</f>
        <v>6.2400332801774949</v>
      </c>
    </row>
    <row r="2231" spans="1:8" ht="15" customHeight="1" x14ac:dyDescent="0.3">
      <c r="A2231" s="20" t="s">
        <v>13</v>
      </c>
      <c r="B2231" s="20">
        <v>2026</v>
      </c>
      <c r="C2231" s="20" t="s">
        <v>103</v>
      </c>
      <c r="D2231" s="20">
        <v>15</v>
      </c>
      <c r="E2231" s="20">
        <v>0</v>
      </c>
      <c r="F2231" s="22">
        <f>IFERROR(E2231/D2231*100,"")</f>
        <v>0</v>
      </c>
      <c r="G2231" s="23">
        <f>IFERROR(INDEX(Population_by_Province_Year!$B$5:$J$29,MATCH($A2231,Population_by_Province_Year!$A$5:$A$29,0),MATCH($B2231,Population_by_Province_Year!$B$4:$J$4,0)),"")</f>
        <v>429308</v>
      </c>
      <c r="H2231" s="22">
        <f>IFERROR(D2231/G2231*100000,"")</f>
        <v>3.4939949872818583</v>
      </c>
    </row>
    <row r="2232" spans="1:8" ht="15" customHeight="1" x14ac:dyDescent="0.3">
      <c r="A2232" s="20" t="s">
        <v>14</v>
      </c>
      <c r="B2232" s="20">
        <v>2026</v>
      </c>
      <c r="C2232" s="20" t="s">
        <v>103</v>
      </c>
      <c r="D2232" s="20">
        <v>2</v>
      </c>
      <c r="E2232" s="20">
        <v>0</v>
      </c>
      <c r="F2232" s="22">
        <f>IFERROR(E2232/D2232*100,"")</f>
        <v>0</v>
      </c>
      <c r="G2232" s="23">
        <f>IFERROR(INDEX(Population_by_Province_Year!$B$5:$J$29,MATCH($A2232,Population_by_Province_Year!$A$5:$A$29,0),MATCH($B2232,Population_by_Province_Year!$B$4:$J$4,0)),"")</f>
        <v>105636</v>
      </c>
      <c r="H2232" s="22">
        <f>IFERROR(D2232/G2232*100000,"")</f>
        <v>1.8932939528191148</v>
      </c>
    </row>
    <row r="2233" spans="1:8" ht="15" customHeight="1" x14ac:dyDescent="0.3">
      <c r="A2233" s="20" t="s">
        <v>15</v>
      </c>
      <c r="B2233" s="20">
        <v>2026</v>
      </c>
      <c r="C2233" s="20" t="s">
        <v>103</v>
      </c>
      <c r="D2233" s="20">
        <v>3</v>
      </c>
      <c r="E2233" s="20">
        <v>0</v>
      </c>
      <c r="F2233" s="22">
        <f>IFERROR(E2233/D2233*100,"")</f>
        <v>0</v>
      </c>
      <c r="G2233" s="23">
        <f>IFERROR(INDEX(Population_by_Province_Year!$B$5:$J$29,MATCH($A2233,Population_by_Province_Year!$A$5:$A$29,0),MATCH($B2233,Population_by_Province_Year!$B$4:$J$4,0)),"")</f>
        <v>316221</v>
      </c>
      <c r="H2233" s="22">
        <f>IFERROR(D2233/G2233*100000,"")</f>
        <v>0.94870359653533443</v>
      </c>
    </row>
    <row r="2234" spans="1:8" ht="15" customHeight="1" x14ac:dyDescent="0.3">
      <c r="A2234" s="20" t="s">
        <v>16</v>
      </c>
      <c r="B2234" s="20">
        <v>2026</v>
      </c>
      <c r="C2234" s="20" t="s">
        <v>103</v>
      </c>
      <c r="D2234" s="20">
        <v>0</v>
      </c>
      <c r="E2234" s="20">
        <v>0</v>
      </c>
      <c r="F2234" s="22" t="str">
        <f>IFERROR(E2234/D2234*100,"")</f>
        <v/>
      </c>
      <c r="G2234" s="23">
        <f>IFERROR(INDEX(Population_by_Province_Year!$B$5:$J$29,MATCH($A2234,Population_by_Province_Year!$A$5:$A$29,0),MATCH($B2234,Population_by_Province_Year!$B$4:$J$4,0)),"")</f>
        <v>86046</v>
      </c>
      <c r="H2234" s="22">
        <f>IFERROR(D2234/G2234*100000,"")</f>
        <v>0</v>
      </c>
    </row>
    <row r="2235" spans="1:8" ht="15" customHeight="1" x14ac:dyDescent="0.3">
      <c r="A2235" s="20" t="s">
        <v>17</v>
      </c>
      <c r="B2235" s="20">
        <v>2026</v>
      </c>
      <c r="C2235" s="20" t="s">
        <v>103</v>
      </c>
      <c r="D2235" s="20">
        <v>246</v>
      </c>
      <c r="E2235" s="20">
        <v>0</v>
      </c>
      <c r="F2235" s="22">
        <f>IFERROR(E2235/D2235*100,"")</f>
        <v>0</v>
      </c>
      <c r="G2235" s="23">
        <f>IFERROR(INDEX(Population_by_Province_Year!$B$5:$J$29,MATCH($A2235,Population_by_Province_Year!$A$5:$A$29,0),MATCH($B2235,Population_by_Province_Year!$B$4:$J$4,0)),"")</f>
        <v>2614134</v>
      </c>
      <c r="H2235" s="22">
        <f>IFERROR(D2235/G2235*100000,"")</f>
        <v>9.4103821762771158</v>
      </c>
    </row>
    <row r="2236" spans="1:8" ht="15" customHeight="1" x14ac:dyDescent="0.3">
      <c r="A2236" s="20" t="s">
        <v>18</v>
      </c>
      <c r="B2236" s="20">
        <v>2026</v>
      </c>
      <c r="C2236" s="20" t="s">
        <v>103</v>
      </c>
      <c r="D2236" s="20">
        <v>62</v>
      </c>
      <c r="E2236" s="20">
        <v>0</v>
      </c>
      <c r="F2236" s="22">
        <f>IFERROR(E2236/D2236*100,"")</f>
        <v>0</v>
      </c>
      <c r="G2236" s="23">
        <f>IFERROR(INDEX(Population_by_Province_Year!$B$5:$J$29,MATCH($A2236,Population_by_Province_Year!$A$5:$A$29,0),MATCH($B2236,Population_by_Province_Year!$B$4:$J$4,0)),"")</f>
        <v>355209</v>
      </c>
      <c r="H2236" s="22">
        <f>IFERROR(D2236/G2236*100000,"")</f>
        <v>17.454512695342743</v>
      </c>
    </row>
    <row r="2237" spans="1:8" ht="15" customHeight="1" x14ac:dyDescent="0.3">
      <c r="A2237" s="20" t="s">
        <v>19</v>
      </c>
      <c r="B2237" s="20">
        <v>2026</v>
      </c>
      <c r="C2237" s="20" t="s">
        <v>103</v>
      </c>
      <c r="D2237" s="20">
        <v>34</v>
      </c>
      <c r="E2237" s="20">
        <v>0</v>
      </c>
      <c r="F2237" s="22">
        <f>IFERROR(E2237/D2237*100,"")</f>
        <v>0</v>
      </c>
      <c r="G2237" s="23">
        <f>IFERROR(INDEX(Population_by_Province_Year!$B$5:$J$29,MATCH($A2237,Population_by_Province_Year!$A$5:$A$29,0),MATCH($B2237,Population_by_Province_Year!$B$4:$J$4,0)),"")</f>
        <v>291922</v>
      </c>
      <c r="H2237" s="22">
        <f>IFERROR(D2237/G2237*100000,"")</f>
        <v>11.646946787155473</v>
      </c>
    </row>
    <row r="2238" spans="1:8" ht="15" customHeight="1" x14ac:dyDescent="0.3">
      <c r="A2238" s="20" t="s">
        <v>20</v>
      </c>
      <c r="B2238" s="20">
        <v>2026</v>
      </c>
      <c r="C2238" s="20" t="s">
        <v>103</v>
      </c>
      <c r="D2238" s="20">
        <v>148</v>
      </c>
      <c r="E2238" s="20">
        <v>0</v>
      </c>
      <c r="F2238" s="22">
        <f>IFERROR(E2238/D2238*100,"")</f>
        <v>0</v>
      </c>
      <c r="G2238" s="23">
        <f>IFERROR(INDEX(Population_by_Province_Year!$B$5:$J$29,MATCH($A2238,Population_by_Province_Year!$A$5:$A$29,0),MATCH($B2238,Population_by_Province_Year!$B$4:$J$4,0)),"")</f>
        <v>1211692</v>
      </c>
      <c r="H2238" s="22">
        <f>IFERROR(D2238/G2238*100000,"")</f>
        <v>12.21432509251526</v>
      </c>
    </row>
    <row r="2239" spans="1:8" ht="15" customHeight="1" x14ac:dyDescent="0.3">
      <c r="A2239" s="20" t="s">
        <v>21</v>
      </c>
      <c r="B2239" s="20">
        <v>2026</v>
      </c>
      <c r="C2239" s="20" t="s">
        <v>103</v>
      </c>
      <c r="D2239" s="20">
        <v>54</v>
      </c>
      <c r="E2239" s="20">
        <v>0</v>
      </c>
      <c r="F2239" s="22">
        <f>IFERROR(E2239/D2239*100,"")</f>
        <v>0</v>
      </c>
      <c r="G2239" s="23">
        <f>IFERROR(INDEX(Population_by_Province_Year!$B$5:$J$29,MATCH($A2239,Population_by_Province_Year!$A$5:$A$29,0),MATCH($B2239,Population_by_Province_Year!$B$4:$J$4,0)),"")</f>
        <v>481084</v>
      </c>
      <c r="H2239" s="22">
        <f>IFERROR(D2239/G2239*100000,"")</f>
        <v>11.224650996499573</v>
      </c>
    </row>
    <row r="2240" spans="1:8" ht="15" customHeight="1" x14ac:dyDescent="0.3">
      <c r="A2240" s="20" t="s">
        <v>22</v>
      </c>
      <c r="B2240" s="20">
        <v>2026</v>
      </c>
      <c r="C2240" s="20" t="s">
        <v>103</v>
      </c>
      <c r="D2240" s="20">
        <v>5</v>
      </c>
      <c r="E2240" s="20">
        <v>0</v>
      </c>
      <c r="F2240" s="22">
        <f>IFERROR(E2240/D2240*100,"")</f>
        <v>0</v>
      </c>
      <c r="G2240" s="23">
        <f>IFERROR(INDEX(Population_by_Province_Year!$B$5:$J$29,MATCH($A2240,Population_by_Province_Year!$A$5:$A$29,0),MATCH($B2240,Population_by_Province_Year!$B$4:$J$4,0)),"")</f>
        <v>249108</v>
      </c>
      <c r="H2240" s="22">
        <f>IFERROR(D2240/G2240*100000,"")</f>
        <v>2.0071615524190309</v>
      </c>
    </row>
    <row r="2241" spans="1:8" ht="15" customHeight="1" x14ac:dyDescent="0.3">
      <c r="A2241" s="20" t="s">
        <v>23</v>
      </c>
      <c r="B2241" s="20">
        <v>2026</v>
      </c>
      <c r="C2241" s="20" t="s">
        <v>103</v>
      </c>
      <c r="D2241" s="20">
        <v>65</v>
      </c>
      <c r="E2241" s="20">
        <v>0</v>
      </c>
      <c r="F2241" s="22">
        <f>IFERROR(E2241/D2241*100,"")</f>
        <v>0</v>
      </c>
      <c r="G2241" s="23">
        <f>IFERROR(INDEX(Population_by_Province_Year!$B$5:$J$29,MATCH($A2241,Population_by_Province_Year!$A$5:$A$29,0),MATCH($B2241,Population_by_Province_Year!$B$4:$J$4,0)),"")</f>
        <v>1161876</v>
      </c>
      <c r="H2241" s="22">
        <f>IFERROR(D2241/G2241*100000,"")</f>
        <v>5.5944007794291304</v>
      </c>
    </row>
    <row r="2242" spans="1:8" ht="15" customHeight="1" x14ac:dyDescent="0.3">
      <c r="A2242" s="20" t="s">
        <v>24</v>
      </c>
      <c r="B2242" s="20">
        <v>2026</v>
      </c>
      <c r="C2242" s="20" t="s">
        <v>103</v>
      </c>
      <c r="D2242" s="20">
        <v>10</v>
      </c>
      <c r="E2242" s="20">
        <v>0</v>
      </c>
      <c r="F2242" s="22">
        <f>IFERROR(E2242/D2242*100,"")</f>
        <v>0</v>
      </c>
      <c r="G2242" s="23">
        <f>IFERROR(INDEX(Population_by_Province_Year!$B$5:$J$29,MATCH($A2242,Population_by_Province_Year!$A$5:$A$29,0),MATCH($B2242,Population_by_Province_Year!$B$4:$J$4,0)),"")</f>
        <v>189836</v>
      </c>
      <c r="H2242" s="22">
        <f>IFERROR(D2242/G2242*100000,"")</f>
        <v>5.2677047556838534</v>
      </c>
    </row>
    <row r="2243" spans="1:8" ht="15" customHeight="1" x14ac:dyDescent="0.3">
      <c r="A2243" s="20" t="s">
        <v>25</v>
      </c>
      <c r="B2243" s="20">
        <v>2026</v>
      </c>
      <c r="C2243" s="20" t="s">
        <v>103</v>
      </c>
      <c r="D2243" s="20">
        <v>26</v>
      </c>
      <c r="E2243" s="20">
        <v>0</v>
      </c>
      <c r="F2243" s="22">
        <f>IFERROR(E2243/D2243*100,"")</f>
        <v>0</v>
      </c>
      <c r="G2243" s="23">
        <f>IFERROR(INDEX(Population_by_Province_Year!$B$5:$J$29,MATCH($A2243,Population_by_Province_Year!$A$5:$A$29,0),MATCH($B2243,Population_by_Province_Year!$B$4:$J$4,0)),"")</f>
        <v>601993</v>
      </c>
      <c r="H2243" s="22">
        <f>IFERROR(D2243/G2243*100000,"")</f>
        <v>4.3189870978566196</v>
      </c>
    </row>
    <row r="2244" spans="1:8" ht="15" customHeight="1" x14ac:dyDescent="0.3">
      <c r="A2244" s="20" t="s">
        <v>26</v>
      </c>
      <c r="B2244" s="20">
        <v>2026</v>
      </c>
      <c r="C2244" s="20" t="s">
        <v>103</v>
      </c>
      <c r="D2244" s="20">
        <v>107</v>
      </c>
      <c r="E2244" s="20">
        <v>0</v>
      </c>
      <c r="F2244" s="22">
        <f>IFERROR(E2244/D2244*100,"")</f>
        <v>0</v>
      </c>
      <c r="G2244" s="23">
        <f>IFERROR(INDEX(Population_by_Province_Year!$B$5:$J$29,MATCH($A2244,Population_by_Province_Year!$A$5:$A$29,0),MATCH($B2244,Population_by_Province_Year!$B$4:$J$4,0)),"")</f>
        <v>1032060</v>
      </c>
      <c r="H2244" s="22">
        <f>IFERROR(D2244/G2244*100000,"")</f>
        <v>10.367614285991124</v>
      </c>
    </row>
    <row r="2245" spans="1:8" ht="15" customHeight="1" x14ac:dyDescent="0.3">
      <c r="A2245" s="20" t="s">
        <v>27</v>
      </c>
      <c r="B2245" s="20">
        <v>2026</v>
      </c>
      <c r="C2245" s="20" t="s">
        <v>103</v>
      </c>
      <c r="D2245" s="20">
        <v>32</v>
      </c>
      <c r="E2245" s="20">
        <v>0</v>
      </c>
      <c r="F2245" s="22">
        <f>IFERROR(E2245/D2245*100,"")</f>
        <v>0</v>
      </c>
      <c r="G2245" s="23">
        <f>IFERROR(INDEX(Population_by_Province_Year!$B$5:$J$29,MATCH($A2245,Population_by_Province_Year!$A$5:$A$29,0),MATCH($B2245,Population_by_Province_Year!$B$4:$J$4,0)),"")</f>
        <v>889926</v>
      </c>
      <c r="H2245" s="22">
        <f>IFERROR(D2245/G2245*100000,"")</f>
        <v>3.5958045949887967</v>
      </c>
    </row>
    <row r="2246" spans="1:8" ht="15" customHeight="1" x14ac:dyDescent="0.3">
      <c r="A2246" s="20" t="s">
        <v>3</v>
      </c>
      <c r="B2246" s="20">
        <v>2026</v>
      </c>
      <c r="C2246" s="20" t="s">
        <v>96</v>
      </c>
      <c r="D2246" s="20">
        <v>67</v>
      </c>
      <c r="E2246" s="20">
        <v>1</v>
      </c>
      <c r="F2246" s="22">
        <f>IFERROR(E2246/D2246*100,"")</f>
        <v>1.4925373134328357</v>
      </c>
      <c r="G2246" s="23">
        <f>IFERROR(INDEX(Population_by_Province_Year!$B$5:$J$29,MATCH($A2246,Population_by_Province_Year!$A$5:$A$29,0),MATCH($B2246,Population_by_Province_Year!$B$4:$J$4,0)),"")</f>
        <v>987347</v>
      </c>
      <c r="H2246" s="22">
        <f>IFERROR(D2246/G2246*100000,"")</f>
        <v>6.785861505630745</v>
      </c>
    </row>
    <row r="2247" spans="1:8" ht="15" customHeight="1" x14ac:dyDescent="0.3">
      <c r="A2247" s="20" t="s">
        <v>4</v>
      </c>
      <c r="B2247" s="20">
        <v>2026</v>
      </c>
      <c r="C2247" s="20" t="s">
        <v>96</v>
      </c>
      <c r="D2247" s="20">
        <v>66</v>
      </c>
      <c r="E2247" s="20">
        <v>0</v>
      </c>
      <c r="F2247" s="22">
        <f>IFERROR(E2247/D2247*100,"")</f>
        <v>0</v>
      </c>
      <c r="G2247" s="23">
        <f>IFERROR(INDEX(Population_by_Province_Year!$B$5:$J$29,MATCH($A2247,Population_by_Province_Year!$A$5:$A$29,0),MATCH($B2247,Population_by_Province_Year!$B$4:$J$4,0)),"")</f>
        <v>1142327</v>
      </c>
      <c r="H2247" s="22">
        <f>IFERROR(D2247/G2247*100000,"")</f>
        <v>5.7776801213662985</v>
      </c>
    </row>
    <row r="2248" spans="1:8" ht="15" customHeight="1" x14ac:dyDescent="0.3">
      <c r="A2248" s="20" t="s">
        <v>5</v>
      </c>
      <c r="B2248" s="20">
        <v>2026</v>
      </c>
      <c r="C2248" s="20" t="s">
        <v>96</v>
      </c>
      <c r="D2248" s="20">
        <v>118</v>
      </c>
      <c r="E2248" s="20">
        <v>1</v>
      </c>
      <c r="F2248" s="22">
        <f>IFERROR(E2248/D2248*100,"")</f>
        <v>0.84745762711864403</v>
      </c>
      <c r="G2248" s="23">
        <f>IFERROR(INDEX(Population_by_Province_Year!$B$5:$J$29,MATCH($A2248,Population_by_Province_Year!$A$5:$A$29,0),MATCH($B2248,Population_by_Province_Year!$B$4:$J$4,0)),"")</f>
        <v>1030773</v>
      </c>
      <c r="H2248" s="22">
        <f>IFERROR(D2248/G2248*100000,"")</f>
        <v>11.447719332966619</v>
      </c>
    </row>
    <row r="2249" spans="1:8" ht="15" customHeight="1" x14ac:dyDescent="0.3">
      <c r="A2249" s="20" t="s">
        <v>6</v>
      </c>
      <c r="B2249" s="20">
        <v>2026</v>
      </c>
      <c r="C2249" s="20" t="s">
        <v>96</v>
      </c>
      <c r="D2249" s="20">
        <v>46</v>
      </c>
      <c r="E2249" s="20">
        <v>0</v>
      </c>
      <c r="F2249" s="22">
        <f>IFERROR(E2249/D2249*100,"")</f>
        <v>0</v>
      </c>
      <c r="G2249" s="23">
        <f>IFERROR(INDEX(Population_by_Province_Year!$B$5:$J$29,MATCH($A2249,Population_by_Province_Year!$A$5:$A$29,0),MATCH($B2249,Population_by_Province_Year!$B$4:$J$4,0)),"")</f>
        <v>603746</v>
      </c>
      <c r="H2249" s="22">
        <f>IFERROR(D2249/G2249*100000,"")</f>
        <v>7.6190980975443319</v>
      </c>
    </row>
    <row r="2250" spans="1:8" ht="15" customHeight="1" x14ac:dyDescent="0.3">
      <c r="A2250" s="20" t="s">
        <v>7</v>
      </c>
      <c r="B2250" s="20">
        <v>2026</v>
      </c>
      <c r="C2250" s="20" t="s">
        <v>96</v>
      </c>
      <c r="D2250" s="20">
        <v>113</v>
      </c>
      <c r="E2250" s="20">
        <v>0</v>
      </c>
      <c r="F2250" s="22">
        <f>IFERROR(E2250/D2250*100,"")</f>
        <v>0</v>
      </c>
      <c r="G2250" s="23">
        <f>IFERROR(INDEX(Population_by_Province_Year!$B$5:$J$29,MATCH($A2250,Population_by_Province_Year!$A$5:$A$29,0),MATCH($B2250,Population_by_Province_Year!$B$4:$J$4,0)),"")</f>
        <v>1005264</v>
      </c>
      <c r="H2250" s="22">
        <f>IFERROR(D2250/G2250*100000,"")</f>
        <v>11.240828279934426</v>
      </c>
    </row>
    <row r="2251" spans="1:8" ht="15" customHeight="1" x14ac:dyDescent="0.3">
      <c r="A2251" s="20" t="s">
        <v>8</v>
      </c>
      <c r="B2251" s="20">
        <v>2026</v>
      </c>
      <c r="C2251" s="20" t="s">
        <v>96</v>
      </c>
      <c r="D2251" s="20">
        <v>49</v>
      </c>
      <c r="E2251" s="20">
        <v>1</v>
      </c>
      <c r="F2251" s="22">
        <f>IFERROR(E2251/D2251*100,"")</f>
        <v>2.0408163265306123</v>
      </c>
      <c r="G2251" s="23">
        <f>IFERROR(INDEX(Population_by_Province_Year!$B$5:$J$29,MATCH($A2251,Population_by_Province_Year!$A$5:$A$29,0),MATCH($B2251,Population_by_Province_Year!$B$4:$J$4,0)),"")</f>
        <v>780762</v>
      </c>
      <c r="H2251" s="22">
        <f>IFERROR(D2251/G2251*100000,"")</f>
        <v>6.275920190787974</v>
      </c>
    </row>
    <row r="2252" spans="1:8" ht="15" customHeight="1" x14ac:dyDescent="0.3">
      <c r="A2252" s="20" t="s">
        <v>9</v>
      </c>
      <c r="B2252" s="20">
        <v>2026</v>
      </c>
      <c r="C2252" s="20" t="s">
        <v>96</v>
      </c>
      <c r="D2252" s="20">
        <v>15</v>
      </c>
      <c r="E2252" s="20">
        <v>0</v>
      </c>
      <c r="F2252" s="22">
        <f>IFERROR(E2252/D2252*100,"")</f>
        <v>0</v>
      </c>
      <c r="G2252" s="23">
        <f>IFERROR(INDEX(Population_by_Province_Year!$B$5:$J$29,MATCH($A2252,Population_by_Province_Year!$A$5:$A$29,0),MATCH($B2252,Population_by_Province_Year!$B$4:$J$4,0)),"")</f>
        <v>680273</v>
      </c>
      <c r="H2252" s="22">
        <f>IFERROR(D2252/G2252*100000,"")</f>
        <v>2.2049971114537841</v>
      </c>
    </row>
    <row r="2253" spans="1:8" ht="15" customHeight="1" x14ac:dyDescent="0.3">
      <c r="A2253" s="20" t="s">
        <v>10</v>
      </c>
      <c r="B2253" s="20">
        <v>2026</v>
      </c>
      <c r="C2253" s="20" t="s">
        <v>96</v>
      </c>
      <c r="D2253" s="20">
        <v>449</v>
      </c>
      <c r="E2253" s="20">
        <v>1</v>
      </c>
      <c r="F2253" s="22">
        <f>IFERROR(E2253/D2253*100,"")</f>
        <v>0.22271714922048996</v>
      </c>
      <c r="G2253" s="23">
        <f>IFERROR(INDEX(Population_by_Province_Year!$B$5:$J$29,MATCH($A2253,Population_by_Province_Year!$A$5:$A$29,0),MATCH($B2253,Population_by_Province_Year!$B$4:$J$4,0)),"")</f>
        <v>1376495</v>
      </c>
      <c r="H2253" s="22">
        <f>IFERROR(D2253/G2253*100000,"")</f>
        <v>32.619079618887099</v>
      </c>
    </row>
    <row r="2254" spans="1:8" ht="15" customHeight="1" x14ac:dyDescent="0.3">
      <c r="A2254" s="20" t="s">
        <v>11</v>
      </c>
      <c r="B2254" s="20">
        <v>2026</v>
      </c>
      <c r="C2254" s="20" t="s">
        <v>96</v>
      </c>
      <c r="D2254" s="20">
        <v>10</v>
      </c>
      <c r="E2254" s="20">
        <v>0</v>
      </c>
      <c r="F2254" s="22">
        <f>IFERROR(E2254/D2254*100,"")</f>
        <v>0</v>
      </c>
      <c r="G2254" s="23">
        <f>IFERROR(INDEX(Population_by_Province_Year!$B$5:$J$29,MATCH($A2254,Population_by_Province_Year!$A$5:$A$29,0),MATCH($B2254,Population_by_Province_Year!$B$4:$J$4,0)),"")</f>
        <v>48876</v>
      </c>
      <c r="H2254" s="22">
        <f>IFERROR(D2254/G2254*100000,"")</f>
        <v>20.459939438579262</v>
      </c>
    </row>
    <row r="2255" spans="1:8" ht="15" customHeight="1" x14ac:dyDescent="0.3">
      <c r="A2255" s="20" t="s">
        <v>12</v>
      </c>
      <c r="B2255" s="20">
        <v>2026</v>
      </c>
      <c r="C2255" s="20" t="s">
        <v>96</v>
      </c>
      <c r="D2255" s="20">
        <v>33</v>
      </c>
      <c r="E2255" s="20">
        <v>0</v>
      </c>
      <c r="F2255" s="22">
        <f>IFERROR(E2255/D2255*100,"")</f>
        <v>0</v>
      </c>
      <c r="G2255" s="23">
        <f>IFERROR(INDEX(Population_by_Province_Year!$B$5:$J$29,MATCH($A2255,Population_by_Province_Year!$A$5:$A$29,0),MATCH($B2255,Population_by_Province_Year!$B$4:$J$4,0)),"")</f>
        <v>144230</v>
      </c>
      <c r="H2255" s="22">
        <f>IFERROR(D2255/G2255*100000,"")</f>
        <v>22.88012202731748</v>
      </c>
    </row>
    <row r="2256" spans="1:8" ht="15" customHeight="1" x14ac:dyDescent="0.3">
      <c r="A2256" s="20" t="s">
        <v>13</v>
      </c>
      <c r="B2256" s="20">
        <v>2026</v>
      </c>
      <c r="C2256" s="20" t="s">
        <v>96</v>
      </c>
      <c r="D2256" s="20">
        <v>20</v>
      </c>
      <c r="E2256" s="20">
        <v>0</v>
      </c>
      <c r="F2256" s="22">
        <f>IFERROR(E2256/D2256*100,"")</f>
        <v>0</v>
      </c>
      <c r="G2256" s="23">
        <f>IFERROR(INDEX(Population_by_Province_Year!$B$5:$J$29,MATCH($A2256,Population_by_Province_Year!$A$5:$A$29,0),MATCH($B2256,Population_by_Province_Year!$B$4:$J$4,0)),"")</f>
        <v>429308</v>
      </c>
      <c r="H2256" s="22">
        <f>IFERROR(D2256/G2256*100000,"")</f>
        <v>4.6586599830424777</v>
      </c>
    </row>
    <row r="2257" spans="1:8" ht="15" customHeight="1" x14ac:dyDescent="0.3">
      <c r="A2257" s="20" t="s">
        <v>14</v>
      </c>
      <c r="B2257" s="20">
        <v>2026</v>
      </c>
      <c r="C2257" s="20" t="s">
        <v>96</v>
      </c>
      <c r="D2257" s="20">
        <v>7</v>
      </c>
      <c r="E2257" s="20">
        <v>0</v>
      </c>
      <c r="F2257" s="22">
        <f>IFERROR(E2257/D2257*100,"")</f>
        <v>0</v>
      </c>
      <c r="G2257" s="23">
        <f>IFERROR(INDEX(Population_by_Province_Year!$B$5:$J$29,MATCH($A2257,Population_by_Province_Year!$A$5:$A$29,0),MATCH($B2257,Population_by_Province_Year!$B$4:$J$4,0)),"")</f>
        <v>105636</v>
      </c>
      <c r="H2257" s="22">
        <f>IFERROR(D2257/G2257*100000,"")</f>
        <v>6.6265288348669014</v>
      </c>
    </row>
    <row r="2258" spans="1:8" ht="15" customHeight="1" x14ac:dyDescent="0.3">
      <c r="A2258" s="20" t="s">
        <v>15</v>
      </c>
      <c r="B2258" s="20">
        <v>2026</v>
      </c>
      <c r="C2258" s="20" t="s">
        <v>96</v>
      </c>
      <c r="D2258" s="20">
        <v>2</v>
      </c>
      <c r="E2258" s="20">
        <v>0</v>
      </c>
      <c r="F2258" s="22">
        <f>IFERROR(E2258/D2258*100,"")</f>
        <v>0</v>
      </c>
      <c r="G2258" s="23">
        <f>IFERROR(INDEX(Population_by_Province_Year!$B$5:$J$29,MATCH($A2258,Population_by_Province_Year!$A$5:$A$29,0),MATCH($B2258,Population_by_Province_Year!$B$4:$J$4,0)),"")</f>
        <v>316221</v>
      </c>
      <c r="H2258" s="22">
        <f>IFERROR(D2258/G2258*100000,"")</f>
        <v>0.63246906435688965</v>
      </c>
    </row>
    <row r="2259" spans="1:8" ht="15" customHeight="1" x14ac:dyDescent="0.3">
      <c r="A2259" s="20" t="s">
        <v>16</v>
      </c>
      <c r="B2259" s="20">
        <v>2026</v>
      </c>
      <c r="C2259" s="20" t="s">
        <v>96</v>
      </c>
      <c r="D2259" s="20">
        <v>0</v>
      </c>
      <c r="E2259" s="20">
        <v>0</v>
      </c>
      <c r="F2259" s="22" t="str">
        <f>IFERROR(E2259/D2259*100,"")</f>
        <v/>
      </c>
      <c r="G2259" s="23">
        <f>IFERROR(INDEX(Population_by_Province_Year!$B$5:$J$29,MATCH($A2259,Population_by_Province_Year!$A$5:$A$29,0),MATCH($B2259,Population_by_Province_Year!$B$4:$J$4,0)),"")</f>
        <v>86046</v>
      </c>
      <c r="H2259" s="22">
        <f>IFERROR(D2259/G2259*100000,"")</f>
        <v>0</v>
      </c>
    </row>
    <row r="2260" spans="1:8" ht="15" customHeight="1" x14ac:dyDescent="0.3">
      <c r="A2260" s="20" t="s">
        <v>17</v>
      </c>
      <c r="B2260" s="20">
        <v>2026</v>
      </c>
      <c r="C2260" s="20" t="s">
        <v>96</v>
      </c>
      <c r="D2260" s="20">
        <v>252</v>
      </c>
      <c r="E2260" s="20">
        <v>0</v>
      </c>
      <c r="F2260" s="22">
        <f>IFERROR(E2260/D2260*100,"")</f>
        <v>0</v>
      </c>
      <c r="G2260" s="23">
        <f>IFERROR(INDEX(Population_by_Province_Year!$B$5:$J$29,MATCH($A2260,Population_by_Province_Year!$A$5:$A$29,0),MATCH($B2260,Population_by_Province_Year!$B$4:$J$4,0)),"")</f>
        <v>2614134</v>
      </c>
      <c r="H2260" s="22">
        <f>IFERROR(D2260/G2260*100000,"")</f>
        <v>9.6399036927716786</v>
      </c>
    </row>
    <row r="2261" spans="1:8" ht="15" customHeight="1" x14ac:dyDescent="0.3">
      <c r="A2261" s="20" t="s">
        <v>18</v>
      </c>
      <c r="B2261" s="20">
        <v>2026</v>
      </c>
      <c r="C2261" s="20" t="s">
        <v>96</v>
      </c>
      <c r="D2261" s="20">
        <v>114</v>
      </c>
      <c r="E2261" s="20">
        <v>0</v>
      </c>
      <c r="F2261" s="22">
        <f>IFERROR(E2261/D2261*100,"")</f>
        <v>0</v>
      </c>
      <c r="G2261" s="23">
        <f>IFERROR(INDEX(Population_by_Province_Year!$B$5:$J$29,MATCH($A2261,Population_by_Province_Year!$A$5:$A$29,0),MATCH($B2261,Population_by_Province_Year!$B$4:$J$4,0)),"")</f>
        <v>355209</v>
      </c>
      <c r="H2261" s="22">
        <f>IFERROR(D2261/G2261*100000,"")</f>
        <v>32.093781407565686</v>
      </c>
    </row>
    <row r="2262" spans="1:8" ht="15" customHeight="1" x14ac:dyDescent="0.3">
      <c r="A2262" s="20" t="s">
        <v>19</v>
      </c>
      <c r="B2262" s="20">
        <v>2026</v>
      </c>
      <c r="C2262" s="20" t="s">
        <v>96</v>
      </c>
      <c r="D2262" s="20">
        <v>94</v>
      </c>
      <c r="E2262" s="20">
        <v>0</v>
      </c>
      <c r="F2262" s="22">
        <f>IFERROR(E2262/D2262*100,"")</f>
        <v>0</v>
      </c>
      <c r="G2262" s="23">
        <f>IFERROR(INDEX(Population_by_Province_Year!$B$5:$J$29,MATCH($A2262,Population_by_Province_Year!$A$5:$A$29,0),MATCH($B2262,Population_by_Province_Year!$B$4:$J$4,0)),"")</f>
        <v>291922</v>
      </c>
      <c r="H2262" s="22">
        <f>IFERROR(D2262/G2262*100000,"")</f>
        <v>32.200382293900425</v>
      </c>
    </row>
    <row r="2263" spans="1:8" ht="15" customHeight="1" x14ac:dyDescent="0.3">
      <c r="A2263" s="20" t="s">
        <v>20</v>
      </c>
      <c r="B2263" s="20">
        <v>2026</v>
      </c>
      <c r="C2263" s="20" t="s">
        <v>96</v>
      </c>
      <c r="D2263" s="20">
        <v>123</v>
      </c>
      <c r="E2263" s="20">
        <v>0</v>
      </c>
      <c r="F2263" s="22">
        <f>IFERROR(E2263/D2263*100,"")</f>
        <v>0</v>
      </c>
      <c r="G2263" s="23">
        <f>IFERROR(INDEX(Population_by_Province_Year!$B$5:$J$29,MATCH($A2263,Population_by_Province_Year!$A$5:$A$29,0),MATCH($B2263,Population_by_Province_Year!$B$4:$J$4,0)),"")</f>
        <v>1211692</v>
      </c>
      <c r="H2263" s="22">
        <f>IFERROR(D2263/G2263*100000,"")</f>
        <v>10.151094502563357</v>
      </c>
    </row>
    <row r="2264" spans="1:8" ht="15" customHeight="1" x14ac:dyDescent="0.3">
      <c r="A2264" s="20" t="s">
        <v>21</v>
      </c>
      <c r="B2264" s="20">
        <v>2026</v>
      </c>
      <c r="C2264" s="20" t="s">
        <v>96</v>
      </c>
      <c r="D2264" s="20">
        <v>64</v>
      </c>
      <c r="E2264" s="20">
        <v>0</v>
      </c>
      <c r="F2264" s="22">
        <f>IFERROR(E2264/D2264*100,"")</f>
        <v>0</v>
      </c>
      <c r="G2264" s="23">
        <f>IFERROR(INDEX(Population_by_Province_Year!$B$5:$J$29,MATCH($A2264,Population_by_Province_Year!$A$5:$A$29,0),MATCH($B2264,Population_by_Province_Year!$B$4:$J$4,0)),"")</f>
        <v>481084</v>
      </c>
      <c r="H2264" s="22">
        <f>IFERROR(D2264/G2264*100000,"")</f>
        <v>13.303290069925419</v>
      </c>
    </row>
    <row r="2265" spans="1:8" ht="15" customHeight="1" x14ac:dyDescent="0.3">
      <c r="A2265" s="20" t="s">
        <v>22</v>
      </c>
      <c r="B2265" s="20">
        <v>2026</v>
      </c>
      <c r="C2265" s="20" t="s">
        <v>96</v>
      </c>
      <c r="D2265" s="20">
        <v>7</v>
      </c>
      <c r="E2265" s="20">
        <v>0</v>
      </c>
      <c r="F2265" s="22">
        <f>IFERROR(E2265/D2265*100,"")</f>
        <v>0</v>
      </c>
      <c r="G2265" s="23">
        <f>IFERROR(INDEX(Population_by_Province_Year!$B$5:$J$29,MATCH($A2265,Population_by_Province_Year!$A$5:$A$29,0),MATCH($B2265,Population_by_Province_Year!$B$4:$J$4,0)),"")</f>
        <v>249108</v>
      </c>
      <c r="H2265" s="22">
        <f>IFERROR(D2265/G2265*100000,"")</f>
        <v>2.8100261733866434</v>
      </c>
    </row>
    <row r="2266" spans="1:8" ht="15" customHeight="1" x14ac:dyDescent="0.3">
      <c r="A2266" s="20" t="s">
        <v>23</v>
      </c>
      <c r="B2266" s="20">
        <v>2026</v>
      </c>
      <c r="C2266" s="20" t="s">
        <v>96</v>
      </c>
      <c r="D2266" s="20">
        <v>43</v>
      </c>
      <c r="E2266" s="20">
        <v>0</v>
      </c>
      <c r="F2266" s="22">
        <f>IFERROR(E2266/D2266*100,"")</f>
        <v>0</v>
      </c>
      <c r="G2266" s="23">
        <f>IFERROR(INDEX(Population_by_Province_Year!$B$5:$J$29,MATCH($A2266,Population_by_Province_Year!$A$5:$A$29,0),MATCH($B2266,Population_by_Province_Year!$B$4:$J$4,0)),"")</f>
        <v>1161876</v>
      </c>
      <c r="H2266" s="22">
        <f>IFERROR(D2266/G2266*100000,"")</f>
        <v>3.7009112848531172</v>
      </c>
    </row>
    <row r="2267" spans="1:8" ht="15" customHeight="1" x14ac:dyDescent="0.3">
      <c r="A2267" s="20" t="s">
        <v>24</v>
      </c>
      <c r="B2267" s="20">
        <v>2026</v>
      </c>
      <c r="C2267" s="20" t="s">
        <v>96</v>
      </c>
      <c r="D2267" s="20">
        <v>7</v>
      </c>
      <c r="E2267" s="20">
        <v>0</v>
      </c>
      <c r="F2267" s="22">
        <f>IFERROR(E2267/D2267*100,"")</f>
        <v>0</v>
      </c>
      <c r="G2267" s="23">
        <f>IFERROR(INDEX(Population_by_Province_Year!$B$5:$J$29,MATCH($A2267,Population_by_Province_Year!$A$5:$A$29,0),MATCH($B2267,Population_by_Province_Year!$B$4:$J$4,0)),"")</f>
        <v>189836</v>
      </c>
      <c r="H2267" s="22">
        <f>IFERROR(D2267/G2267*100000,"")</f>
        <v>3.6873933289786978</v>
      </c>
    </row>
    <row r="2268" spans="1:8" ht="15" customHeight="1" x14ac:dyDescent="0.3">
      <c r="A2268" s="20" t="s">
        <v>25</v>
      </c>
      <c r="B2268" s="20">
        <v>2026</v>
      </c>
      <c r="C2268" s="20" t="s">
        <v>96</v>
      </c>
      <c r="D2268" s="20">
        <v>47</v>
      </c>
      <c r="E2268" s="20">
        <v>0</v>
      </c>
      <c r="F2268" s="22">
        <f>IFERROR(E2268/D2268*100,"")</f>
        <v>0</v>
      </c>
      <c r="G2268" s="23">
        <f>IFERROR(INDEX(Population_by_Province_Year!$B$5:$J$29,MATCH($A2268,Population_by_Province_Year!$A$5:$A$29,0),MATCH($B2268,Population_by_Province_Year!$B$4:$J$4,0)),"")</f>
        <v>601993</v>
      </c>
      <c r="H2268" s="22">
        <f>IFERROR(D2268/G2268*100000,"")</f>
        <v>7.8073997538177355</v>
      </c>
    </row>
    <row r="2269" spans="1:8" ht="15" customHeight="1" x14ac:dyDescent="0.3">
      <c r="A2269" s="20" t="s">
        <v>26</v>
      </c>
      <c r="B2269" s="20">
        <v>2026</v>
      </c>
      <c r="C2269" s="20" t="s">
        <v>96</v>
      </c>
      <c r="D2269" s="20">
        <v>98</v>
      </c>
      <c r="E2269" s="20">
        <v>0</v>
      </c>
      <c r="F2269" s="22">
        <f>IFERROR(E2269/D2269*100,"")</f>
        <v>0</v>
      </c>
      <c r="G2269" s="23">
        <f>IFERROR(INDEX(Population_by_Province_Year!$B$5:$J$29,MATCH($A2269,Population_by_Province_Year!$A$5:$A$29,0),MATCH($B2269,Population_by_Province_Year!$B$4:$J$4,0)),"")</f>
        <v>1032060</v>
      </c>
      <c r="H2269" s="22">
        <f>IFERROR(D2269/G2269*100000,"")</f>
        <v>9.4955719628703754</v>
      </c>
    </row>
    <row r="2270" spans="1:8" ht="15" customHeight="1" x14ac:dyDescent="0.3">
      <c r="A2270" s="20" t="s">
        <v>27</v>
      </c>
      <c r="B2270" s="20">
        <v>2026</v>
      </c>
      <c r="C2270" s="20" t="s">
        <v>96</v>
      </c>
      <c r="D2270" s="20">
        <v>55</v>
      </c>
      <c r="E2270" s="20">
        <v>1</v>
      </c>
      <c r="F2270" s="22">
        <f>IFERROR(E2270/D2270*100,"")</f>
        <v>1.8181818181818181</v>
      </c>
      <c r="G2270" s="23">
        <f>IFERROR(INDEX(Population_by_Province_Year!$B$5:$J$29,MATCH($A2270,Population_by_Province_Year!$A$5:$A$29,0),MATCH($B2270,Population_by_Province_Year!$B$4:$J$4,0)),"")</f>
        <v>889926</v>
      </c>
      <c r="H2270" s="22">
        <f>IFERROR(D2270/G2270*100000,"")</f>
        <v>6.1802891476369943</v>
      </c>
    </row>
    <row r="2271" spans="1:8" ht="15" customHeight="1" x14ac:dyDescent="0.3">
      <c r="A2271" s="20" t="s">
        <v>3</v>
      </c>
      <c r="B2271" s="20">
        <v>2026</v>
      </c>
      <c r="C2271" s="20" t="s">
        <v>104</v>
      </c>
      <c r="D2271" s="20">
        <v>89</v>
      </c>
      <c r="E2271" s="20">
        <v>0</v>
      </c>
      <c r="F2271" s="22">
        <f>IFERROR(E2271/D2271*100,"")</f>
        <v>0</v>
      </c>
      <c r="G2271" s="23">
        <f>IFERROR(INDEX(Population_by_Province_Year!$B$5:$J$29,MATCH($A2271,Population_by_Province_Year!$A$5:$A$29,0),MATCH($B2271,Population_by_Province_Year!$B$4:$J$4,0)),"")</f>
        <v>987347</v>
      </c>
      <c r="H2271" s="22">
        <f>IFERROR(D2271/G2271*100000,"")</f>
        <v>9.0140548358378556</v>
      </c>
    </row>
    <row r="2272" spans="1:8" ht="15" customHeight="1" x14ac:dyDescent="0.3">
      <c r="A2272" s="20" t="s">
        <v>4</v>
      </c>
      <c r="B2272" s="20">
        <v>2026</v>
      </c>
      <c r="C2272" s="20" t="s">
        <v>104</v>
      </c>
      <c r="D2272" s="20">
        <v>101</v>
      </c>
      <c r="E2272" s="20">
        <v>1</v>
      </c>
      <c r="F2272" s="22">
        <f>IFERROR(E2272/D2272*100,"")</f>
        <v>0.99009900990099009</v>
      </c>
      <c r="G2272" s="23">
        <f>IFERROR(INDEX(Population_by_Province_Year!$B$5:$J$29,MATCH($A2272,Population_by_Province_Year!$A$5:$A$29,0),MATCH($B2272,Population_by_Province_Year!$B$4:$J$4,0)),"")</f>
        <v>1142327</v>
      </c>
      <c r="H2272" s="22">
        <f>IFERROR(D2272/G2272*100000,"")</f>
        <v>8.8416013978484269</v>
      </c>
    </row>
    <row r="2273" spans="1:8" ht="15" customHeight="1" x14ac:dyDescent="0.3">
      <c r="A2273" s="20" t="s">
        <v>5</v>
      </c>
      <c r="B2273" s="20">
        <v>2026</v>
      </c>
      <c r="C2273" s="20" t="s">
        <v>104</v>
      </c>
      <c r="D2273" s="20">
        <v>246</v>
      </c>
      <c r="E2273" s="20">
        <v>0</v>
      </c>
      <c r="F2273" s="22">
        <f>IFERROR(E2273/D2273*100,"")</f>
        <v>0</v>
      </c>
      <c r="G2273" s="23">
        <f>IFERROR(INDEX(Population_by_Province_Year!$B$5:$J$29,MATCH($A2273,Population_by_Province_Year!$A$5:$A$29,0),MATCH($B2273,Population_by_Province_Year!$B$4:$J$4,0)),"")</f>
        <v>1030773</v>
      </c>
      <c r="H2273" s="22">
        <f>IFERROR(D2273/G2273*100000,"")</f>
        <v>23.865584372116846</v>
      </c>
    </row>
    <row r="2274" spans="1:8" ht="15" customHeight="1" x14ac:dyDescent="0.3">
      <c r="A2274" s="20" t="s">
        <v>6</v>
      </c>
      <c r="B2274" s="20">
        <v>2026</v>
      </c>
      <c r="C2274" s="20" t="s">
        <v>104</v>
      </c>
      <c r="D2274" s="20">
        <v>119</v>
      </c>
      <c r="E2274" s="20">
        <v>0</v>
      </c>
      <c r="F2274" s="22">
        <f>IFERROR(E2274/D2274*100,"")</f>
        <v>0</v>
      </c>
      <c r="G2274" s="23">
        <f>IFERROR(INDEX(Population_by_Province_Year!$B$5:$J$29,MATCH($A2274,Population_by_Province_Year!$A$5:$A$29,0),MATCH($B2274,Population_by_Province_Year!$B$4:$J$4,0)),"")</f>
        <v>603746</v>
      </c>
      <c r="H2274" s="22">
        <f>IFERROR(D2274/G2274*100000,"")</f>
        <v>19.710275513212508</v>
      </c>
    </row>
    <row r="2275" spans="1:8" ht="15" customHeight="1" x14ac:dyDescent="0.3">
      <c r="A2275" s="20" t="s">
        <v>7</v>
      </c>
      <c r="B2275" s="20">
        <v>2026</v>
      </c>
      <c r="C2275" s="20" t="s">
        <v>104</v>
      </c>
      <c r="D2275" s="20">
        <v>192</v>
      </c>
      <c r="E2275" s="20">
        <v>0</v>
      </c>
      <c r="F2275" s="22">
        <f>IFERROR(E2275/D2275*100,"")</f>
        <v>0</v>
      </c>
      <c r="G2275" s="23">
        <f>IFERROR(INDEX(Population_by_Province_Year!$B$5:$J$29,MATCH($A2275,Population_by_Province_Year!$A$5:$A$29,0),MATCH($B2275,Population_by_Province_Year!$B$4:$J$4,0)),"")</f>
        <v>1005264</v>
      </c>
      <c r="H2275" s="22">
        <f>IFERROR(D2275/G2275*100000,"")</f>
        <v>19.099460440242563</v>
      </c>
    </row>
    <row r="2276" spans="1:8" ht="15" customHeight="1" x14ac:dyDescent="0.3">
      <c r="A2276" s="20" t="s">
        <v>8</v>
      </c>
      <c r="B2276" s="20">
        <v>2026</v>
      </c>
      <c r="C2276" s="20" t="s">
        <v>104</v>
      </c>
      <c r="D2276" s="20">
        <v>156</v>
      </c>
      <c r="E2276" s="20">
        <v>0</v>
      </c>
      <c r="F2276" s="22">
        <f>IFERROR(E2276/D2276*100,"")</f>
        <v>0</v>
      </c>
      <c r="G2276" s="23">
        <f>IFERROR(INDEX(Population_by_Province_Year!$B$5:$J$29,MATCH($A2276,Population_by_Province_Year!$A$5:$A$29,0),MATCH($B2276,Population_by_Province_Year!$B$4:$J$4,0)),"")</f>
        <v>780762</v>
      </c>
      <c r="H2276" s="22">
        <f>IFERROR(D2276/G2276*100000,"")</f>
        <v>19.980480607406609</v>
      </c>
    </row>
    <row r="2277" spans="1:8" ht="15" customHeight="1" x14ac:dyDescent="0.3">
      <c r="A2277" s="20" t="s">
        <v>9</v>
      </c>
      <c r="B2277" s="20">
        <v>2026</v>
      </c>
      <c r="C2277" s="20" t="s">
        <v>104</v>
      </c>
      <c r="D2277" s="20">
        <v>40</v>
      </c>
      <c r="E2277" s="20">
        <v>0</v>
      </c>
      <c r="F2277" s="22">
        <f>IFERROR(E2277/D2277*100,"")</f>
        <v>0</v>
      </c>
      <c r="G2277" s="23">
        <f>IFERROR(INDEX(Population_by_Province_Year!$B$5:$J$29,MATCH($A2277,Population_by_Province_Year!$A$5:$A$29,0),MATCH($B2277,Population_by_Province_Year!$B$4:$J$4,0)),"")</f>
        <v>680273</v>
      </c>
      <c r="H2277" s="22">
        <f>IFERROR(D2277/G2277*100000,"")</f>
        <v>5.8799922972100909</v>
      </c>
    </row>
    <row r="2278" spans="1:8" ht="15" customHeight="1" x14ac:dyDescent="0.3">
      <c r="A2278" s="20" t="s">
        <v>10</v>
      </c>
      <c r="B2278" s="20">
        <v>2026</v>
      </c>
      <c r="C2278" s="20" t="s">
        <v>104</v>
      </c>
      <c r="D2278" s="20">
        <v>562</v>
      </c>
      <c r="E2278" s="20">
        <v>2</v>
      </c>
      <c r="F2278" s="22">
        <f>IFERROR(E2278/D2278*100,"")</f>
        <v>0.35587188612099641</v>
      </c>
      <c r="G2278" s="23">
        <f>IFERROR(INDEX(Population_by_Province_Year!$B$5:$J$29,MATCH($A2278,Population_by_Province_Year!$A$5:$A$29,0),MATCH($B2278,Population_by_Province_Year!$B$4:$J$4,0)),"")</f>
        <v>1376495</v>
      </c>
      <c r="H2278" s="22">
        <f>IFERROR(D2278/G2278*100000,"")</f>
        <v>40.828335736780737</v>
      </c>
    </row>
    <row r="2279" spans="1:8" ht="15" customHeight="1" x14ac:dyDescent="0.3">
      <c r="A2279" s="20" t="s">
        <v>11</v>
      </c>
      <c r="B2279" s="20">
        <v>2026</v>
      </c>
      <c r="C2279" s="20" t="s">
        <v>104</v>
      </c>
      <c r="D2279" s="20">
        <v>36</v>
      </c>
      <c r="E2279" s="20">
        <v>0</v>
      </c>
      <c r="F2279" s="22">
        <f>IFERROR(E2279/D2279*100,"")</f>
        <v>0</v>
      </c>
      <c r="G2279" s="23">
        <f>IFERROR(INDEX(Population_by_Province_Year!$B$5:$J$29,MATCH($A2279,Population_by_Province_Year!$A$5:$A$29,0),MATCH($B2279,Population_by_Province_Year!$B$4:$J$4,0)),"")</f>
        <v>48876</v>
      </c>
      <c r="H2279" s="22">
        <f>IFERROR(D2279/G2279*100000,"")</f>
        <v>73.655781978885344</v>
      </c>
    </row>
    <row r="2280" spans="1:8" ht="15" customHeight="1" x14ac:dyDescent="0.3">
      <c r="A2280" s="20" t="s">
        <v>12</v>
      </c>
      <c r="B2280" s="20">
        <v>2026</v>
      </c>
      <c r="C2280" s="20" t="s">
        <v>104</v>
      </c>
      <c r="D2280" s="20">
        <v>75</v>
      </c>
      <c r="E2280" s="20">
        <v>0</v>
      </c>
      <c r="F2280" s="22">
        <f>IFERROR(E2280/D2280*100,"")</f>
        <v>0</v>
      </c>
      <c r="G2280" s="23">
        <f>IFERROR(INDEX(Population_by_Province_Year!$B$5:$J$29,MATCH($A2280,Population_by_Province_Year!$A$5:$A$29,0),MATCH($B2280,Population_by_Province_Year!$B$4:$J$4,0)),"")</f>
        <v>144230</v>
      </c>
      <c r="H2280" s="22">
        <f>IFERROR(D2280/G2280*100000,"")</f>
        <v>52.000277334812459</v>
      </c>
    </row>
    <row r="2281" spans="1:8" ht="15" customHeight="1" x14ac:dyDescent="0.3">
      <c r="A2281" s="20" t="s">
        <v>13</v>
      </c>
      <c r="B2281" s="20">
        <v>2026</v>
      </c>
      <c r="C2281" s="20" t="s">
        <v>104</v>
      </c>
      <c r="D2281" s="20">
        <v>63</v>
      </c>
      <c r="E2281" s="20">
        <v>1</v>
      </c>
      <c r="F2281" s="22">
        <f>IFERROR(E2281/D2281*100,"")</f>
        <v>1.5873015873015872</v>
      </c>
      <c r="G2281" s="23">
        <f>IFERROR(INDEX(Population_by_Province_Year!$B$5:$J$29,MATCH($A2281,Population_by_Province_Year!$A$5:$A$29,0),MATCH($B2281,Population_by_Province_Year!$B$4:$J$4,0)),"")</f>
        <v>429308</v>
      </c>
      <c r="H2281" s="22">
        <f>IFERROR(D2281/G2281*100000,"")</f>
        <v>14.674778946583805</v>
      </c>
    </row>
    <row r="2282" spans="1:8" ht="15" customHeight="1" x14ac:dyDescent="0.3">
      <c r="A2282" s="20" t="s">
        <v>14</v>
      </c>
      <c r="B2282" s="20">
        <v>2026</v>
      </c>
      <c r="C2282" s="20" t="s">
        <v>104</v>
      </c>
      <c r="D2282" s="20">
        <v>116</v>
      </c>
      <c r="E2282" s="20">
        <v>0</v>
      </c>
      <c r="F2282" s="22">
        <f>IFERROR(E2282/D2282*100,"")</f>
        <v>0</v>
      </c>
      <c r="G2282" s="23">
        <f>IFERROR(INDEX(Population_by_Province_Year!$B$5:$J$29,MATCH($A2282,Population_by_Province_Year!$A$5:$A$29,0),MATCH($B2282,Population_by_Province_Year!$B$4:$J$4,0)),"")</f>
        <v>105636</v>
      </c>
      <c r="H2282" s="22">
        <f>IFERROR(D2282/G2282*100000,"")</f>
        <v>109.81104926350866</v>
      </c>
    </row>
    <row r="2283" spans="1:8" ht="15" customHeight="1" x14ac:dyDescent="0.3">
      <c r="A2283" s="20" t="s">
        <v>15</v>
      </c>
      <c r="B2283" s="20">
        <v>2026</v>
      </c>
      <c r="C2283" s="20" t="s">
        <v>104</v>
      </c>
      <c r="D2283" s="20">
        <v>16</v>
      </c>
      <c r="E2283" s="20">
        <v>0</v>
      </c>
      <c r="F2283" s="22">
        <f>IFERROR(E2283/D2283*100,"")</f>
        <v>0</v>
      </c>
      <c r="G2283" s="23">
        <f>IFERROR(INDEX(Population_by_Province_Year!$B$5:$J$29,MATCH($A2283,Population_by_Province_Year!$A$5:$A$29,0),MATCH($B2283,Population_by_Province_Year!$B$4:$J$4,0)),"")</f>
        <v>316221</v>
      </c>
      <c r="H2283" s="22">
        <f>IFERROR(D2283/G2283*100000,"")</f>
        <v>5.0597525148551172</v>
      </c>
    </row>
    <row r="2284" spans="1:8" ht="15" customHeight="1" x14ac:dyDescent="0.3">
      <c r="A2284" s="20" t="s">
        <v>16</v>
      </c>
      <c r="B2284" s="20">
        <v>2026</v>
      </c>
      <c r="C2284" s="20" t="s">
        <v>104</v>
      </c>
      <c r="D2284" s="20">
        <v>2</v>
      </c>
      <c r="E2284" s="20">
        <v>0</v>
      </c>
      <c r="F2284" s="22">
        <f>IFERROR(E2284/D2284*100,"")</f>
        <v>0</v>
      </c>
      <c r="G2284" s="23">
        <f>IFERROR(INDEX(Population_by_Province_Year!$B$5:$J$29,MATCH($A2284,Population_by_Province_Year!$A$5:$A$29,0),MATCH($B2284,Population_by_Province_Year!$B$4:$J$4,0)),"")</f>
        <v>86046</v>
      </c>
      <c r="H2284" s="22">
        <f>IFERROR(D2284/G2284*100000,"")</f>
        <v>2.3243381447132929</v>
      </c>
    </row>
    <row r="2285" spans="1:8" ht="15" customHeight="1" x14ac:dyDescent="0.3">
      <c r="A2285" s="20" t="s">
        <v>17</v>
      </c>
      <c r="B2285" s="20">
        <v>2026</v>
      </c>
      <c r="C2285" s="20" t="s">
        <v>104</v>
      </c>
      <c r="D2285" s="20">
        <v>253</v>
      </c>
      <c r="E2285" s="20">
        <v>0</v>
      </c>
      <c r="F2285" s="22">
        <f>IFERROR(E2285/D2285*100,"")</f>
        <v>0</v>
      </c>
      <c r="G2285" s="23">
        <f>IFERROR(INDEX(Population_by_Province_Year!$B$5:$J$29,MATCH($A2285,Population_by_Province_Year!$A$5:$A$29,0),MATCH($B2285,Population_by_Province_Year!$B$4:$J$4,0)),"")</f>
        <v>2614134</v>
      </c>
      <c r="H2285" s="22">
        <f>IFERROR(D2285/G2285*100000,"")</f>
        <v>9.6781572788541066</v>
      </c>
    </row>
    <row r="2286" spans="1:8" ht="15" customHeight="1" x14ac:dyDescent="0.3">
      <c r="A2286" s="20" t="s">
        <v>18</v>
      </c>
      <c r="B2286" s="20">
        <v>2026</v>
      </c>
      <c r="C2286" s="20" t="s">
        <v>104</v>
      </c>
      <c r="D2286" s="20">
        <v>238</v>
      </c>
      <c r="E2286" s="20">
        <v>0</v>
      </c>
      <c r="F2286" s="22">
        <f>IFERROR(E2286/D2286*100,"")</f>
        <v>0</v>
      </c>
      <c r="G2286" s="23">
        <f>IFERROR(INDEX(Population_by_Province_Year!$B$5:$J$29,MATCH($A2286,Population_by_Province_Year!$A$5:$A$29,0),MATCH($B2286,Population_by_Province_Year!$B$4:$J$4,0)),"")</f>
        <v>355209</v>
      </c>
      <c r="H2286" s="22">
        <f>IFERROR(D2286/G2286*100000,"")</f>
        <v>67.002806798251171</v>
      </c>
    </row>
    <row r="2287" spans="1:8" ht="15" customHeight="1" x14ac:dyDescent="0.3">
      <c r="A2287" s="20" t="s">
        <v>19</v>
      </c>
      <c r="B2287" s="20">
        <v>2026</v>
      </c>
      <c r="C2287" s="20" t="s">
        <v>104</v>
      </c>
      <c r="D2287" s="20">
        <v>170</v>
      </c>
      <c r="E2287" s="20">
        <v>0</v>
      </c>
      <c r="F2287" s="22">
        <f>IFERROR(E2287/D2287*100,"")</f>
        <v>0</v>
      </c>
      <c r="G2287" s="23">
        <f>IFERROR(INDEX(Population_by_Province_Year!$B$5:$J$29,MATCH($A2287,Population_by_Province_Year!$A$5:$A$29,0),MATCH($B2287,Population_by_Province_Year!$B$4:$J$4,0)),"")</f>
        <v>291922</v>
      </c>
      <c r="H2287" s="22">
        <f>IFERROR(D2287/G2287*100000,"")</f>
        <v>58.234733935777363</v>
      </c>
    </row>
    <row r="2288" spans="1:8" ht="15" customHeight="1" x14ac:dyDescent="0.3">
      <c r="A2288" s="20" t="s">
        <v>20</v>
      </c>
      <c r="B2288" s="20">
        <v>2026</v>
      </c>
      <c r="C2288" s="20" t="s">
        <v>104</v>
      </c>
      <c r="D2288" s="20">
        <v>274</v>
      </c>
      <c r="E2288" s="20">
        <v>1</v>
      </c>
      <c r="F2288" s="22">
        <f>IFERROR(E2288/D2288*100,"")</f>
        <v>0.36496350364963503</v>
      </c>
      <c r="G2288" s="23">
        <f>IFERROR(INDEX(Population_by_Province_Year!$B$5:$J$29,MATCH($A2288,Population_by_Province_Year!$A$5:$A$29,0),MATCH($B2288,Population_by_Province_Year!$B$4:$J$4,0)),"")</f>
        <v>1211692</v>
      </c>
      <c r="H2288" s="22">
        <f>IFERROR(D2288/G2288*100000,"")</f>
        <v>22.613007265872845</v>
      </c>
    </row>
    <row r="2289" spans="1:8" ht="15" customHeight="1" x14ac:dyDescent="0.3">
      <c r="A2289" s="20" t="s">
        <v>21</v>
      </c>
      <c r="B2289" s="20">
        <v>2026</v>
      </c>
      <c r="C2289" s="20" t="s">
        <v>104</v>
      </c>
      <c r="D2289" s="20">
        <v>83</v>
      </c>
      <c r="E2289" s="20">
        <v>0</v>
      </c>
      <c r="F2289" s="22">
        <f>IFERROR(E2289/D2289*100,"")</f>
        <v>0</v>
      </c>
      <c r="G2289" s="23">
        <f>IFERROR(INDEX(Population_by_Province_Year!$B$5:$J$29,MATCH($A2289,Population_by_Province_Year!$A$5:$A$29,0),MATCH($B2289,Population_by_Province_Year!$B$4:$J$4,0)),"")</f>
        <v>481084</v>
      </c>
      <c r="H2289" s="22">
        <f>IFERROR(D2289/G2289*100000,"")</f>
        <v>17.252704309434527</v>
      </c>
    </row>
    <row r="2290" spans="1:8" ht="15" customHeight="1" x14ac:dyDescent="0.3">
      <c r="A2290" s="20" t="s">
        <v>22</v>
      </c>
      <c r="B2290" s="20">
        <v>2026</v>
      </c>
      <c r="C2290" s="20" t="s">
        <v>104</v>
      </c>
      <c r="D2290" s="20">
        <v>33</v>
      </c>
      <c r="E2290" s="20">
        <v>0</v>
      </c>
      <c r="F2290" s="22">
        <f>IFERROR(E2290/D2290*100,"")</f>
        <v>0</v>
      </c>
      <c r="G2290" s="23">
        <f>IFERROR(INDEX(Population_by_Province_Year!$B$5:$J$29,MATCH($A2290,Population_by_Province_Year!$A$5:$A$29,0),MATCH($B2290,Population_by_Province_Year!$B$4:$J$4,0)),"")</f>
        <v>249108</v>
      </c>
      <c r="H2290" s="22">
        <f>IFERROR(D2290/G2290*100000,"")</f>
        <v>13.247266245965605</v>
      </c>
    </row>
    <row r="2291" spans="1:8" ht="15" customHeight="1" x14ac:dyDescent="0.3">
      <c r="A2291" s="20" t="s">
        <v>23</v>
      </c>
      <c r="B2291" s="20">
        <v>2026</v>
      </c>
      <c r="C2291" s="20" t="s">
        <v>104</v>
      </c>
      <c r="D2291" s="20">
        <v>97</v>
      </c>
      <c r="E2291" s="20">
        <v>0</v>
      </c>
      <c r="F2291" s="22">
        <f>IFERROR(E2291/D2291*100,"")</f>
        <v>0</v>
      </c>
      <c r="G2291" s="23">
        <f>IFERROR(INDEX(Population_by_Province_Year!$B$5:$J$29,MATCH($A2291,Population_by_Province_Year!$A$5:$A$29,0),MATCH($B2291,Population_by_Province_Year!$B$4:$J$4,0)),"")</f>
        <v>1161876</v>
      </c>
      <c r="H2291" s="22">
        <f>IFERROR(D2291/G2291*100000,"")</f>
        <v>8.3485673169942398</v>
      </c>
    </row>
    <row r="2292" spans="1:8" ht="15" customHeight="1" x14ac:dyDescent="0.3">
      <c r="A2292" s="20" t="s">
        <v>24</v>
      </c>
      <c r="B2292" s="20">
        <v>2026</v>
      </c>
      <c r="C2292" s="20" t="s">
        <v>104</v>
      </c>
      <c r="D2292" s="20">
        <v>26</v>
      </c>
      <c r="E2292" s="20">
        <v>0</v>
      </c>
      <c r="F2292" s="22">
        <f>IFERROR(E2292/D2292*100,"")</f>
        <v>0</v>
      </c>
      <c r="G2292" s="23">
        <f>IFERROR(INDEX(Population_by_Province_Year!$B$5:$J$29,MATCH($A2292,Population_by_Province_Year!$A$5:$A$29,0),MATCH($B2292,Population_by_Province_Year!$B$4:$J$4,0)),"")</f>
        <v>189836</v>
      </c>
      <c r="H2292" s="22">
        <f>IFERROR(D2292/G2292*100000,"")</f>
        <v>13.69603236477802</v>
      </c>
    </row>
    <row r="2293" spans="1:8" ht="15" customHeight="1" x14ac:dyDescent="0.3">
      <c r="A2293" s="20" t="s">
        <v>25</v>
      </c>
      <c r="B2293" s="20">
        <v>2026</v>
      </c>
      <c r="C2293" s="20" t="s">
        <v>104</v>
      </c>
      <c r="D2293" s="20">
        <v>30</v>
      </c>
      <c r="E2293" s="20">
        <v>0</v>
      </c>
      <c r="F2293" s="22">
        <f>IFERROR(E2293/D2293*100,"")</f>
        <v>0</v>
      </c>
      <c r="G2293" s="23">
        <f>IFERROR(INDEX(Population_by_Province_Year!$B$5:$J$29,MATCH($A2293,Population_by_Province_Year!$A$5:$A$29,0),MATCH($B2293,Population_by_Province_Year!$B$4:$J$4,0)),"")</f>
        <v>601993</v>
      </c>
      <c r="H2293" s="22">
        <f>IFERROR(D2293/G2293*100000,"")</f>
        <v>4.9834466513730229</v>
      </c>
    </row>
    <row r="2294" spans="1:8" ht="15" customHeight="1" x14ac:dyDescent="0.3">
      <c r="A2294" s="20" t="s">
        <v>26</v>
      </c>
      <c r="B2294" s="20">
        <v>2026</v>
      </c>
      <c r="C2294" s="20" t="s">
        <v>104</v>
      </c>
      <c r="D2294" s="20">
        <v>108</v>
      </c>
      <c r="E2294" s="20">
        <v>0</v>
      </c>
      <c r="F2294" s="22">
        <f>IFERROR(E2294/D2294*100,"")</f>
        <v>0</v>
      </c>
      <c r="G2294" s="23">
        <f>IFERROR(INDEX(Population_by_Province_Year!$B$5:$J$29,MATCH($A2294,Population_by_Province_Year!$A$5:$A$29,0),MATCH($B2294,Population_by_Province_Year!$B$4:$J$4,0)),"")</f>
        <v>1032060</v>
      </c>
      <c r="H2294" s="22">
        <f>IFERROR(D2294/G2294*100000,"")</f>
        <v>10.464507877448986</v>
      </c>
    </row>
    <row r="2295" spans="1:8" ht="15" customHeight="1" x14ac:dyDescent="0.3">
      <c r="A2295" s="20" t="s">
        <v>27</v>
      </c>
      <c r="B2295" s="20">
        <v>2026</v>
      </c>
      <c r="C2295" s="20" t="s">
        <v>104</v>
      </c>
      <c r="D2295" s="20">
        <v>179</v>
      </c>
      <c r="E2295" s="20">
        <v>0</v>
      </c>
      <c r="F2295" s="22">
        <f>IFERROR(E2295/D2295*100,"")</f>
        <v>0</v>
      </c>
      <c r="G2295" s="23">
        <f>IFERROR(INDEX(Population_by_Province_Year!$B$5:$J$29,MATCH($A2295,Population_by_Province_Year!$A$5:$A$29,0),MATCH($B2295,Population_by_Province_Year!$B$4:$J$4,0)),"")</f>
        <v>889926</v>
      </c>
      <c r="H2295" s="22">
        <f>IFERROR(D2295/G2295*100000,"")</f>
        <v>20.114031953218582</v>
      </c>
    </row>
    <row r="2296" spans="1:8" ht="15" customHeight="1" x14ac:dyDescent="0.3">
      <c r="A2296" s="20" t="s">
        <v>3</v>
      </c>
      <c r="B2296" s="20">
        <v>2026</v>
      </c>
      <c r="C2296" s="20" t="s">
        <v>102</v>
      </c>
      <c r="D2296" s="20">
        <v>598</v>
      </c>
      <c r="E2296" s="20">
        <v>1</v>
      </c>
      <c r="F2296" s="22">
        <f>IFERROR(E2296/D2296*100,"")</f>
        <v>0.16722408026755853</v>
      </c>
      <c r="G2296" s="23">
        <f>IFERROR(INDEX(Population_by_Province_Year!$B$5:$J$29,MATCH($A2296,Population_by_Province_Year!$A$5:$A$29,0),MATCH($B2296,Population_by_Province_Year!$B$4:$J$4,0)),"")</f>
        <v>987347</v>
      </c>
      <c r="H2296" s="22">
        <f>IFERROR(D2296/G2296*100000,"")</f>
        <v>60.566345975629638</v>
      </c>
    </row>
    <row r="2297" spans="1:8" ht="15" customHeight="1" x14ac:dyDescent="0.3">
      <c r="A2297" s="20" t="s">
        <v>4</v>
      </c>
      <c r="B2297" s="20">
        <v>2026</v>
      </c>
      <c r="C2297" s="20" t="s">
        <v>102</v>
      </c>
      <c r="D2297" s="20">
        <v>815</v>
      </c>
      <c r="E2297" s="20">
        <v>1</v>
      </c>
      <c r="F2297" s="22">
        <f>IFERROR(E2297/D2297*100,"")</f>
        <v>0.1226993865030675</v>
      </c>
      <c r="G2297" s="23">
        <f>IFERROR(INDEX(Population_by_Province_Year!$B$5:$J$29,MATCH($A2297,Population_by_Province_Year!$A$5:$A$29,0),MATCH($B2297,Population_by_Province_Year!$B$4:$J$4,0)),"")</f>
        <v>1142327</v>
      </c>
      <c r="H2297" s="22">
        <f>IFERROR(D2297/G2297*100000,"")</f>
        <v>71.345595438083848</v>
      </c>
    </row>
    <row r="2298" spans="1:8" ht="15" customHeight="1" x14ac:dyDescent="0.3">
      <c r="A2298" s="20" t="s">
        <v>108</v>
      </c>
      <c r="B2298" s="20">
        <v>2026</v>
      </c>
      <c r="C2298" s="20" t="s">
        <v>102</v>
      </c>
      <c r="D2298" s="20">
        <v>815</v>
      </c>
      <c r="E2298" s="20">
        <v>1</v>
      </c>
      <c r="F2298" s="22">
        <f>IFERROR(E2298/D2298*100,"")</f>
        <v>0.1226993865030675</v>
      </c>
      <c r="G2298" s="23" t="str">
        <f>IFERROR(INDEX(Population_by_Province_Year!$B$5:$J$29,MATCH($A2298,Population_by_Province_Year!$A$5:$A$29,0),MATCH($B2298,Population_by_Province_Year!$B$4:$J$4,0)),"")</f>
        <v/>
      </c>
      <c r="H2298" s="22" t="str">
        <f>IFERROR(D2298/G2298*100000,"")</f>
        <v/>
      </c>
    </row>
    <row r="2299" spans="1:8" ht="15" customHeight="1" x14ac:dyDescent="0.3">
      <c r="A2299" s="20" t="s">
        <v>5</v>
      </c>
      <c r="B2299" s="20">
        <v>2026</v>
      </c>
      <c r="C2299" s="20" t="s">
        <v>102</v>
      </c>
      <c r="D2299" s="20">
        <v>887</v>
      </c>
      <c r="E2299" s="20">
        <v>2</v>
      </c>
      <c r="F2299" s="22">
        <f>IFERROR(E2299/D2299*100,"")</f>
        <v>0.22547914317925591</v>
      </c>
      <c r="G2299" s="23">
        <f>IFERROR(INDEX(Population_by_Province_Year!$B$5:$J$29,MATCH($A2299,Population_by_Province_Year!$A$5:$A$29,0),MATCH($B2299,Population_by_Province_Year!$B$4:$J$4,0)),"")</f>
        <v>1030773</v>
      </c>
      <c r="H2299" s="22">
        <f>IFERROR(D2299/G2299*100000,"")</f>
        <v>86.051924138486356</v>
      </c>
    </row>
    <row r="2300" spans="1:8" ht="15" customHeight="1" x14ac:dyDescent="0.3">
      <c r="A2300" s="20" t="s">
        <v>6</v>
      </c>
      <c r="B2300" s="20">
        <v>2026</v>
      </c>
      <c r="C2300" s="20" t="s">
        <v>102</v>
      </c>
      <c r="D2300" s="20">
        <v>679</v>
      </c>
      <c r="E2300" s="20">
        <v>1</v>
      </c>
      <c r="F2300" s="22">
        <f>IFERROR(E2300/D2300*100,"")</f>
        <v>0.14727540500736377</v>
      </c>
      <c r="G2300" s="23">
        <f>IFERROR(INDEX(Population_by_Province_Year!$B$5:$J$29,MATCH($A2300,Population_by_Province_Year!$A$5:$A$29,0),MATCH($B2300,Population_by_Province_Year!$B$4:$J$4,0)),"")</f>
        <v>603746</v>
      </c>
      <c r="H2300" s="22">
        <f>IFERROR(D2300/G2300*100000,"")</f>
        <v>112.46451322244783</v>
      </c>
    </row>
    <row r="2301" spans="1:8" ht="15" customHeight="1" x14ac:dyDescent="0.3">
      <c r="A2301" s="20" t="s">
        <v>7</v>
      </c>
      <c r="B2301" s="20">
        <v>2026</v>
      </c>
      <c r="C2301" s="20" t="s">
        <v>102</v>
      </c>
      <c r="D2301" s="20">
        <v>984</v>
      </c>
      <c r="E2301" s="20">
        <v>2</v>
      </c>
      <c r="F2301" s="22">
        <f>IFERROR(E2301/D2301*100,"")</f>
        <v>0.20325203252032523</v>
      </c>
      <c r="G2301" s="23">
        <f>IFERROR(INDEX(Population_by_Province_Year!$B$5:$J$29,MATCH($A2301,Population_by_Province_Year!$A$5:$A$29,0),MATCH($B2301,Population_by_Province_Year!$B$4:$J$4,0)),"")</f>
        <v>1005264</v>
      </c>
      <c r="H2301" s="22">
        <f>IFERROR(D2301/G2301*100000,"")</f>
        <v>97.884734756243148</v>
      </c>
    </row>
    <row r="2302" spans="1:8" ht="15" customHeight="1" x14ac:dyDescent="0.3">
      <c r="A2302" s="20" t="s">
        <v>8</v>
      </c>
      <c r="B2302" s="20">
        <v>2026</v>
      </c>
      <c r="C2302" s="20" t="s">
        <v>102</v>
      </c>
      <c r="D2302" s="20">
        <v>587</v>
      </c>
      <c r="E2302" s="20">
        <v>0</v>
      </c>
      <c r="F2302" s="22">
        <f>IFERROR(E2302/D2302*100,"")</f>
        <v>0</v>
      </c>
      <c r="G2302" s="23">
        <f>IFERROR(INDEX(Population_by_Province_Year!$B$5:$J$29,MATCH($A2302,Population_by_Province_Year!$A$5:$A$29,0),MATCH($B2302,Population_by_Province_Year!$B$4:$J$4,0)),"")</f>
        <v>780762</v>
      </c>
      <c r="H2302" s="22">
        <f>IFERROR(D2302/G2302*100000,"")</f>
        <v>75.182962285562056</v>
      </c>
    </row>
    <row r="2303" spans="1:8" ht="15" customHeight="1" x14ac:dyDescent="0.3">
      <c r="A2303" s="20" t="s">
        <v>9</v>
      </c>
      <c r="B2303" s="20">
        <v>2026</v>
      </c>
      <c r="C2303" s="20" t="s">
        <v>102</v>
      </c>
      <c r="D2303" s="20">
        <v>144</v>
      </c>
      <c r="E2303" s="20">
        <v>0</v>
      </c>
      <c r="F2303" s="22">
        <f>IFERROR(E2303/D2303*100,"")</f>
        <v>0</v>
      </c>
      <c r="G2303" s="23">
        <f>IFERROR(INDEX(Population_by_Province_Year!$B$5:$J$29,MATCH($A2303,Population_by_Province_Year!$A$5:$A$29,0),MATCH($B2303,Population_by_Province_Year!$B$4:$J$4,0)),"")</f>
        <v>680273</v>
      </c>
      <c r="H2303" s="22">
        <f>IFERROR(D2303/G2303*100000,"")</f>
        <v>21.167972269956326</v>
      </c>
    </row>
    <row r="2304" spans="1:8" ht="15" customHeight="1" x14ac:dyDescent="0.3">
      <c r="A2304" s="20" t="s">
        <v>10</v>
      </c>
      <c r="B2304" s="20">
        <v>2026</v>
      </c>
      <c r="C2304" s="20" t="s">
        <v>102</v>
      </c>
      <c r="D2304" s="20">
        <v>1592</v>
      </c>
      <c r="E2304" s="20">
        <v>2</v>
      </c>
      <c r="F2304" s="22">
        <f>IFERROR(E2304/D2304*100,"")</f>
        <v>0.12562814070351758</v>
      </c>
      <c r="G2304" s="23">
        <f>IFERROR(INDEX(Population_by_Province_Year!$B$5:$J$29,MATCH($A2304,Population_by_Province_Year!$A$5:$A$29,0),MATCH($B2304,Population_by_Province_Year!$B$4:$J$4,0)),"")</f>
        <v>1376495</v>
      </c>
      <c r="H2304" s="22">
        <f>IFERROR(D2304/G2304*100000,"")</f>
        <v>115.65606849280236</v>
      </c>
    </row>
    <row r="2305" spans="1:8" ht="15" customHeight="1" x14ac:dyDescent="0.3">
      <c r="A2305" s="20" t="s">
        <v>11</v>
      </c>
      <c r="B2305" s="20">
        <v>2026</v>
      </c>
      <c r="C2305" s="20" t="s">
        <v>102</v>
      </c>
      <c r="D2305" s="20">
        <v>60</v>
      </c>
      <c r="E2305" s="20">
        <v>0</v>
      </c>
      <c r="F2305" s="22">
        <f>IFERROR(E2305/D2305*100,"")</f>
        <v>0</v>
      </c>
      <c r="G2305" s="23">
        <f>IFERROR(INDEX(Population_by_Province_Year!$B$5:$J$29,MATCH($A2305,Population_by_Province_Year!$A$5:$A$29,0),MATCH($B2305,Population_by_Province_Year!$B$4:$J$4,0)),"")</f>
        <v>48876</v>
      </c>
      <c r="H2305" s="22">
        <f>IFERROR(D2305/G2305*100000,"")</f>
        <v>122.75963663147557</v>
      </c>
    </row>
    <row r="2306" spans="1:8" ht="15" customHeight="1" x14ac:dyDescent="0.3">
      <c r="A2306" s="20" t="s">
        <v>12</v>
      </c>
      <c r="B2306" s="20">
        <v>2026</v>
      </c>
      <c r="C2306" s="20" t="s">
        <v>102</v>
      </c>
      <c r="D2306" s="20">
        <v>221</v>
      </c>
      <c r="E2306" s="20">
        <v>1</v>
      </c>
      <c r="F2306" s="22">
        <f>IFERROR(E2306/D2306*100,"")</f>
        <v>0.45248868778280549</v>
      </c>
      <c r="G2306" s="23">
        <f>IFERROR(INDEX(Population_by_Province_Year!$B$5:$J$29,MATCH($A2306,Population_by_Province_Year!$A$5:$A$29,0),MATCH($B2306,Population_by_Province_Year!$B$4:$J$4,0)),"")</f>
        <v>144230</v>
      </c>
      <c r="H2306" s="22">
        <f>IFERROR(D2306/G2306*100000,"")</f>
        <v>153.22748387991402</v>
      </c>
    </row>
    <row r="2307" spans="1:8" ht="15" customHeight="1" x14ac:dyDescent="0.3">
      <c r="A2307" s="20" t="s">
        <v>13</v>
      </c>
      <c r="B2307" s="20">
        <v>2026</v>
      </c>
      <c r="C2307" s="20" t="s">
        <v>102</v>
      </c>
      <c r="D2307" s="20">
        <v>382</v>
      </c>
      <c r="E2307" s="20">
        <v>2</v>
      </c>
      <c r="F2307" s="22">
        <f>IFERROR(E2307/D2307*100,"")</f>
        <v>0.52356020942408377</v>
      </c>
      <c r="G2307" s="23">
        <f>IFERROR(INDEX(Population_by_Province_Year!$B$5:$J$29,MATCH($A2307,Population_by_Province_Year!$A$5:$A$29,0),MATCH($B2307,Population_by_Province_Year!$B$4:$J$4,0)),"")</f>
        <v>429308</v>
      </c>
      <c r="H2307" s="22">
        <f>IFERROR(D2307/G2307*100000,"")</f>
        <v>88.980405676111332</v>
      </c>
    </row>
    <row r="2308" spans="1:8" ht="15" customHeight="1" x14ac:dyDescent="0.3">
      <c r="A2308" s="20" t="s">
        <v>14</v>
      </c>
      <c r="B2308" s="20">
        <v>2026</v>
      </c>
      <c r="C2308" s="20" t="s">
        <v>102</v>
      </c>
      <c r="D2308" s="20">
        <v>383</v>
      </c>
      <c r="E2308" s="20">
        <v>0</v>
      </c>
      <c r="F2308" s="22">
        <f>IFERROR(E2308/D2308*100,"")</f>
        <v>0</v>
      </c>
      <c r="G2308" s="23">
        <f>IFERROR(INDEX(Population_by_Province_Year!$B$5:$J$29,MATCH($A2308,Population_by_Province_Year!$A$5:$A$29,0),MATCH($B2308,Population_by_Province_Year!$B$4:$J$4,0)),"")</f>
        <v>105636</v>
      </c>
      <c r="H2308" s="22">
        <f>IFERROR(D2308/G2308*100000,"")</f>
        <v>362.56579196486047</v>
      </c>
    </row>
    <row r="2309" spans="1:8" ht="15" customHeight="1" x14ac:dyDescent="0.3">
      <c r="A2309" s="20" t="s">
        <v>15</v>
      </c>
      <c r="B2309" s="20">
        <v>2026</v>
      </c>
      <c r="C2309" s="20" t="s">
        <v>102</v>
      </c>
      <c r="D2309" s="20">
        <v>88</v>
      </c>
      <c r="E2309" s="20">
        <v>0</v>
      </c>
      <c r="F2309" s="22">
        <f>IFERROR(E2309/D2309*100,"")</f>
        <v>0</v>
      </c>
      <c r="G2309" s="23">
        <f>IFERROR(INDEX(Population_by_Province_Year!$B$5:$J$29,MATCH($A2309,Population_by_Province_Year!$A$5:$A$29,0),MATCH($B2309,Population_by_Province_Year!$B$4:$J$4,0)),"")</f>
        <v>316221</v>
      </c>
      <c r="H2309" s="22">
        <f>IFERROR(D2309/G2309*100000,"")</f>
        <v>27.828638831703145</v>
      </c>
    </row>
    <row r="2310" spans="1:8" ht="15" customHeight="1" x14ac:dyDescent="0.3">
      <c r="A2310" s="20" t="s">
        <v>16</v>
      </c>
      <c r="B2310" s="20">
        <v>2026</v>
      </c>
      <c r="C2310" s="20" t="s">
        <v>102</v>
      </c>
      <c r="D2310" s="20">
        <v>13</v>
      </c>
      <c r="E2310" s="20">
        <v>0</v>
      </c>
      <c r="F2310" s="22">
        <f>IFERROR(E2310/D2310*100,"")</f>
        <v>0</v>
      </c>
      <c r="G2310" s="23">
        <f>IFERROR(INDEX(Population_by_Province_Year!$B$5:$J$29,MATCH($A2310,Population_by_Province_Year!$A$5:$A$29,0),MATCH($B2310,Population_by_Province_Year!$B$4:$J$4,0)),"")</f>
        <v>86046</v>
      </c>
      <c r="H2310" s="22">
        <f>IFERROR(D2310/G2310*100000,"")</f>
        <v>15.108197940636405</v>
      </c>
    </row>
    <row r="2311" spans="1:8" ht="15" customHeight="1" x14ac:dyDescent="0.3">
      <c r="A2311" s="20" t="s">
        <v>17</v>
      </c>
      <c r="B2311" s="20">
        <v>2026</v>
      </c>
      <c r="C2311" s="20" t="s">
        <v>102</v>
      </c>
      <c r="D2311" s="20">
        <v>490</v>
      </c>
      <c r="E2311" s="20">
        <v>0</v>
      </c>
      <c r="F2311" s="22">
        <f>IFERROR(E2311/D2311*100,"")</f>
        <v>0</v>
      </c>
      <c r="G2311" s="23">
        <f>IFERROR(INDEX(Population_by_Province_Year!$B$5:$J$29,MATCH($A2311,Population_by_Province_Year!$A$5:$A$29,0),MATCH($B2311,Population_by_Province_Year!$B$4:$J$4,0)),"")</f>
        <v>2614134</v>
      </c>
      <c r="H2311" s="22">
        <f>IFERROR(D2311/G2311*100000,"")</f>
        <v>18.744257180389376</v>
      </c>
    </row>
    <row r="2312" spans="1:8" ht="15" customHeight="1" x14ac:dyDescent="0.3">
      <c r="A2312" s="20" t="s">
        <v>18</v>
      </c>
      <c r="B2312" s="20">
        <v>2026</v>
      </c>
      <c r="C2312" s="20" t="s">
        <v>102</v>
      </c>
      <c r="D2312" s="20">
        <v>344</v>
      </c>
      <c r="E2312" s="20">
        <v>1</v>
      </c>
      <c r="F2312" s="22">
        <f>IFERROR(E2312/D2312*100,"")</f>
        <v>0.29069767441860467</v>
      </c>
      <c r="G2312" s="23">
        <f>IFERROR(INDEX(Population_by_Province_Year!$B$5:$J$29,MATCH($A2312,Population_by_Province_Year!$A$5:$A$29,0),MATCH($B2312,Population_by_Province_Year!$B$4:$J$4,0)),"")</f>
        <v>355209</v>
      </c>
      <c r="H2312" s="22">
        <f>IFERROR(D2312/G2312*100000,"")</f>
        <v>96.844393019321018</v>
      </c>
    </row>
    <row r="2313" spans="1:8" ht="15" customHeight="1" x14ac:dyDescent="0.3">
      <c r="A2313" s="20" t="s">
        <v>19</v>
      </c>
      <c r="B2313" s="20">
        <v>2026</v>
      </c>
      <c r="C2313" s="20" t="s">
        <v>102</v>
      </c>
      <c r="D2313" s="20">
        <v>484</v>
      </c>
      <c r="E2313" s="20">
        <v>1</v>
      </c>
      <c r="F2313" s="22">
        <f>IFERROR(E2313/D2313*100,"")</f>
        <v>0.20661157024793389</v>
      </c>
      <c r="G2313" s="23">
        <f>IFERROR(INDEX(Population_by_Province_Year!$B$5:$J$29,MATCH($A2313,Population_by_Province_Year!$A$5:$A$29,0),MATCH($B2313,Population_by_Province_Year!$B$4:$J$4,0)),"")</f>
        <v>291922</v>
      </c>
      <c r="H2313" s="22">
        <f>IFERROR(D2313/G2313*100000,"")</f>
        <v>165.79771308774264</v>
      </c>
    </row>
    <row r="2314" spans="1:8" ht="15" customHeight="1" x14ac:dyDescent="0.3">
      <c r="A2314" s="20" t="s">
        <v>20</v>
      </c>
      <c r="B2314" s="20">
        <v>2026</v>
      </c>
      <c r="C2314" s="20" t="s">
        <v>102</v>
      </c>
      <c r="D2314" s="20">
        <v>453</v>
      </c>
      <c r="E2314" s="20">
        <v>2</v>
      </c>
      <c r="F2314" s="22">
        <f>IFERROR(E2314/D2314*100,"")</f>
        <v>0.44150110375275936</v>
      </c>
      <c r="G2314" s="23">
        <f>IFERROR(INDEX(Population_by_Province_Year!$B$5:$J$29,MATCH($A2314,Population_by_Province_Year!$A$5:$A$29,0),MATCH($B2314,Population_by_Province_Year!$B$4:$J$4,0)),"")</f>
        <v>1211692</v>
      </c>
      <c r="H2314" s="22">
        <f>IFERROR(D2314/G2314*100000,"")</f>
        <v>37.385738289928469</v>
      </c>
    </row>
    <row r="2315" spans="1:8" ht="15" customHeight="1" x14ac:dyDescent="0.3">
      <c r="A2315" s="20" t="s">
        <v>21</v>
      </c>
      <c r="B2315" s="20">
        <v>2026</v>
      </c>
      <c r="C2315" s="20" t="s">
        <v>102</v>
      </c>
      <c r="D2315" s="20">
        <v>306</v>
      </c>
      <c r="E2315" s="20">
        <v>0</v>
      </c>
      <c r="F2315" s="22">
        <f>IFERROR(E2315/D2315*100,"")</f>
        <v>0</v>
      </c>
      <c r="G2315" s="23">
        <f>IFERROR(INDEX(Population_by_Province_Year!$B$5:$J$29,MATCH($A2315,Population_by_Province_Year!$A$5:$A$29,0),MATCH($B2315,Population_by_Province_Year!$B$4:$J$4,0)),"")</f>
        <v>481084</v>
      </c>
      <c r="H2315" s="22">
        <f>IFERROR(D2315/G2315*100000,"")</f>
        <v>63.606355646830913</v>
      </c>
    </row>
    <row r="2316" spans="1:8" ht="15" customHeight="1" x14ac:dyDescent="0.3">
      <c r="A2316" s="20" t="s">
        <v>22</v>
      </c>
      <c r="B2316" s="20">
        <v>2026</v>
      </c>
      <c r="C2316" s="20" t="s">
        <v>102</v>
      </c>
      <c r="D2316" s="20">
        <v>175</v>
      </c>
      <c r="E2316" s="20">
        <v>0</v>
      </c>
      <c r="F2316" s="22">
        <f>IFERROR(E2316/D2316*100,"")</f>
        <v>0</v>
      </c>
      <c r="G2316" s="23">
        <f>IFERROR(INDEX(Population_by_Province_Year!$B$5:$J$29,MATCH($A2316,Population_by_Province_Year!$A$5:$A$29,0),MATCH($B2316,Population_by_Province_Year!$B$4:$J$4,0)),"")</f>
        <v>249108</v>
      </c>
      <c r="H2316" s="22">
        <f>IFERROR(D2316/G2316*100000,"")</f>
        <v>70.250654334666081</v>
      </c>
    </row>
    <row r="2317" spans="1:8" ht="15" customHeight="1" x14ac:dyDescent="0.3">
      <c r="A2317" s="20" t="s">
        <v>23</v>
      </c>
      <c r="B2317" s="20">
        <v>2026</v>
      </c>
      <c r="C2317" s="20" t="s">
        <v>102</v>
      </c>
      <c r="D2317" s="20">
        <v>485</v>
      </c>
      <c r="E2317" s="20">
        <v>0</v>
      </c>
      <c r="F2317" s="22">
        <f>IFERROR(E2317/D2317*100,"")</f>
        <v>0</v>
      </c>
      <c r="G2317" s="23">
        <f>IFERROR(INDEX(Population_by_Province_Year!$B$5:$J$29,MATCH($A2317,Population_by_Province_Year!$A$5:$A$29,0),MATCH($B2317,Population_by_Province_Year!$B$4:$J$4,0)),"")</f>
        <v>1161876</v>
      </c>
      <c r="H2317" s="22">
        <f>IFERROR(D2317/G2317*100000,"")</f>
        <v>41.742836584971201</v>
      </c>
    </row>
    <row r="2318" spans="1:8" ht="15" customHeight="1" x14ac:dyDescent="0.3">
      <c r="A2318" s="20" t="s">
        <v>24</v>
      </c>
      <c r="B2318" s="20">
        <v>2026</v>
      </c>
      <c r="C2318" s="20" t="s">
        <v>102</v>
      </c>
      <c r="D2318" s="20">
        <v>104</v>
      </c>
      <c r="E2318" s="20">
        <v>0</v>
      </c>
      <c r="F2318" s="22">
        <f>IFERROR(E2318/D2318*100,"")</f>
        <v>0</v>
      </c>
      <c r="G2318" s="23">
        <f>IFERROR(INDEX(Population_by_Province_Year!$B$5:$J$29,MATCH($A2318,Population_by_Province_Year!$A$5:$A$29,0),MATCH($B2318,Population_by_Province_Year!$B$4:$J$4,0)),"")</f>
        <v>189836</v>
      </c>
      <c r="H2318" s="22">
        <f>IFERROR(D2318/G2318*100000,"")</f>
        <v>54.78412945911208</v>
      </c>
    </row>
    <row r="2319" spans="1:8" ht="15" customHeight="1" x14ac:dyDescent="0.3">
      <c r="A2319" s="20" t="s">
        <v>25</v>
      </c>
      <c r="B2319" s="20">
        <v>2026</v>
      </c>
      <c r="C2319" s="20" t="s">
        <v>102</v>
      </c>
      <c r="D2319" s="20">
        <v>47</v>
      </c>
      <c r="E2319" s="20">
        <v>0</v>
      </c>
      <c r="F2319" s="22">
        <f>IFERROR(E2319/D2319*100,"")</f>
        <v>0</v>
      </c>
      <c r="G2319" s="23">
        <f>IFERROR(INDEX(Population_by_Province_Year!$B$5:$J$29,MATCH($A2319,Population_by_Province_Year!$A$5:$A$29,0),MATCH($B2319,Population_by_Province_Year!$B$4:$J$4,0)),"")</f>
        <v>601993</v>
      </c>
      <c r="H2319" s="22">
        <f>IFERROR(D2319/G2319*100000,"")</f>
        <v>7.8073997538177355</v>
      </c>
    </row>
    <row r="2320" spans="1:8" ht="15" customHeight="1" x14ac:dyDescent="0.3">
      <c r="A2320" s="20" t="s">
        <v>26</v>
      </c>
      <c r="B2320" s="20">
        <v>2026</v>
      </c>
      <c r="C2320" s="20" t="s">
        <v>102</v>
      </c>
      <c r="D2320" s="20">
        <v>239</v>
      </c>
      <c r="E2320" s="20">
        <v>1</v>
      </c>
      <c r="F2320" s="22">
        <f>IFERROR(E2320/D2320*100,"")</f>
        <v>0.41841004184100417</v>
      </c>
      <c r="G2320" s="23">
        <f>IFERROR(INDEX(Population_by_Province_Year!$B$5:$J$29,MATCH($A2320,Population_by_Province_Year!$A$5:$A$29,0),MATCH($B2320,Population_by_Province_Year!$B$4:$J$4,0)),"")</f>
        <v>1032060</v>
      </c>
      <c r="H2320" s="22">
        <f>IFERROR(D2320/G2320*100000,"")</f>
        <v>23.157568358428772</v>
      </c>
    </row>
    <row r="2321" spans="1:8" ht="15" customHeight="1" x14ac:dyDescent="0.3">
      <c r="A2321" s="20" t="s">
        <v>27</v>
      </c>
      <c r="B2321" s="20">
        <v>2026</v>
      </c>
      <c r="C2321" s="20" t="s">
        <v>102</v>
      </c>
      <c r="D2321" s="20">
        <v>503</v>
      </c>
      <c r="E2321" s="20">
        <v>0</v>
      </c>
      <c r="F2321" s="22">
        <f>IFERROR(E2321/D2321*100,"")</f>
        <v>0</v>
      </c>
      <c r="G2321" s="23">
        <f>IFERROR(INDEX(Population_by_Province_Year!$B$5:$J$29,MATCH($A2321,Population_by_Province_Year!$A$5:$A$29,0),MATCH($B2321,Population_by_Province_Year!$B$4:$J$4,0)),"")</f>
        <v>889926</v>
      </c>
      <c r="H2321" s="22">
        <f>IFERROR(D2321/G2321*100000,"")</f>
        <v>56.521553477480147</v>
      </c>
    </row>
    <row r="2322" spans="1:8" ht="15" customHeight="1" x14ac:dyDescent="0.3">
      <c r="A2322" s="20" t="s">
        <v>3</v>
      </c>
      <c r="B2322" s="20">
        <v>2026</v>
      </c>
      <c r="C2322" s="20" t="s">
        <v>101</v>
      </c>
      <c r="D2322" s="20">
        <v>1455</v>
      </c>
      <c r="E2322" s="20">
        <v>1</v>
      </c>
      <c r="F2322" s="22">
        <f>IFERROR(E2322/D2322*100,"")</f>
        <v>6.8728522336769765E-2</v>
      </c>
      <c r="G2322" s="23">
        <f>IFERROR(INDEX(Population_by_Province_Year!$B$5:$J$29,MATCH($A2322,Population_by_Province_Year!$A$5:$A$29,0),MATCH($B2322,Population_by_Province_Year!$B$4:$J$4,0)),"")</f>
        <v>987347</v>
      </c>
      <c r="H2322" s="22">
        <f>IFERROR(D2322/G2322*100000,"")</f>
        <v>147.36460433869755</v>
      </c>
    </row>
    <row r="2323" spans="1:8" ht="15" customHeight="1" x14ac:dyDescent="0.3">
      <c r="A2323" s="20" t="s">
        <v>4</v>
      </c>
      <c r="B2323" s="20">
        <v>2026</v>
      </c>
      <c r="C2323" s="20" t="s">
        <v>101</v>
      </c>
      <c r="D2323" s="20">
        <v>1996</v>
      </c>
      <c r="E2323" s="20">
        <v>6</v>
      </c>
      <c r="F2323" s="22">
        <f>IFERROR(E2323/D2323*100,"")</f>
        <v>0.30060120240480964</v>
      </c>
      <c r="G2323" s="23">
        <f>IFERROR(INDEX(Population_by_Province_Year!$B$5:$J$29,MATCH($A2323,Population_by_Province_Year!$A$5:$A$29,0),MATCH($B2323,Population_by_Province_Year!$B$4:$J$4,0)),"")</f>
        <v>1142327</v>
      </c>
      <c r="H2323" s="22">
        <f>IFERROR(D2323/G2323*100000,"")</f>
        <v>174.73105336738081</v>
      </c>
    </row>
    <row r="2324" spans="1:8" ht="15" customHeight="1" x14ac:dyDescent="0.3">
      <c r="A2324" s="20" t="s">
        <v>5</v>
      </c>
      <c r="B2324" s="20">
        <v>2026</v>
      </c>
      <c r="C2324" s="20" t="s">
        <v>101</v>
      </c>
      <c r="D2324" s="20">
        <v>3013</v>
      </c>
      <c r="E2324" s="20">
        <v>4</v>
      </c>
      <c r="F2324" s="22">
        <f>IFERROR(E2324/D2324*100,"")</f>
        <v>0.13275804845668771</v>
      </c>
      <c r="G2324" s="23">
        <f>IFERROR(INDEX(Population_by_Province_Year!$B$5:$J$29,MATCH($A2324,Population_by_Province_Year!$A$5:$A$29,0),MATCH($B2324,Population_by_Province_Year!$B$4:$J$4,0)),"")</f>
        <v>1030773</v>
      </c>
      <c r="H2324" s="22">
        <f>IFERROR(D2324/G2324*100000,"")</f>
        <v>292.3049012731222</v>
      </c>
    </row>
    <row r="2325" spans="1:8" ht="15" customHeight="1" x14ac:dyDescent="0.3">
      <c r="A2325" s="20" t="s">
        <v>6</v>
      </c>
      <c r="B2325" s="20">
        <v>2026</v>
      </c>
      <c r="C2325" s="20" t="s">
        <v>101</v>
      </c>
      <c r="D2325" s="20">
        <v>1391</v>
      </c>
      <c r="E2325" s="20">
        <v>3</v>
      </c>
      <c r="F2325" s="22">
        <f>IFERROR(E2325/D2325*100,"")</f>
        <v>0.2156721782890007</v>
      </c>
      <c r="G2325" s="23">
        <f>IFERROR(INDEX(Population_by_Province_Year!$B$5:$J$29,MATCH($A2325,Population_by_Province_Year!$A$5:$A$29,0),MATCH($B2325,Population_by_Province_Year!$B$4:$J$4,0)),"")</f>
        <v>603746</v>
      </c>
      <c r="H2325" s="22">
        <f>IFERROR(D2325/G2325*100000,"")</f>
        <v>230.39490116704707</v>
      </c>
    </row>
    <row r="2326" spans="1:8" ht="15" customHeight="1" x14ac:dyDescent="0.3">
      <c r="A2326" s="20" t="s">
        <v>7</v>
      </c>
      <c r="B2326" s="20">
        <v>2026</v>
      </c>
      <c r="C2326" s="20" t="s">
        <v>101</v>
      </c>
      <c r="D2326" s="20">
        <v>2527</v>
      </c>
      <c r="E2326" s="20">
        <v>2</v>
      </c>
      <c r="F2326" s="22">
        <f>IFERROR(E2326/D2326*100,"")</f>
        <v>7.9145231499802141E-2</v>
      </c>
      <c r="G2326" s="23">
        <f>IFERROR(INDEX(Population_by_Province_Year!$B$5:$J$29,MATCH($A2326,Population_by_Province_Year!$A$5:$A$29,0),MATCH($B2326,Population_by_Province_Year!$B$4:$J$4,0)),"")</f>
        <v>1005264</v>
      </c>
      <c r="H2326" s="22">
        <f>IFERROR(D2326/G2326*100000,"")</f>
        <v>251.3767527734008</v>
      </c>
    </row>
    <row r="2327" spans="1:8" ht="15" customHeight="1" x14ac:dyDescent="0.3">
      <c r="A2327" s="20" t="s">
        <v>8</v>
      </c>
      <c r="B2327" s="20">
        <v>2026</v>
      </c>
      <c r="C2327" s="20" t="s">
        <v>101</v>
      </c>
      <c r="D2327" s="20">
        <v>1639</v>
      </c>
      <c r="E2327" s="20">
        <v>1</v>
      </c>
      <c r="F2327" s="22">
        <f>IFERROR(E2327/D2327*100,"")</f>
        <v>6.1012812690665039E-2</v>
      </c>
      <c r="G2327" s="23">
        <f>IFERROR(INDEX(Population_by_Province_Year!$B$5:$J$29,MATCH($A2327,Population_by_Province_Year!$A$5:$A$29,0),MATCH($B2327,Population_by_Province_Year!$B$4:$J$4,0)),"")</f>
        <v>780762</v>
      </c>
      <c r="H2327" s="22">
        <f>IFERROR(D2327/G2327*100000,"")</f>
        <v>209.92312638166305</v>
      </c>
    </row>
    <row r="2328" spans="1:8" ht="15" customHeight="1" x14ac:dyDescent="0.3">
      <c r="A2328" s="20" t="s">
        <v>9</v>
      </c>
      <c r="B2328" s="20">
        <v>2026</v>
      </c>
      <c r="C2328" s="20" t="s">
        <v>101</v>
      </c>
      <c r="D2328" s="20">
        <v>342</v>
      </c>
      <c r="E2328" s="20">
        <v>0</v>
      </c>
      <c r="F2328" s="22">
        <f>IFERROR(E2328/D2328*100,"")</f>
        <v>0</v>
      </c>
      <c r="G2328" s="23">
        <f>IFERROR(INDEX(Population_by_Province_Year!$B$5:$J$29,MATCH($A2328,Population_by_Province_Year!$A$5:$A$29,0),MATCH($B2328,Population_by_Province_Year!$B$4:$J$4,0)),"")</f>
        <v>680273</v>
      </c>
      <c r="H2328" s="22">
        <f>IFERROR(D2328/G2328*100000,"")</f>
        <v>50.273934141146277</v>
      </c>
    </row>
    <row r="2329" spans="1:8" ht="15" customHeight="1" x14ac:dyDescent="0.3">
      <c r="A2329" s="20" t="s">
        <v>10</v>
      </c>
      <c r="B2329" s="20">
        <v>2026</v>
      </c>
      <c r="C2329" s="20" t="s">
        <v>101</v>
      </c>
      <c r="D2329" s="20">
        <v>3712</v>
      </c>
      <c r="E2329" s="20">
        <v>8</v>
      </c>
      <c r="F2329" s="22">
        <f>IFERROR(E2329/D2329*100,"")</f>
        <v>0.21551724137931033</v>
      </c>
      <c r="G2329" s="23">
        <f>IFERROR(INDEX(Population_by_Province_Year!$B$5:$J$29,MATCH($A2329,Population_by_Province_Year!$A$5:$A$29,0),MATCH($B2329,Population_by_Province_Year!$B$4:$J$4,0)),"")</f>
        <v>1376495</v>
      </c>
      <c r="H2329" s="22">
        <f>IFERROR(D2329/G2329*100000,"")</f>
        <v>269.67043105859449</v>
      </c>
    </row>
    <row r="2330" spans="1:8" ht="15" customHeight="1" x14ac:dyDescent="0.3">
      <c r="A2330" s="20" t="s">
        <v>11</v>
      </c>
      <c r="B2330" s="20">
        <v>2026</v>
      </c>
      <c r="C2330" s="20" t="s">
        <v>101</v>
      </c>
      <c r="D2330" s="20">
        <v>74</v>
      </c>
      <c r="E2330" s="20">
        <v>0</v>
      </c>
      <c r="F2330" s="22">
        <f>IFERROR(E2330/D2330*100,"")</f>
        <v>0</v>
      </c>
      <c r="G2330" s="23">
        <f>IFERROR(INDEX(Population_by_Province_Year!$B$5:$J$29,MATCH($A2330,Population_by_Province_Year!$A$5:$A$29,0),MATCH($B2330,Population_by_Province_Year!$B$4:$J$4,0)),"")</f>
        <v>48876</v>
      </c>
      <c r="H2330" s="22">
        <f>IFERROR(D2330/G2330*100000,"")</f>
        <v>151.40355184548653</v>
      </c>
    </row>
    <row r="2331" spans="1:8" ht="15" customHeight="1" x14ac:dyDescent="0.3">
      <c r="A2331" s="20" t="s">
        <v>12</v>
      </c>
      <c r="B2331" s="20">
        <v>2026</v>
      </c>
      <c r="C2331" s="20" t="s">
        <v>101</v>
      </c>
      <c r="D2331" s="20">
        <v>313</v>
      </c>
      <c r="E2331" s="20">
        <v>2</v>
      </c>
      <c r="F2331" s="22">
        <f>IFERROR(E2331/D2331*100,"")</f>
        <v>0.63897763578274758</v>
      </c>
      <c r="G2331" s="23">
        <f>IFERROR(INDEX(Population_by_Province_Year!$B$5:$J$29,MATCH($A2331,Population_by_Province_Year!$A$5:$A$29,0),MATCH($B2331,Population_by_Province_Year!$B$4:$J$4,0)),"")</f>
        <v>144230</v>
      </c>
      <c r="H2331" s="22">
        <f>IFERROR(D2331/G2331*100000,"")</f>
        <v>217.01449074395066</v>
      </c>
    </row>
    <row r="2332" spans="1:8" ht="15" customHeight="1" x14ac:dyDescent="0.3">
      <c r="A2332" s="20" t="s">
        <v>13</v>
      </c>
      <c r="B2332" s="20">
        <v>2026</v>
      </c>
      <c r="C2332" s="20" t="s">
        <v>101</v>
      </c>
      <c r="D2332" s="20">
        <v>859</v>
      </c>
      <c r="E2332" s="20">
        <v>0</v>
      </c>
      <c r="F2332" s="22">
        <f>IFERROR(E2332/D2332*100,"")</f>
        <v>0</v>
      </c>
      <c r="G2332" s="23">
        <f>IFERROR(INDEX(Population_by_Province_Year!$B$5:$J$29,MATCH($A2332,Population_by_Province_Year!$A$5:$A$29,0),MATCH($B2332,Population_by_Province_Year!$B$4:$J$4,0)),"")</f>
        <v>429308</v>
      </c>
      <c r="H2332" s="22">
        <f>IFERROR(D2332/G2332*100000,"")</f>
        <v>200.08944627167443</v>
      </c>
    </row>
    <row r="2333" spans="1:8" ht="15" customHeight="1" x14ac:dyDescent="0.3">
      <c r="A2333" s="20" t="s">
        <v>14</v>
      </c>
      <c r="B2333" s="20">
        <v>2026</v>
      </c>
      <c r="C2333" s="20" t="s">
        <v>101</v>
      </c>
      <c r="D2333" s="20">
        <v>556</v>
      </c>
      <c r="E2333" s="20">
        <v>0</v>
      </c>
      <c r="F2333" s="22">
        <f>IFERROR(E2333/D2333*100,"")</f>
        <v>0</v>
      </c>
      <c r="G2333" s="23">
        <f>IFERROR(INDEX(Population_by_Province_Year!$B$5:$J$29,MATCH($A2333,Population_by_Province_Year!$A$5:$A$29,0),MATCH($B2333,Population_by_Province_Year!$B$4:$J$4,0)),"")</f>
        <v>105636</v>
      </c>
      <c r="H2333" s="22">
        <f>IFERROR(D2333/G2333*100000,"")</f>
        <v>526.33571888371398</v>
      </c>
    </row>
    <row r="2334" spans="1:8" ht="15" customHeight="1" x14ac:dyDescent="0.3">
      <c r="A2334" s="20" t="s">
        <v>15</v>
      </c>
      <c r="B2334" s="20">
        <v>2026</v>
      </c>
      <c r="C2334" s="20" t="s">
        <v>101</v>
      </c>
      <c r="D2334" s="20">
        <v>266</v>
      </c>
      <c r="E2334" s="20">
        <v>1</v>
      </c>
      <c r="F2334" s="22">
        <f>IFERROR(E2334/D2334*100,"")</f>
        <v>0.37593984962406013</v>
      </c>
      <c r="G2334" s="23">
        <f>IFERROR(INDEX(Population_by_Province_Year!$B$5:$J$29,MATCH($A2334,Population_by_Province_Year!$A$5:$A$29,0),MATCH($B2334,Population_by_Province_Year!$B$4:$J$4,0)),"")</f>
        <v>316221</v>
      </c>
      <c r="H2334" s="22">
        <f>IFERROR(D2334/G2334*100000,"")</f>
        <v>84.118385559466333</v>
      </c>
    </row>
    <row r="2335" spans="1:8" ht="15" customHeight="1" x14ac:dyDescent="0.3">
      <c r="A2335" s="20" t="s">
        <v>16</v>
      </c>
      <c r="B2335" s="20">
        <v>2026</v>
      </c>
      <c r="C2335" s="20" t="s">
        <v>101</v>
      </c>
      <c r="D2335" s="20">
        <v>103</v>
      </c>
      <c r="E2335" s="20">
        <v>0</v>
      </c>
      <c r="F2335" s="22">
        <f>IFERROR(E2335/D2335*100,"")</f>
        <v>0</v>
      </c>
      <c r="G2335" s="23">
        <f>IFERROR(INDEX(Population_by_Province_Year!$B$5:$J$29,MATCH($A2335,Population_by_Province_Year!$A$5:$A$29,0),MATCH($B2335,Population_by_Province_Year!$B$4:$J$4,0)),"")</f>
        <v>86046</v>
      </c>
      <c r="H2335" s="22">
        <f>IFERROR(D2335/G2335*100000,"")</f>
        <v>119.70341445273459</v>
      </c>
    </row>
    <row r="2336" spans="1:8" ht="15" customHeight="1" x14ac:dyDescent="0.3">
      <c r="A2336" s="20" t="s">
        <v>17</v>
      </c>
      <c r="B2336" s="20">
        <v>2026</v>
      </c>
      <c r="C2336" s="20" t="s">
        <v>101</v>
      </c>
      <c r="D2336" s="20">
        <v>1466</v>
      </c>
      <c r="E2336" s="20">
        <v>2</v>
      </c>
      <c r="F2336" s="22">
        <f>IFERROR(E2336/D2336*100,"")</f>
        <v>0.13642564802182811</v>
      </c>
      <c r="G2336" s="23">
        <f>IFERROR(INDEX(Population_by_Province_Year!$B$5:$J$29,MATCH($A2336,Population_by_Province_Year!$A$5:$A$29,0),MATCH($B2336,Population_by_Province_Year!$B$4:$J$4,0)),"")</f>
        <v>2614134</v>
      </c>
      <c r="H2336" s="22">
        <f>IFERROR(D2336/G2336*100000,"")</f>
        <v>56.079757196838415</v>
      </c>
    </row>
    <row r="2337" spans="1:8" ht="15" customHeight="1" x14ac:dyDescent="0.3">
      <c r="A2337" s="20" t="s">
        <v>18</v>
      </c>
      <c r="B2337" s="20">
        <v>2026</v>
      </c>
      <c r="C2337" s="20" t="s">
        <v>101</v>
      </c>
      <c r="D2337" s="20">
        <v>483</v>
      </c>
      <c r="E2337" s="20">
        <v>2</v>
      </c>
      <c r="F2337" s="22">
        <f>IFERROR(E2337/D2337*100,"")</f>
        <v>0.41407867494824019</v>
      </c>
      <c r="G2337" s="23">
        <f>IFERROR(INDEX(Population_by_Province_Year!$B$5:$J$29,MATCH($A2337,Population_by_Province_Year!$A$5:$A$29,0),MATCH($B2337,Population_by_Province_Year!$B$4:$J$4,0)),"")</f>
        <v>355209</v>
      </c>
      <c r="H2337" s="22">
        <f>IFERROR(D2337/G2337*100000,"")</f>
        <v>135.97628438468621</v>
      </c>
    </row>
    <row r="2338" spans="1:8" ht="15" customHeight="1" x14ac:dyDescent="0.3">
      <c r="A2338" s="20" t="s">
        <v>19</v>
      </c>
      <c r="B2338" s="20">
        <v>2026</v>
      </c>
      <c r="C2338" s="20" t="s">
        <v>101</v>
      </c>
      <c r="D2338" s="20">
        <v>1027</v>
      </c>
      <c r="E2338" s="20">
        <v>0</v>
      </c>
      <c r="F2338" s="22">
        <f>IFERROR(E2338/D2338*100,"")</f>
        <v>0</v>
      </c>
      <c r="G2338" s="23">
        <f>IFERROR(INDEX(Population_by_Province_Year!$B$5:$J$29,MATCH($A2338,Population_by_Province_Year!$A$5:$A$29,0),MATCH($B2338,Population_by_Province_Year!$B$4:$J$4,0)),"")</f>
        <v>291922</v>
      </c>
      <c r="H2338" s="22">
        <f>IFERROR(D2338/G2338*100000,"")</f>
        <v>351.80630442378441</v>
      </c>
    </row>
    <row r="2339" spans="1:8" ht="15" customHeight="1" x14ac:dyDescent="0.3">
      <c r="A2339" s="20" t="s">
        <v>20</v>
      </c>
      <c r="B2339" s="20">
        <v>2026</v>
      </c>
      <c r="C2339" s="20" t="s">
        <v>101</v>
      </c>
      <c r="D2339" s="20">
        <v>900</v>
      </c>
      <c r="E2339" s="20">
        <v>0</v>
      </c>
      <c r="F2339" s="22">
        <f>IFERROR(E2339/D2339*100,"")</f>
        <v>0</v>
      </c>
      <c r="G2339" s="23">
        <f>IFERROR(INDEX(Population_by_Province_Year!$B$5:$J$29,MATCH($A2339,Population_by_Province_Year!$A$5:$A$29,0),MATCH($B2339,Population_by_Province_Year!$B$4:$J$4,0)),"")</f>
        <v>1211692</v>
      </c>
      <c r="H2339" s="22">
        <f>IFERROR(D2339/G2339*100000,"")</f>
        <v>74.276301238268474</v>
      </c>
    </row>
    <row r="2340" spans="1:8" ht="15" customHeight="1" x14ac:dyDescent="0.3">
      <c r="A2340" s="20" t="s">
        <v>21</v>
      </c>
      <c r="B2340" s="20">
        <v>2026</v>
      </c>
      <c r="C2340" s="20" t="s">
        <v>101</v>
      </c>
      <c r="D2340" s="20">
        <v>851</v>
      </c>
      <c r="E2340" s="20">
        <v>0</v>
      </c>
      <c r="F2340" s="22">
        <f>IFERROR(E2340/D2340*100,"")</f>
        <v>0</v>
      </c>
      <c r="G2340" s="23">
        <f>IFERROR(INDEX(Population_by_Province_Year!$B$5:$J$29,MATCH($A2340,Population_by_Province_Year!$A$5:$A$29,0),MATCH($B2340,Population_by_Province_Year!$B$4:$J$4,0)),"")</f>
        <v>481084</v>
      </c>
      <c r="H2340" s="22">
        <f>IFERROR(D2340/G2340*100000,"")</f>
        <v>176.89218514853957</v>
      </c>
    </row>
    <row r="2341" spans="1:8" ht="15" customHeight="1" x14ac:dyDescent="0.3">
      <c r="A2341" s="20" t="s">
        <v>22</v>
      </c>
      <c r="B2341" s="20">
        <v>2026</v>
      </c>
      <c r="C2341" s="20" t="s">
        <v>101</v>
      </c>
      <c r="D2341" s="20">
        <v>778</v>
      </c>
      <c r="E2341" s="20">
        <v>1</v>
      </c>
      <c r="F2341" s="22">
        <f>IFERROR(E2341/D2341*100,"")</f>
        <v>0.12853470437017994</v>
      </c>
      <c r="G2341" s="23">
        <f>IFERROR(INDEX(Population_by_Province_Year!$B$5:$J$29,MATCH($A2341,Population_by_Province_Year!$A$5:$A$29,0),MATCH($B2341,Population_by_Province_Year!$B$4:$J$4,0)),"")</f>
        <v>249108</v>
      </c>
      <c r="H2341" s="22">
        <f>IFERROR(D2341/G2341*100000,"")</f>
        <v>312.31433755640126</v>
      </c>
    </row>
    <row r="2342" spans="1:8" ht="15" customHeight="1" x14ac:dyDescent="0.3">
      <c r="A2342" s="20" t="s">
        <v>23</v>
      </c>
      <c r="B2342" s="20">
        <v>2026</v>
      </c>
      <c r="C2342" s="20" t="s">
        <v>101</v>
      </c>
      <c r="D2342" s="20">
        <v>1867</v>
      </c>
      <c r="E2342" s="20">
        <v>4</v>
      </c>
      <c r="F2342" s="22">
        <f>IFERROR(E2342/D2342*100,"")</f>
        <v>0.21424745581146223</v>
      </c>
      <c r="G2342" s="23">
        <f>IFERROR(INDEX(Population_by_Province_Year!$B$5:$J$29,MATCH($A2342,Population_by_Province_Year!$A$5:$A$29,0),MATCH($B2342,Population_by_Province_Year!$B$4:$J$4,0)),"")</f>
        <v>1161876</v>
      </c>
      <c r="H2342" s="22">
        <f>IFERROR(D2342/G2342*100000,"")</f>
        <v>160.68840392606441</v>
      </c>
    </row>
    <row r="2343" spans="1:8" ht="15" customHeight="1" x14ac:dyDescent="0.3">
      <c r="A2343" s="20" t="s">
        <v>24</v>
      </c>
      <c r="B2343" s="20">
        <v>2026</v>
      </c>
      <c r="C2343" s="20" t="s">
        <v>101</v>
      </c>
      <c r="D2343" s="20">
        <v>268</v>
      </c>
      <c r="E2343" s="20">
        <v>0</v>
      </c>
      <c r="F2343" s="22">
        <f>IFERROR(E2343/D2343*100,"")</f>
        <v>0</v>
      </c>
      <c r="G2343" s="23">
        <f>IFERROR(INDEX(Population_by_Province_Year!$B$5:$J$29,MATCH($A2343,Population_by_Province_Year!$A$5:$A$29,0),MATCH($B2343,Population_by_Province_Year!$B$4:$J$4,0)),"")</f>
        <v>189836</v>
      </c>
      <c r="H2343" s="22">
        <f>IFERROR(D2343/G2343*100000,"")</f>
        <v>141.17448745232727</v>
      </c>
    </row>
    <row r="2344" spans="1:8" ht="15" customHeight="1" x14ac:dyDescent="0.3">
      <c r="A2344" s="20" t="s">
        <v>25</v>
      </c>
      <c r="B2344" s="20">
        <v>2026</v>
      </c>
      <c r="C2344" s="20" t="s">
        <v>101</v>
      </c>
      <c r="D2344" s="20">
        <v>219</v>
      </c>
      <c r="E2344" s="20">
        <v>0</v>
      </c>
      <c r="F2344" s="22">
        <f>IFERROR(E2344/D2344*100,"")</f>
        <v>0</v>
      </c>
      <c r="G2344" s="23">
        <f>IFERROR(INDEX(Population_by_Province_Year!$B$5:$J$29,MATCH($A2344,Population_by_Province_Year!$A$5:$A$29,0),MATCH($B2344,Population_by_Province_Year!$B$4:$J$4,0)),"")</f>
        <v>601993</v>
      </c>
      <c r="H2344" s="22">
        <f>IFERROR(D2344/G2344*100000,"")</f>
        <v>36.379160555023063</v>
      </c>
    </row>
    <row r="2345" spans="1:8" ht="15" customHeight="1" x14ac:dyDescent="0.3">
      <c r="A2345" s="20" t="s">
        <v>26</v>
      </c>
      <c r="B2345" s="20">
        <v>2026</v>
      </c>
      <c r="C2345" s="20" t="s">
        <v>101</v>
      </c>
      <c r="D2345" s="20">
        <v>612</v>
      </c>
      <c r="E2345" s="20">
        <v>0</v>
      </c>
      <c r="F2345" s="22">
        <f>IFERROR(E2345/D2345*100,"")</f>
        <v>0</v>
      </c>
      <c r="G2345" s="23">
        <f>IFERROR(INDEX(Population_by_Province_Year!$B$5:$J$29,MATCH($A2345,Population_by_Province_Year!$A$5:$A$29,0),MATCH($B2345,Population_by_Province_Year!$B$4:$J$4,0)),"")</f>
        <v>1032060</v>
      </c>
      <c r="H2345" s="22">
        <f>IFERROR(D2345/G2345*100000,"")</f>
        <v>59.298877972210917</v>
      </c>
    </row>
    <row r="2346" spans="1:8" ht="15" customHeight="1" x14ac:dyDescent="0.3">
      <c r="A2346" s="20" t="s">
        <v>27</v>
      </c>
      <c r="B2346" s="20">
        <v>2026</v>
      </c>
      <c r="C2346" s="20" t="s">
        <v>101</v>
      </c>
      <c r="D2346" s="20">
        <v>1372</v>
      </c>
      <c r="E2346" s="20">
        <v>0</v>
      </c>
      <c r="F2346" s="22">
        <f>IFERROR(E2346/D2346*100,"")</f>
        <v>0</v>
      </c>
      <c r="G2346" s="23">
        <f>IFERROR(INDEX(Population_by_Province_Year!$B$5:$J$29,MATCH($A2346,Population_by_Province_Year!$A$5:$A$29,0),MATCH($B2346,Population_by_Province_Year!$B$4:$J$4,0)),"")</f>
        <v>889926</v>
      </c>
      <c r="H2346" s="22">
        <f>IFERROR(D2346/G2346*100000,"")</f>
        <v>154.17012201014467</v>
      </c>
    </row>
    <row r="2347" spans="1:8" ht="15" customHeight="1" x14ac:dyDescent="0.3">
      <c r="A2347" s="21" t="s">
        <v>3</v>
      </c>
      <c r="B2347" s="21">
        <v>2026</v>
      </c>
      <c r="C2347" s="21" t="s">
        <v>97</v>
      </c>
      <c r="D2347" s="21">
        <v>675</v>
      </c>
      <c r="E2347" s="21">
        <v>1</v>
      </c>
      <c r="F2347" s="20">
        <f>IFERROR(E2347/D2347*100,"")</f>
        <v>0.14814814814814814</v>
      </c>
      <c r="G2347" s="20">
        <f>IFERROR(INDEX(Population_by_Province_Year!$B$5:$J$29,MATCH($A2347,Population_by_Province_Year!$A$5:$A$29,0),MATCH($B2347,Population_by_Province_Year!$B$4:$J$4,0)),"")</f>
        <v>987347</v>
      </c>
      <c r="H2347" s="20">
        <f>IFERROR(D2347/G2347*100000,"")</f>
        <v>68.365022631354535</v>
      </c>
    </row>
    <row r="2348" spans="1:8" ht="15" customHeight="1" x14ac:dyDescent="0.3">
      <c r="A2348" s="21" t="s">
        <v>4</v>
      </c>
      <c r="B2348" s="21">
        <v>2026</v>
      </c>
      <c r="C2348" s="21" t="s">
        <v>97</v>
      </c>
      <c r="D2348" s="21">
        <v>968</v>
      </c>
      <c r="E2348" s="21">
        <v>1</v>
      </c>
      <c r="F2348" s="20">
        <f>IFERROR(E2348/D2348*100,"")</f>
        <v>0.10330578512396695</v>
      </c>
      <c r="G2348" s="20">
        <f>IFERROR(INDEX(Population_by_Province_Year!$B$5:$J$29,MATCH($A2348,Population_by_Province_Year!$A$5:$A$29,0),MATCH($B2348,Population_by_Province_Year!$B$4:$J$4,0)),"")</f>
        <v>1142327</v>
      </c>
      <c r="H2348" s="20">
        <f>IFERROR(D2348/G2348*100000,"")</f>
        <v>84.739308446705721</v>
      </c>
    </row>
    <row r="2349" spans="1:8" ht="15" customHeight="1" x14ac:dyDescent="0.3">
      <c r="A2349" s="21" t="s">
        <v>5</v>
      </c>
      <c r="B2349" s="21">
        <v>2026</v>
      </c>
      <c r="C2349" s="21" t="s">
        <v>97</v>
      </c>
      <c r="D2349" s="21">
        <v>1161</v>
      </c>
      <c r="E2349" s="21">
        <v>1</v>
      </c>
      <c r="F2349" s="20">
        <f>IFERROR(E2349/D2349*100,"")</f>
        <v>8.6132644272179162E-2</v>
      </c>
      <c r="G2349" s="20">
        <f>IFERROR(INDEX(Population_by_Province_Year!$B$5:$J$29,MATCH($A2349,Population_by_Province_Year!$A$5:$A$29,0),MATCH($B2349,Population_by_Province_Year!$B$4:$J$4,0)),"")</f>
        <v>1030773</v>
      </c>
      <c r="H2349" s="20">
        <f>IFERROR(D2349/G2349*100000,"")</f>
        <v>112.6339164879173</v>
      </c>
    </row>
    <row r="2350" spans="1:8" ht="15" customHeight="1" x14ac:dyDescent="0.3">
      <c r="A2350" s="21" t="s">
        <v>6</v>
      </c>
      <c r="B2350" s="21">
        <v>2026</v>
      </c>
      <c r="C2350" s="21" t="s">
        <v>97</v>
      </c>
      <c r="D2350" s="21">
        <v>638</v>
      </c>
      <c r="E2350" s="21">
        <v>1</v>
      </c>
      <c r="F2350" s="20">
        <f>IFERROR(E2350/D2350*100,"")</f>
        <v>0.15673981191222569</v>
      </c>
      <c r="G2350" s="20">
        <f>IFERROR(INDEX(Population_by_Province_Year!$B$5:$J$29,MATCH($A2350,Population_by_Province_Year!$A$5:$A$29,0),MATCH($B2350,Population_by_Province_Year!$B$4:$J$4,0)),"")</f>
        <v>603746</v>
      </c>
      <c r="H2350" s="20">
        <f>IFERROR(D2350/G2350*100000,"")</f>
        <v>105.67357796159311</v>
      </c>
    </row>
    <row r="2351" spans="1:8" ht="15" customHeight="1" x14ac:dyDescent="0.3">
      <c r="A2351" s="21" t="s">
        <v>7</v>
      </c>
      <c r="B2351" s="21">
        <v>2026</v>
      </c>
      <c r="C2351" s="21" t="s">
        <v>97</v>
      </c>
      <c r="D2351" s="21">
        <v>1034</v>
      </c>
      <c r="E2351" s="21">
        <v>1</v>
      </c>
      <c r="F2351" s="20">
        <f>IFERROR(E2351/D2351*100,"")</f>
        <v>9.6711798839458421E-2</v>
      </c>
      <c r="G2351" s="20">
        <f>IFERROR(INDEX(Population_by_Province_Year!$B$5:$J$29,MATCH($A2351,Population_by_Province_Year!$A$5:$A$29,0),MATCH($B2351,Population_by_Province_Year!$B$4:$J$4,0)),"")</f>
        <v>1005264</v>
      </c>
      <c r="H2351" s="20">
        <f>IFERROR(D2351/G2351*100000,"")</f>
        <v>102.85855257922297</v>
      </c>
    </row>
    <row r="2352" spans="1:8" ht="15" customHeight="1" x14ac:dyDescent="0.3">
      <c r="A2352" s="21" t="s">
        <v>8</v>
      </c>
      <c r="B2352" s="21">
        <v>2026</v>
      </c>
      <c r="C2352" s="21" t="s">
        <v>97</v>
      </c>
      <c r="D2352" s="21">
        <v>845</v>
      </c>
      <c r="E2352" s="21">
        <v>2</v>
      </c>
      <c r="F2352" s="20">
        <f>IFERROR(E2352/D2352*100,"")</f>
        <v>0.23668639053254439</v>
      </c>
      <c r="G2352" s="20">
        <f>IFERROR(INDEX(Population_by_Province_Year!$B$5:$J$29,MATCH($A2352,Population_by_Province_Year!$A$5:$A$29,0),MATCH($B2352,Population_by_Province_Year!$B$4:$J$4,0)),"")</f>
        <v>780762</v>
      </c>
      <c r="H2352" s="20">
        <f>IFERROR(D2352/G2352*100000,"")</f>
        <v>108.22760329011913</v>
      </c>
    </row>
    <row r="2353" spans="1:8" ht="15" customHeight="1" x14ac:dyDescent="0.3">
      <c r="A2353" s="21" t="s">
        <v>9</v>
      </c>
      <c r="B2353" s="21">
        <v>2026</v>
      </c>
      <c r="C2353" s="21" t="s">
        <v>97</v>
      </c>
      <c r="D2353" s="21">
        <v>215</v>
      </c>
      <c r="E2353" s="21">
        <v>0</v>
      </c>
      <c r="F2353" s="20">
        <f>IFERROR(E2353/D2353*100,"")</f>
        <v>0</v>
      </c>
      <c r="G2353" s="20">
        <f>IFERROR(INDEX(Population_by_Province_Year!$B$5:$J$29,MATCH($A2353,Population_by_Province_Year!$A$5:$A$29,0),MATCH($B2353,Population_by_Province_Year!$B$4:$J$4,0)),"")</f>
        <v>680273</v>
      </c>
      <c r="H2353" s="20">
        <f>IFERROR(D2353/G2353*100000,"")</f>
        <v>31.604958597504236</v>
      </c>
    </row>
    <row r="2354" spans="1:8" ht="15" customHeight="1" x14ac:dyDescent="0.3">
      <c r="A2354" s="21" t="s">
        <v>10</v>
      </c>
      <c r="B2354" s="21">
        <v>2026</v>
      </c>
      <c r="C2354" s="21" t="s">
        <v>97</v>
      </c>
      <c r="D2354" s="21">
        <v>1129</v>
      </c>
      <c r="E2354" s="21">
        <v>3</v>
      </c>
      <c r="F2354" s="20">
        <f>IFERROR(E2354/D2354*100,"")</f>
        <v>0.26572187776793621</v>
      </c>
      <c r="G2354" s="20">
        <f>IFERROR(INDEX(Population_by_Province_Year!$B$5:$J$29,MATCH($A2354,Population_by_Province_Year!$A$5:$A$29,0),MATCH($B2354,Population_by_Province_Year!$B$4:$J$4,0)),"")</f>
        <v>1376495</v>
      </c>
      <c r="H2354" s="20">
        <f>IFERROR(D2354/G2354*100000,"")</f>
        <v>82.019912894707204</v>
      </c>
    </row>
    <row r="2355" spans="1:8" ht="15" customHeight="1" x14ac:dyDescent="0.3">
      <c r="A2355" s="21" t="s">
        <v>11</v>
      </c>
      <c r="B2355" s="21">
        <v>2026</v>
      </c>
      <c r="C2355" s="21" t="s">
        <v>97</v>
      </c>
      <c r="D2355" s="21">
        <v>41</v>
      </c>
      <c r="E2355" s="21">
        <v>0</v>
      </c>
      <c r="F2355" s="20">
        <f>IFERROR(E2355/D2355*100,"")</f>
        <v>0</v>
      </c>
      <c r="G2355" s="20">
        <f>IFERROR(INDEX(Population_by_Province_Year!$B$5:$J$29,MATCH($A2355,Population_by_Province_Year!$A$5:$A$29,0),MATCH($B2355,Population_by_Province_Year!$B$4:$J$4,0)),"")</f>
        <v>48876</v>
      </c>
      <c r="H2355" s="20">
        <f>IFERROR(D2355/G2355*100000,"")</f>
        <v>83.885751698174971</v>
      </c>
    </row>
    <row r="2356" spans="1:8" ht="15" customHeight="1" x14ac:dyDescent="0.3">
      <c r="A2356" s="21" t="s">
        <v>12</v>
      </c>
      <c r="B2356" s="21">
        <v>2026</v>
      </c>
      <c r="C2356" s="21" t="s">
        <v>97</v>
      </c>
      <c r="D2356" s="21">
        <v>97</v>
      </c>
      <c r="E2356" s="21">
        <v>0</v>
      </c>
      <c r="F2356" s="20">
        <f>IFERROR(E2356/D2356*100,"")</f>
        <v>0</v>
      </c>
      <c r="G2356" s="20">
        <f>IFERROR(INDEX(Population_by_Province_Year!$B$5:$J$29,MATCH($A2356,Population_by_Province_Year!$A$5:$A$29,0),MATCH($B2356,Population_by_Province_Year!$B$4:$J$4,0)),"")</f>
        <v>144230</v>
      </c>
      <c r="H2356" s="20">
        <f>IFERROR(D2356/G2356*100000,"")</f>
        <v>67.253692019690774</v>
      </c>
    </row>
    <row r="2357" spans="1:8" ht="15" customHeight="1" x14ac:dyDescent="0.3">
      <c r="A2357" s="21" t="s">
        <v>13</v>
      </c>
      <c r="B2357" s="21">
        <v>2026</v>
      </c>
      <c r="C2357" s="21" t="s">
        <v>97</v>
      </c>
      <c r="D2357" s="21">
        <v>342</v>
      </c>
      <c r="E2357" s="21">
        <v>0</v>
      </c>
      <c r="F2357" s="20">
        <f>IFERROR(E2357/D2357*100,"")</f>
        <v>0</v>
      </c>
      <c r="G2357" s="20">
        <f>IFERROR(INDEX(Population_by_Province_Year!$B$5:$J$29,MATCH($A2357,Population_by_Province_Year!$A$5:$A$29,0),MATCH($B2357,Population_by_Province_Year!$B$4:$J$4,0)),"")</f>
        <v>429308</v>
      </c>
      <c r="H2357" s="20">
        <f>IFERROR(D2357/G2357*100000,"")</f>
        <v>79.663085710026365</v>
      </c>
    </row>
    <row r="2358" spans="1:8" ht="15" customHeight="1" x14ac:dyDescent="0.3">
      <c r="A2358" s="21" t="s">
        <v>14</v>
      </c>
      <c r="B2358" s="21">
        <v>2026</v>
      </c>
      <c r="C2358" s="21" t="s">
        <v>97</v>
      </c>
      <c r="D2358" s="21">
        <v>265</v>
      </c>
      <c r="E2358" s="21">
        <v>0</v>
      </c>
      <c r="F2358" s="20">
        <f>IFERROR(E2358/D2358*100,"")</f>
        <v>0</v>
      </c>
      <c r="G2358" s="20">
        <f>IFERROR(INDEX(Population_by_Province_Year!$B$5:$J$29,MATCH($A2358,Population_by_Province_Year!$A$5:$A$29,0),MATCH($B2358,Population_by_Province_Year!$B$4:$J$4,0)),"")</f>
        <v>105636</v>
      </c>
      <c r="H2358" s="20">
        <f>IFERROR(D2358/G2358*100000,"")</f>
        <v>250.86144874853269</v>
      </c>
    </row>
    <row r="2359" spans="1:8" ht="15" customHeight="1" x14ac:dyDescent="0.3">
      <c r="A2359" s="21" t="s">
        <v>15</v>
      </c>
      <c r="B2359" s="21">
        <v>2026</v>
      </c>
      <c r="C2359" s="21" t="s">
        <v>97</v>
      </c>
      <c r="D2359" s="21">
        <v>128</v>
      </c>
      <c r="E2359" s="21">
        <v>0</v>
      </c>
      <c r="F2359" s="20">
        <f>IFERROR(E2359/D2359*100,"")</f>
        <v>0</v>
      </c>
      <c r="G2359" s="20">
        <f>IFERROR(INDEX(Population_by_Province_Year!$B$5:$J$29,MATCH($A2359,Population_by_Province_Year!$A$5:$A$29,0),MATCH($B2359,Population_by_Province_Year!$B$4:$J$4,0)),"")</f>
        <v>316221</v>
      </c>
      <c r="H2359" s="20">
        <f>IFERROR(D2359/G2359*100000,"")</f>
        <v>40.478020118840938</v>
      </c>
    </row>
    <row r="2360" spans="1:8" ht="15" customHeight="1" x14ac:dyDescent="0.3">
      <c r="A2360" s="21" t="s">
        <v>16</v>
      </c>
      <c r="B2360" s="21">
        <v>2026</v>
      </c>
      <c r="C2360" s="21" t="s">
        <v>97</v>
      </c>
      <c r="D2360" s="21">
        <v>28</v>
      </c>
      <c r="E2360" s="21">
        <v>0</v>
      </c>
      <c r="F2360" s="20">
        <f>IFERROR(E2360/D2360*100,"")</f>
        <v>0</v>
      </c>
      <c r="G2360" s="20">
        <f>IFERROR(INDEX(Population_by_Province_Year!$B$5:$J$29,MATCH($A2360,Population_by_Province_Year!$A$5:$A$29,0),MATCH($B2360,Population_by_Province_Year!$B$4:$J$4,0)),"")</f>
        <v>86046</v>
      </c>
      <c r="H2360" s="20">
        <f>IFERROR(D2360/G2360*100000,"")</f>
        <v>32.540734025986104</v>
      </c>
    </row>
    <row r="2361" spans="1:8" ht="15" customHeight="1" x14ac:dyDescent="0.3">
      <c r="A2361" s="21" t="s">
        <v>17</v>
      </c>
      <c r="B2361" s="21">
        <v>2026</v>
      </c>
      <c r="C2361" s="21" t="s">
        <v>97</v>
      </c>
      <c r="D2361" s="21">
        <v>557</v>
      </c>
      <c r="E2361" s="21">
        <v>1</v>
      </c>
      <c r="F2361" s="20">
        <f>IFERROR(E2361/D2361*100,"")</f>
        <v>0.17953321364452424</v>
      </c>
      <c r="G2361" s="20">
        <f>IFERROR(INDEX(Population_by_Province_Year!$B$5:$J$29,MATCH($A2361,Population_by_Province_Year!$A$5:$A$29,0),MATCH($B2361,Population_by_Province_Year!$B$4:$J$4,0)),"")</f>
        <v>2614134</v>
      </c>
      <c r="H2361" s="20">
        <f>IFERROR(D2361/G2361*100000,"")</f>
        <v>21.307247447912005</v>
      </c>
    </row>
    <row r="2362" spans="1:8" ht="15" customHeight="1" x14ac:dyDescent="0.3">
      <c r="A2362" s="21" t="s">
        <v>18</v>
      </c>
      <c r="B2362" s="21">
        <v>2026</v>
      </c>
      <c r="C2362" s="21" t="s">
        <v>97</v>
      </c>
      <c r="D2362" s="21">
        <v>251</v>
      </c>
      <c r="E2362" s="21">
        <v>1</v>
      </c>
      <c r="F2362" s="20">
        <f>IFERROR(E2362/D2362*100,"")</f>
        <v>0.39840637450199201</v>
      </c>
      <c r="G2362" s="20">
        <f>IFERROR(INDEX(Population_by_Province_Year!$B$5:$J$29,MATCH($A2362,Population_by_Province_Year!$A$5:$A$29,0),MATCH($B2362,Population_by_Province_Year!$B$4:$J$4,0)),"")</f>
        <v>355209</v>
      </c>
      <c r="H2362" s="20">
        <f>IFERROR(D2362/G2362*100000,"")</f>
        <v>70.662623976306918</v>
      </c>
    </row>
    <row r="2363" spans="1:8" ht="15" customHeight="1" x14ac:dyDescent="0.3">
      <c r="A2363" s="21" t="s">
        <v>19</v>
      </c>
      <c r="B2363" s="21">
        <v>2026</v>
      </c>
      <c r="C2363" s="21" t="s">
        <v>97</v>
      </c>
      <c r="D2363" s="21">
        <v>298</v>
      </c>
      <c r="E2363" s="21">
        <v>0</v>
      </c>
      <c r="F2363" s="20">
        <f>IFERROR(E2363/D2363*100,"")</f>
        <v>0</v>
      </c>
      <c r="G2363" s="20">
        <f>IFERROR(INDEX(Population_by_Province_Year!$B$5:$J$29,MATCH($A2363,Population_by_Province_Year!$A$5:$A$29,0),MATCH($B2363,Population_by_Province_Year!$B$4:$J$4,0)),"")</f>
        <v>291922</v>
      </c>
      <c r="H2363" s="20">
        <f>IFERROR(D2363/G2363*100000,"")</f>
        <v>102.08206301683326</v>
      </c>
    </row>
    <row r="2364" spans="1:8" ht="15" customHeight="1" x14ac:dyDescent="0.3">
      <c r="A2364" s="21" t="s">
        <v>20</v>
      </c>
      <c r="B2364" s="21">
        <v>2026</v>
      </c>
      <c r="C2364" s="21" t="s">
        <v>97</v>
      </c>
      <c r="D2364" s="21">
        <v>306</v>
      </c>
      <c r="E2364" s="21">
        <v>1</v>
      </c>
      <c r="F2364" s="20">
        <f>IFERROR(E2364/D2364*100,"")</f>
        <v>0.32679738562091504</v>
      </c>
      <c r="G2364" s="20">
        <f>IFERROR(INDEX(Population_by_Province_Year!$B$5:$J$29,MATCH($A2364,Population_by_Province_Year!$A$5:$A$29,0),MATCH($B2364,Population_by_Province_Year!$B$4:$J$4,0)),"")</f>
        <v>1211692</v>
      </c>
      <c r="H2364" s="20">
        <f>IFERROR(D2364/G2364*100000,"")</f>
        <v>25.253942421011281</v>
      </c>
    </row>
    <row r="2365" spans="1:8" ht="15" customHeight="1" x14ac:dyDescent="0.3">
      <c r="A2365" s="21" t="s">
        <v>21</v>
      </c>
      <c r="B2365" s="21">
        <v>2026</v>
      </c>
      <c r="C2365" s="21" t="s">
        <v>97</v>
      </c>
      <c r="D2365" s="21">
        <v>362</v>
      </c>
      <c r="E2365" s="21">
        <v>0</v>
      </c>
      <c r="F2365" s="20">
        <f>IFERROR(E2365/D2365*100,"")</f>
        <v>0</v>
      </c>
      <c r="G2365" s="20">
        <f>IFERROR(INDEX(Population_by_Province_Year!$B$5:$J$29,MATCH($A2365,Population_by_Province_Year!$A$5:$A$29,0),MATCH($B2365,Population_by_Province_Year!$B$4:$J$4,0)),"")</f>
        <v>481084</v>
      </c>
      <c r="H2365" s="20">
        <f>IFERROR(D2365/G2365*100000,"")</f>
        <v>75.246734458015638</v>
      </c>
    </row>
    <row r="2366" spans="1:8" ht="15" customHeight="1" x14ac:dyDescent="0.3">
      <c r="A2366" s="21" t="s">
        <v>22</v>
      </c>
      <c r="B2366" s="21">
        <v>2026</v>
      </c>
      <c r="C2366" s="21" t="s">
        <v>97</v>
      </c>
      <c r="D2366" s="21">
        <v>471</v>
      </c>
      <c r="E2366" s="21">
        <v>0</v>
      </c>
      <c r="F2366" s="20">
        <f>IFERROR(E2366/D2366*100,"")</f>
        <v>0</v>
      </c>
      <c r="G2366" s="20">
        <f>IFERROR(INDEX(Population_by_Province_Year!$B$5:$J$29,MATCH($A2366,Population_by_Province_Year!$A$5:$A$29,0),MATCH($B2366,Population_by_Province_Year!$B$4:$J$4,0)),"")</f>
        <v>249108</v>
      </c>
      <c r="H2366" s="20">
        <f>IFERROR(D2366/G2366*100000,"")</f>
        <v>189.07461823787273</v>
      </c>
    </row>
    <row r="2367" spans="1:8" ht="15" customHeight="1" x14ac:dyDescent="0.3">
      <c r="A2367" s="21" t="s">
        <v>23</v>
      </c>
      <c r="B2367" s="21">
        <v>2026</v>
      </c>
      <c r="C2367" s="21" t="s">
        <v>97</v>
      </c>
      <c r="D2367" s="21">
        <v>1409</v>
      </c>
      <c r="E2367" s="21">
        <v>0</v>
      </c>
      <c r="F2367" s="20">
        <f>IFERROR(E2367/D2367*100,"")</f>
        <v>0</v>
      </c>
      <c r="G2367" s="20">
        <f>IFERROR(INDEX(Population_by_Province_Year!$B$5:$J$29,MATCH($A2367,Population_by_Province_Year!$A$5:$A$29,0),MATCH($B2367,Population_by_Province_Year!$B$4:$J$4,0)),"")</f>
        <v>1161876</v>
      </c>
      <c r="H2367" s="20">
        <f>IFERROR(D2367/G2367*100000,"")</f>
        <v>121.26939535716376</v>
      </c>
    </row>
    <row r="2368" spans="1:8" ht="15" customHeight="1" x14ac:dyDescent="0.3">
      <c r="A2368" s="21" t="s">
        <v>24</v>
      </c>
      <c r="B2368" s="21">
        <v>2026</v>
      </c>
      <c r="C2368" s="21" t="s">
        <v>97</v>
      </c>
      <c r="D2368" s="21">
        <v>67</v>
      </c>
      <c r="E2368" s="21">
        <v>1</v>
      </c>
      <c r="F2368" s="20">
        <f>IFERROR(E2368/D2368*100,"")</f>
        <v>1.4925373134328357</v>
      </c>
      <c r="G2368" s="20">
        <f>IFERROR(INDEX(Population_by_Province_Year!$B$5:$J$29,MATCH($A2368,Population_by_Province_Year!$A$5:$A$29,0),MATCH($B2368,Population_by_Province_Year!$B$4:$J$4,0)),"")</f>
        <v>189836</v>
      </c>
      <c r="H2368" s="20">
        <f>IFERROR(D2368/G2368*100000,"")</f>
        <v>35.293621863081817</v>
      </c>
    </row>
    <row r="2369" spans="1:8" ht="15" customHeight="1" x14ac:dyDescent="0.3">
      <c r="A2369" s="21" t="s">
        <v>25</v>
      </c>
      <c r="B2369" s="21">
        <v>2026</v>
      </c>
      <c r="C2369" s="21" t="s">
        <v>97</v>
      </c>
      <c r="D2369" s="21">
        <v>187</v>
      </c>
      <c r="E2369" s="21">
        <v>0</v>
      </c>
      <c r="F2369" s="20">
        <f>IFERROR(E2369/D2369*100,"")</f>
        <v>0</v>
      </c>
      <c r="G2369" s="20">
        <f>IFERROR(INDEX(Population_by_Province_Year!$B$5:$J$29,MATCH($A2369,Population_by_Province_Year!$A$5:$A$29,0),MATCH($B2369,Population_by_Province_Year!$B$4:$J$4,0)),"")</f>
        <v>601993</v>
      </c>
      <c r="H2369" s="20">
        <f>IFERROR(D2369/G2369*100000,"")</f>
        <v>31.06348412689184</v>
      </c>
    </row>
    <row r="2370" spans="1:8" ht="15" customHeight="1" x14ac:dyDescent="0.3">
      <c r="A2370" s="21" t="s">
        <v>26</v>
      </c>
      <c r="B2370" s="21">
        <v>2026</v>
      </c>
      <c r="C2370" s="21" t="s">
        <v>97</v>
      </c>
      <c r="D2370" s="21">
        <v>224</v>
      </c>
      <c r="E2370" s="21">
        <v>0</v>
      </c>
      <c r="F2370" s="20">
        <f>IFERROR(E2370/D2370*100,"")</f>
        <v>0</v>
      </c>
      <c r="G2370" s="20">
        <f>IFERROR(INDEX(Population_by_Province_Year!$B$5:$J$29,MATCH($A2370,Population_by_Province_Year!$A$5:$A$29,0),MATCH($B2370,Population_by_Province_Year!$B$4:$J$4,0)),"")</f>
        <v>1032060</v>
      </c>
      <c r="H2370" s="20">
        <f>IFERROR(D2370/G2370*100000,"")</f>
        <v>21.70416448656086</v>
      </c>
    </row>
    <row r="2371" spans="1:8" ht="15" customHeight="1" x14ac:dyDescent="0.3">
      <c r="A2371" s="21" t="s">
        <v>27</v>
      </c>
      <c r="B2371" s="21">
        <v>2026</v>
      </c>
      <c r="C2371" s="21" t="s">
        <v>97</v>
      </c>
      <c r="D2371" s="21">
        <v>256</v>
      </c>
      <c r="E2371" s="21">
        <v>1</v>
      </c>
      <c r="F2371" s="20">
        <f>IFERROR(E2371/D2371*100,"")</f>
        <v>0.390625</v>
      </c>
      <c r="G2371" s="20">
        <f>IFERROR(INDEX(Population_by_Province_Year!$B$5:$J$29,MATCH($A2371,Population_by_Province_Year!$A$5:$A$29,0),MATCH($B2371,Population_by_Province_Year!$B$4:$J$4,0)),"")</f>
        <v>889926</v>
      </c>
      <c r="H2371" s="20">
        <f>IFERROR(D2371/G2371*100000,"")</f>
        <v>28.766436759910373</v>
      </c>
    </row>
  </sheetData>
  <autoFilter ref="A4:H2371" xr:uid="{00000000-0009-0000-0000-000003000000}"/>
  <dataValidations count="3">
    <dataValidation type="list" allowBlank="1" showErrorMessage="1" errorTitle="Invalid month" error="Use 3-letter month abbreviation." sqref="C6:C2371" xr:uid="{00000000-0002-0000-0300-000000000000}">
      <formula1>"Jan,Feb,Mar,Apr,May,Jun,Jul,Aug,Sep,Oct,Nov,Dec"</formula1>
      <formula2>0</formula2>
    </dataValidation>
    <dataValidation type="whole" allowBlank="1" showErrorMessage="1" errorTitle="Invalid year" error="Year must be between 2018 and 2035." sqref="B6:B2371" xr:uid="{00000000-0002-0000-0300-000001000000}">
      <formula1>2018</formula1>
      <formula2>2035</formula2>
    </dataValidation>
    <dataValidation type="whole" operator="greaterThanOrEqual" allowBlank="1" showErrorMessage="1" errorTitle="Invalid value" error="Must be zero or a positive whole number." sqref="D6:E2371" xr:uid="{00000000-0002-0000-0300-000002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showGridLines="0" zoomScaleNormal="100" workbookViewId="0"/>
  </sheetViews>
  <sheetFormatPr defaultColWidth="8.6640625" defaultRowHeight="14.4" x14ac:dyDescent="0.3"/>
  <cols>
    <col min="1" max="1" width="4" customWidth="1"/>
    <col min="2" max="2" width="42" customWidth="1"/>
    <col min="3" max="3" width="22" customWidth="1"/>
    <col min="4" max="4" width="26" customWidth="1"/>
    <col min="5" max="5" width="48" customWidth="1"/>
  </cols>
  <sheetData>
    <row r="1" spans="1:5" ht="19.5" customHeight="1" x14ac:dyDescent="0.4">
      <c r="A1" s="1" t="s">
        <v>109</v>
      </c>
    </row>
    <row r="2" spans="1:5" ht="15" customHeight="1" x14ac:dyDescent="0.3">
      <c r="A2" s="18" t="s">
        <v>110</v>
      </c>
    </row>
    <row r="4" spans="1:5" ht="15" customHeight="1" x14ac:dyDescent="0.3">
      <c r="A4" s="12" t="s">
        <v>111</v>
      </c>
      <c r="B4" s="12" t="s">
        <v>112</v>
      </c>
      <c r="C4" s="12" t="s">
        <v>113</v>
      </c>
      <c r="D4" s="12" t="s">
        <v>114</v>
      </c>
      <c r="E4" s="12" t="s">
        <v>115</v>
      </c>
    </row>
    <row r="5" spans="1:5" ht="31.5" customHeight="1" x14ac:dyDescent="0.3">
      <c r="A5" s="20" t="s">
        <v>116</v>
      </c>
      <c r="B5" s="24" t="s">
        <v>117</v>
      </c>
      <c r="C5" s="20" t="s">
        <v>118</v>
      </c>
      <c r="D5" s="15" t="str">
        <f>IF(COUNTIFS(National_Monthly_Entry!$A$6:$A$2371,"&lt;&gt;",National_Monthly_Entry!$D$6:$D$2371,"")&gt;0,"FLAG: check rows","OK")</f>
        <v>OK</v>
      </c>
      <c r="E5" s="25" t="s">
        <v>119</v>
      </c>
    </row>
    <row r="6" spans="1:5" ht="31.5" customHeight="1" x14ac:dyDescent="0.3">
      <c r="A6" s="20" t="s">
        <v>120</v>
      </c>
      <c r="B6" s="24" t="s">
        <v>121</v>
      </c>
      <c r="C6" s="20" t="s">
        <v>118</v>
      </c>
      <c r="D6" s="15" t="str">
        <f>IF(SUMPRODUCT((National_Monthly_Entry!$E$6:$E$2371&gt;National_Monthly_Entry!$D$6:$D$2371)*1)&gt;0,"FLAG: impossible row found","OK")</f>
        <v>OK</v>
      </c>
      <c r="E6" s="25" t="s">
        <v>122</v>
      </c>
    </row>
    <row r="7" spans="1:5" ht="31.5" customHeight="1" x14ac:dyDescent="0.3">
      <c r="A7" s="20" t="s">
        <v>123</v>
      </c>
      <c r="B7" s="24" t="s">
        <v>124</v>
      </c>
      <c r="C7" s="20" t="s">
        <v>118</v>
      </c>
      <c r="D7" s="15" t="str">
        <f>IF(SUMPRODUCT((National_Monthly_Entry!$A$6:$A$2371&lt;&gt;"")*(National_Monthly_Entry!$G$6:$G$2371=""))&gt;0,"FLAG: "&amp;SUMPRODUCT((National_Monthly_Entry!$A$6:$A$2371&lt;&gt;"")*(National_Monthly_Entry!$G$6:$G$2371=""))&amp;" row(s)","OK")</f>
        <v>FLAG: 1 row(s)</v>
      </c>
      <c r="E7" s="25" t="s">
        <v>125</v>
      </c>
    </row>
    <row r="8" spans="1:5" ht="31.5" customHeight="1" x14ac:dyDescent="0.3">
      <c r="A8" s="20" t="s">
        <v>126</v>
      </c>
      <c r="B8" s="24" t="s">
        <v>127</v>
      </c>
      <c r="C8" s="20" t="s">
        <v>118</v>
      </c>
      <c r="D8" s="15" t="str">
        <f>IF(SUMPRODUCT((National_Monthly_Entry!$F$6:$F$2371&lt;&gt;"")*(National_Monthly_Entry!$F$6:$F$2371&gt;5))&gt;0,"FLAG: "&amp;SUMPRODUCT((National_Monthly_Entry!$F$6:$F$2371&lt;&gt;"")*(National_Monthly_Entry!$F$6:$F$2371&gt;5))&amp;" outlier row(s)","OK")</f>
        <v>FLAG: 16 outlier row(s)</v>
      </c>
      <c r="E8" s="25" t="s">
        <v>128</v>
      </c>
    </row>
    <row r="9" spans="1:5" ht="31.5" customHeight="1" x14ac:dyDescent="0.3">
      <c r="A9" s="20" t="s">
        <v>129</v>
      </c>
      <c r="B9" s="24" t="s">
        <v>130</v>
      </c>
      <c r="C9" s="20" t="s">
        <v>118</v>
      </c>
      <c r="D9" s="15" t="str">
        <f>IF(SUMPRODUCT((COUNTIFS(National_Monthly_Entry!$A$6:$A$2371,National_Monthly_Entry!$A$6:$A$2371,National_Monthly_Entry!$B$6:$B$2371,National_Monthly_Entry!$B$6:$B$2371,National_Monthly_Entry!$C$6:$C$2371,National_Monthly_Entry!$C$6:$C$2371)&gt;1)*(National_Monthly_Entry!$A$6:$A$2371&lt;&gt;""))&gt;0,"FLAG: duplicate province/month found","OK")</f>
        <v>OK</v>
      </c>
      <c r="E9" s="25" t="s">
        <v>131</v>
      </c>
    </row>
    <row r="10" spans="1:5" ht="31.5" customHeight="1" x14ac:dyDescent="0.3">
      <c r="A10" s="20" t="s">
        <v>132</v>
      </c>
      <c r="B10" s="24" t="s">
        <v>133</v>
      </c>
      <c r="C10" s="20" t="s">
        <v>118</v>
      </c>
      <c r="D10" s="15" t="str">
        <f>COUNTIF(National_Monthly_Entry!$A$6:$A$2371,"&lt;&gt;")&amp;" rows"</f>
        <v>2366 rows</v>
      </c>
      <c r="E10" s="25" t="s">
        <v>134</v>
      </c>
    </row>
    <row r="11" spans="1:5" ht="31.5" customHeight="1" x14ac:dyDescent="0.3">
      <c r="A11" s="20" t="s">
        <v>135</v>
      </c>
      <c r="B11" s="24" t="s">
        <v>136</v>
      </c>
      <c r="C11" s="20" t="s">
        <v>137</v>
      </c>
      <c r="D11" s="15" t="str">
        <f>COUNTIF(Population_by_Province_Year!$A$5:$A$29,"&lt;&gt;")&amp;" of 25 provinces"</f>
        <v>25 of 25 provinces</v>
      </c>
      <c r="E11" s="25" t="s">
        <v>138</v>
      </c>
    </row>
    <row r="12" spans="1:5" ht="31.5" customHeight="1" x14ac:dyDescent="0.3">
      <c r="A12" s="20" t="s">
        <v>139</v>
      </c>
      <c r="B12" s="24" t="s">
        <v>140</v>
      </c>
      <c r="C12" s="20" t="s">
        <v>141</v>
      </c>
      <c r="D12" s="15" t="str">
        <f>IF(COUNTA(National_AgeGroup_Entry!$A$6:$A$13)=8,"OK","FLAG: expected 8 rows (4 age groups x 2 years)")</f>
        <v>FLAG: expected 8 rows (4 age groups x 2 years)</v>
      </c>
      <c r="E12" s="24" t="s">
        <v>142</v>
      </c>
    </row>
    <row r="13" spans="1:5" ht="31.5" customHeight="1" x14ac:dyDescent="0.3"/>
    <row r="14" spans="1:5" ht="31.5" customHeight="1" x14ac:dyDescent="0.3"/>
    <row r="15" spans="1:5" ht="31.5" customHeight="1" x14ac:dyDescent="0.3"/>
  </sheetData>
  <conditionalFormatting sqref="D5:D15">
    <cfRule type="expression" dxfId="1" priority="2">
      <formula>ISNUMBER(SEARCH("FLAG",D5))</formula>
    </cfRule>
    <cfRule type="expression" dxfId="0" priority="3">
      <formula>ISNUMBER(SEARCH("OK",D5))</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tabSelected="1" zoomScaleNormal="100" workbookViewId="0">
      <pane ySplit="5" topLeftCell="A6" activePane="bottomLeft" state="frozen"/>
      <selection pane="bottomLeft" activeCell="E13" sqref="E13"/>
    </sheetView>
  </sheetViews>
  <sheetFormatPr defaultColWidth="8.6640625" defaultRowHeight="14.4" x14ac:dyDescent="0.3"/>
  <cols>
    <col min="1" max="1" width="12" customWidth="1"/>
    <col min="2" max="2" width="8" customWidth="1"/>
    <col min="3" max="4" width="10" customWidth="1"/>
    <col min="5" max="5" width="15" customWidth="1"/>
    <col min="6" max="8" width="9" customWidth="1"/>
  </cols>
  <sheetData>
    <row r="1" spans="1:8" ht="21" customHeight="1" x14ac:dyDescent="0.4">
      <c r="A1" s="1" t="s">
        <v>143</v>
      </c>
    </row>
    <row r="2" spans="1:8" ht="46.2" customHeight="1" x14ac:dyDescent="0.3">
      <c r="A2" s="33" t="s">
        <v>144</v>
      </c>
      <c r="B2" s="31"/>
      <c r="C2" s="31"/>
      <c r="D2" s="31"/>
      <c r="E2" s="31"/>
      <c r="F2" s="31"/>
      <c r="G2" s="31"/>
      <c r="H2" s="31"/>
    </row>
    <row r="4" spans="1:8" ht="26.4" customHeight="1" x14ac:dyDescent="0.3">
      <c r="A4" s="12" t="s">
        <v>59</v>
      </c>
      <c r="B4" s="12" t="s">
        <v>89</v>
      </c>
      <c r="C4" s="12" t="s">
        <v>91</v>
      </c>
      <c r="D4" s="12" t="s">
        <v>92</v>
      </c>
      <c r="E4" s="12" t="s">
        <v>93</v>
      </c>
      <c r="F4" s="12" t="s">
        <v>61</v>
      </c>
      <c r="G4" s="12" t="s">
        <v>63</v>
      </c>
      <c r="H4" s="12" t="s">
        <v>74</v>
      </c>
    </row>
    <row r="5" spans="1:8" x14ac:dyDescent="0.3">
      <c r="A5" s="20" t="s">
        <v>62</v>
      </c>
      <c r="B5" s="20">
        <v>2026</v>
      </c>
      <c r="C5" s="26">
        <v>11725</v>
      </c>
      <c r="D5" s="26">
        <v>16</v>
      </c>
      <c r="E5" s="20">
        <f>IFERROR(D5/C5*100,"")</f>
        <v>0.13646055437100213</v>
      </c>
      <c r="F5" s="26">
        <v>8884</v>
      </c>
      <c r="G5" s="26">
        <v>2665</v>
      </c>
      <c r="H5" s="26">
        <v>176</v>
      </c>
    </row>
    <row r="6" spans="1:8" x14ac:dyDescent="0.3">
      <c r="A6" s="20" t="s">
        <v>64</v>
      </c>
      <c r="B6" s="20">
        <v>2026</v>
      </c>
      <c r="C6" s="26">
        <v>20152</v>
      </c>
      <c r="D6" s="26">
        <v>36</v>
      </c>
      <c r="E6" s="20">
        <f>IFERROR(D6/C6*100,"")</f>
        <v>0.17864231838030964</v>
      </c>
      <c r="F6" s="26">
        <v>14272</v>
      </c>
      <c r="G6" s="26">
        <v>5331</v>
      </c>
      <c r="H6" s="26">
        <v>549</v>
      </c>
    </row>
    <row r="7" spans="1:8" x14ac:dyDescent="0.3">
      <c r="A7" s="20" t="s">
        <v>66</v>
      </c>
      <c r="B7" s="20">
        <v>2026</v>
      </c>
      <c r="C7" s="26">
        <v>19555</v>
      </c>
      <c r="D7" s="26">
        <v>27</v>
      </c>
      <c r="E7" s="20">
        <f>IFERROR(D7/C7*100,"")</f>
        <v>0.1380721043211455</v>
      </c>
      <c r="F7" s="26">
        <v>13253</v>
      </c>
      <c r="G7" s="26">
        <v>5913</v>
      </c>
      <c r="H7" s="26">
        <v>389</v>
      </c>
    </row>
    <row r="8" spans="1:8" x14ac:dyDescent="0.3">
      <c r="A8" s="20" t="s">
        <v>69</v>
      </c>
      <c r="B8" s="20">
        <v>2026</v>
      </c>
      <c r="C8" s="26">
        <v>10643</v>
      </c>
      <c r="D8" s="26">
        <v>3</v>
      </c>
      <c r="E8" s="20">
        <f>IFERROR(D8/C8*100,"")</f>
        <v>2.818754110683078E-2</v>
      </c>
      <c r="F8" s="26">
        <v>8772</v>
      </c>
      <c r="G8" s="26">
        <v>1823</v>
      </c>
      <c r="H8" s="26">
        <v>48</v>
      </c>
    </row>
    <row r="9" spans="1:8" x14ac:dyDescent="0.3">
      <c r="A9" s="20"/>
      <c r="B9" s="20"/>
      <c r="C9" s="26"/>
      <c r="D9" s="26"/>
      <c r="E9" s="20"/>
      <c r="F9" s="20"/>
      <c r="G9" s="20"/>
      <c r="H9" s="20"/>
    </row>
    <row r="10" spans="1:8" x14ac:dyDescent="0.3">
      <c r="A10" s="20"/>
      <c r="B10" s="20"/>
      <c r="C10" s="26"/>
      <c r="D10" s="26"/>
      <c r="E10" s="20"/>
      <c r="F10" s="20"/>
      <c r="G10" s="20"/>
      <c r="H10" s="20"/>
    </row>
    <row r="11" spans="1:8" x14ac:dyDescent="0.3">
      <c r="A11" s="20"/>
      <c r="B11" s="20"/>
      <c r="C11" s="26"/>
      <c r="D11" s="26"/>
      <c r="E11" s="20"/>
      <c r="F11" s="20"/>
      <c r="G11" s="20"/>
      <c r="H11" s="20"/>
    </row>
    <row r="12" spans="1:8" x14ac:dyDescent="0.3">
      <c r="A12" s="20"/>
      <c r="B12" s="20"/>
      <c r="C12" s="26"/>
      <c r="D12" s="26"/>
      <c r="E12" s="20"/>
      <c r="F12" s="20"/>
      <c r="G12" s="20"/>
      <c r="H12" s="20"/>
    </row>
    <row r="13" spans="1:8" x14ac:dyDescent="0.3">
      <c r="A13" s="19"/>
      <c r="B13" s="19"/>
      <c r="C13" s="19"/>
      <c r="D13" s="19"/>
      <c r="E13" s="19"/>
      <c r="F13" s="19"/>
      <c r="G13" s="19"/>
      <c r="H13" s="19"/>
    </row>
    <row r="14" spans="1:8" x14ac:dyDescent="0.3">
      <c r="A14" s="21"/>
      <c r="B14" s="21"/>
      <c r="C14" s="21"/>
      <c r="D14" s="21"/>
      <c r="E14" s="20"/>
      <c r="F14" s="21"/>
      <c r="G14" s="21"/>
      <c r="H14" s="21"/>
    </row>
    <row r="15" spans="1:8" x14ac:dyDescent="0.3">
      <c r="A15" s="21"/>
      <c r="B15" s="21"/>
      <c r="C15" s="21"/>
      <c r="D15" s="21"/>
      <c r="E15" s="20"/>
      <c r="F15" s="21"/>
      <c r="G15" s="21"/>
      <c r="H15" s="21"/>
    </row>
    <row r="16" spans="1:8" x14ac:dyDescent="0.3">
      <c r="A16" s="21"/>
      <c r="B16" s="21"/>
      <c r="C16" s="21"/>
      <c r="D16" s="21"/>
      <c r="E16" s="20" t="str">
        <f t="shared" ref="E16:E43" si="0">IFERROR(D16/C16*100,"")</f>
        <v/>
      </c>
      <c r="F16" s="21"/>
      <c r="G16" s="21"/>
      <c r="H16" s="21"/>
    </row>
    <row r="17" spans="1:8" x14ac:dyDescent="0.3">
      <c r="A17" s="21"/>
      <c r="B17" s="21"/>
      <c r="C17" s="21"/>
      <c r="D17" s="21"/>
      <c r="E17" s="20" t="str">
        <f t="shared" si="0"/>
        <v/>
      </c>
      <c r="F17" s="21"/>
      <c r="G17" s="21"/>
      <c r="H17" s="21"/>
    </row>
    <row r="18" spans="1:8" x14ac:dyDescent="0.3">
      <c r="A18" s="21"/>
      <c r="B18" s="21"/>
      <c r="C18" s="21"/>
      <c r="D18" s="21"/>
      <c r="E18" s="20" t="str">
        <f t="shared" si="0"/>
        <v/>
      </c>
      <c r="F18" s="21"/>
      <c r="G18" s="21"/>
      <c r="H18" s="21"/>
    </row>
    <row r="19" spans="1:8" x14ac:dyDescent="0.3">
      <c r="A19" s="21"/>
      <c r="B19" s="21"/>
      <c r="C19" s="21"/>
      <c r="D19" s="21"/>
      <c r="E19" s="20" t="str">
        <f t="shared" si="0"/>
        <v/>
      </c>
      <c r="F19" s="21"/>
      <c r="G19" s="21"/>
      <c r="H19" s="21"/>
    </row>
    <row r="20" spans="1:8" x14ac:dyDescent="0.3">
      <c r="A20" s="21"/>
      <c r="B20" s="21"/>
      <c r="C20" s="21"/>
      <c r="D20" s="21"/>
      <c r="E20" s="20" t="str">
        <f t="shared" si="0"/>
        <v/>
      </c>
      <c r="F20" s="21"/>
      <c r="G20" s="21"/>
      <c r="H20" s="21"/>
    </row>
    <row r="21" spans="1:8" x14ac:dyDescent="0.3">
      <c r="A21" s="21"/>
      <c r="B21" s="21"/>
      <c r="C21" s="21"/>
      <c r="D21" s="21"/>
      <c r="E21" s="20" t="str">
        <f t="shared" si="0"/>
        <v/>
      </c>
      <c r="F21" s="21"/>
      <c r="G21" s="21"/>
      <c r="H21" s="21"/>
    </row>
    <row r="22" spans="1:8" x14ac:dyDescent="0.3">
      <c r="A22" s="21"/>
      <c r="B22" s="21"/>
      <c r="C22" s="21"/>
      <c r="D22" s="21"/>
      <c r="E22" s="20" t="str">
        <f t="shared" si="0"/>
        <v/>
      </c>
      <c r="F22" s="21"/>
      <c r="G22" s="21"/>
      <c r="H22" s="21"/>
    </row>
    <row r="23" spans="1:8" x14ac:dyDescent="0.3">
      <c r="A23" s="21"/>
      <c r="B23" s="21"/>
      <c r="C23" s="21"/>
      <c r="D23" s="21"/>
      <c r="E23" s="20" t="str">
        <f t="shared" si="0"/>
        <v/>
      </c>
      <c r="F23" s="21"/>
      <c r="G23" s="21"/>
      <c r="H23" s="21"/>
    </row>
    <row r="24" spans="1:8" x14ac:dyDescent="0.3">
      <c r="A24" s="21"/>
      <c r="B24" s="21"/>
      <c r="C24" s="21"/>
      <c r="D24" s="21"/>
      <c r="E24" s="20" t="str">
        <f t="shared" si="0"/>
        <v/>
      </c>
      <c r="F24" s="21"/>
      <c r="G24" s="21"/>
      <c r="H24" s="21"/>
    </row>
    <row r="25" spans="1:8" x14ac:dyDescent="0.3">
      <c r="A25" s="21"/>
      <c r="B25" s="21"/>
      <c r="C25" s="21"/>
      <c r="D25" s="21"/>
      <c r="E25" s="20" t="str">
        <f t="shared" si="0"/>
        <v/>
      </c>
      <c r="F25" s="21"/>
      <c r="G25" s="21"/>
      <c r="H25" s="21"/>
    </row>
    <row r="26" spans="1:8" x14ac:dyDescent="0.3">
      <c r="A26" s="21"/>
      <c r="B26" s="21"/>
      <c r="C26" s="21"/>
      <c r="D26" s="21"/>
      <c r="E26" s="20" t="str">
        <f t="shared" si="0"/>
        <v/>
      </c>
      <c r="F26" s="21"/>
      <c r="G26" s="21"/>
      <c r="H26" s="21"/>
    </row>
    <row r="27" spans="1:8" x14ac:dyDescent="0.3">
      <c r="A27" s="21"/>
      <c r="B27" s="21"/>
      <c r="C27" s="21"/>
      <c r="D27" s="21"/>
      <c r="E27" s="20" t="str">
        <f t="shared" si="0"/>
        <v/>
      </c>
      <c r="F27" s="21"/>
      <c r="G27" s="21"/>
      <c r="H27" s="21"/>
    </row>
    <row r="28" spans="1:8" x14ac:dyDescent="0.3">
      <c r="A28" s="21"/>
      <c r="B28" s="21"/>
      <c r="C28" s="21"/>
      <c r="D28" s="21"/>
      <c r="E28" s="20" t="str">
        <f t="shared" si="0"/>
        <v/>
      </c>
      <c r="F28" s="21"/>
      <c r="G28" s="21"/>
      <c r="H28" s="21"/>
    </row>
    <row r="29" spans="1:8" x14ac:dyDescent="0.3">
      <c r="A29" s="21"/>
      <c r="B29" s="21"/>
      <c r="C29" s="21"/>
      <c r="D29" s="21"/>
      <c r="E29" s="20" t="str">
        <f t="shared" si="0"/>
        <v/>
      </c>
      <c r="F29" s="21"/>
      <c r="G29" s="21"/>
      <c r="H29" s="21"/>
    </row>
    <row r="30" spans="1:8" x14ac:dyDescent="0.3">
      <c r="A30" s="21"/>
      <c r="B30" s="21"/>
      <c r="C30" s="21"/>
      <c r="D30" s="21"/>
      <c r="E30" s="20" t="str">
        <f t="shared" si="0"/>
        <v/>
      </c>
      <c r="F30" s="21"/>
      <c r="G30" s="21"/>
      <c r="H30" s="21"/>
    </row>
    <row r="31" spans="1:8" x14ac:dyDescent="0.3">
      <c r="A31" s="21"/>
      <c r="B31" s="21"/>
      <c r="C31" s="21"/>
      <c r="D31" s="21"/>
      <c r="E31" s="20" t="str">
        <f t="shared" si="0"/>
        <v/>
      </c>
      <c r="F31" s="21"/>
      <c r="G31" s="21"/>
      <c r="H31" s="21"/>
    </row>
    <row r="32" spans="1:8" x14ac:dyDescent="0.3">
      <c r="A32" s="21"/>
      <c r="B32" s="21"/>
      <c r="C32" s="21"/>
      <c r="D32" s="21"/>
      <c r="E32" s="20" t="str">
        <f t="shared" si="0"/>
        <v/>
      </c>
      <c r="F32" s="21"/>
      <c r="G32" s="21"/>
      <c r="H32" s="21"/>
    </row>
    <row r="33" spans="1:8" x14ac:dyDescent="0.3">
      <c r="A33" s="21"/>
      <c r="B33" s="21"/>
      <c r="C33" s="21"/>
      <c r="D33" s="21"/>
      <c r="E33" s="20" t="str">
        <f t="shared" si="0"/>
        <v/>
      </c>
      <c r="F33" s="21"/>
      <c r="G33" s="21"/>
      <c r="H33" s="21"/>
    </row>
    <row r="34" spans="1:8" x14ac:dyDescent="0.3">
      <c r="A34" s="21"/>
      <c r="B34" s="21"/>
      <c r="C34" s="21"/>
      <c r="D34" s="21"/>
      <c r="E34" s="20" t="str">
        <f t="shared" si="0"/>
        <v/>
      </c>
      <c r="F34" s="21"/>
      <c r="G34" s="21"/>
      <c r="H34" s="21"/>
    </row>
    <row r="35" spans="1:8" x14ac:dyDescent="0.3">
      <c r="A35" s="21"/>
      <c r="B35" s="21"/>
      <c r="C35" s="21"/>
      <c r="D35" s="21"/>
      <c r="E35" s="20" t="str">
        <f t="shared" si="0"/>
        <v/>
      </c>
      <c r="F35" s="21"/>
      <c r="G35" s="21"/>
      <c r="H35" s="21"/>
    </row>
    <row r="36" spans="1:8" x14ac:dyDescent="0.3">
      <c r="A36" s="21"/>
      <c r="B36" s="21"/>
      <c r="C36" s="21"/>
      <c r="D36" s="21"/>
      <c r="E36" s="20" t="str">
        <f t="shared" si="0"/>
        <v/>
      </c>
      <c r="F36" s="21"/>
      <c r="G36" s="21"/>
      <c r="H36" s="21"/>
    </row>
    <row r="37" spans="1:8" x14ac:dyDescent="0.3">
      <c r="A37" s="21"/>
      <c r="B37" s="21"/>
      <c r="C37" s="21"/>
      <c r="D37" s="21"/>
      <c r="E37" s="20" t="str">
        <f t="shared" si="0"/>
        <v/>
      </c>
      <c r="F37" s="21"/>
      <c r="G37" s="21"/>
      <c r="H37" s="21"/>
    </row>
    <row r="38" spans="1:8" x14ac:dyDescent="0.3">
      <c r="A38" s="21"/>
      <c r="B38" s="21"/>
      <c r="C38" s="21"/>
      <c r="D38" s="21"/>
      <c r="E38" s="20" t="str">
        <f t="shared" si="0"/>
        <v/>
      </c>
      <c r="F38" s="21"/>
      <c r="G38" s="21"/>
      <c r="H38" s="21"/>
    </row>
    <row r="39" spans="1:8" x14ac:dyDescent="0.3">
      <c r="A39" s="21"/>
      <c r="B39" s="21"/>
      <c r="C39" s="21"/>
      <c r="D39" s="21"/>
      <c r="E39" s="20" t="str">
        <f t="shared" si="0"/>
        <v/>
      </c>
      <c r="F39" s="21"/>
      <c r="G39" s="21"/>
      <c r="H39" s="21"/>
    </row>
    <row r="40" spans="1:8" x14ac:dyDescent="0.3">
      <c r="A40" s="21"/>
      <c r="B40" s="21"/>
      <c r="C40" s="21"/>
      <c r="D40" s="21"/>
      <c r="E40" s="20" t="str">
        <f t="shared" si="0"/>
        <v/>
      </c>
      <c r="F40" s="21"/>
      <c r="G40" s="21"/>
      <c r="H40" s="21"/>
    </row>
    <row r="41" spans="1:8" x14ac:dyDescent="0.3">
      <c r="A41" s="21"/>
      <c r="B41" s="21"/>
      <c r="C41" s="21"/>
      <c r="D41" s="21"/>
      <c r="E41" s="20" t="str">
        <f t="shared" si="0"/>
        <v/>
      </c>
      <c r="F41" s="21"/>
      <c r="G41" s="21"/>
      <c r="H41" s="21"/>
    </row>
    <row r="42" spans="1:8" x14ac:dyDescent="0.3">
      <c r="A42" s="21"/>
      <c r="B42" s="21"/>
      <c r="C42" s="21"/>
      <c r="D42" s="21"/>
      <c r="E42" s="20" t="str">
        <f t="shared" si="0"/>
        <v/>
      </c>
      <c r="F42" s="21"/>
      <c r="G42" s="21"/>
      <c r="H42" s="21"/>
    </row>
    <row r="43" spans="1:8" x14ac:dyDescent="0.3">
      <c r="A43" s="21"/>
      <c r="B43" s="21"/>
      <c r="C43" s="21"/>
      <c r="D43" s="21"/>
      <c r="E43" s="20" t="str">
        <f t="shared" si="0"/>
        <v/>
      </c>
      <c r="F43" s="21"/>
      <c r="G43" s="21"/>
      <c r="H43" s="21"/>
    </row>
  </sheetData>
  <autoFilter ref="A4:H43" xr:uid="{00000000-0009-0000-0000-000005000000}">
    <sortState xmlns:xlrd2="http://schemas.microsoft.com/office/spreadsheetml/2017/richdata2" ref="A5:H43">
      <sortCondition descending="1" ref="B4:B43"/>
    </sortState>
  </autoFilter>
  <mergeCells count="1">
    <mergeCell ref="A2:H2"/>
  </mergeCells>
  <dataValidations count="2">
    <dataValidation type="whole" allowBlank="1" showErrorMessage="1" errorTitle="Invalid year" error="Year must be between 2018 and 2035." sqref="B6:B43" xr:uid="{00000000-0002-0000-0500-000000000000}">
      <formula1>2018</formula1>
      <formula2>2035</formula2>
    </dataValidation>
    <dataValidation type="whole" operator="greaterThanOrEqual" allowBlank="1" showErrorMessage="1" errorTitle="Invalid value" error="Must be zero or a positive whole number." sqref="C6:D43 F6:H43" xr:uid="{00000000-0002-0000-0500-000001000000}">
      <formula1>0</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Lookup_Lists</vt:lpstr>
      <vt:lpstr>Population_by_Province_Year</vt:lpstr>
      <vt:lpstr>National_Monthly_Entry</vt:lpstr>
      <vt:lpstr>QA_Checklist</vt:lpstr>
      <vt:lpstr>National_AgeGroup_Entry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Vichka Khy</cp:lastModifiedBy>
  <cp:revision>0</cp:revision>
  <dcterms:created xsi:type="dcterms:W3CDTF">2026-07-27T11:00:58Z</dcterms:created>
  <dcterms:modified xsi:type="dcterms:W3CDTF">2026-08-24T03:42:35Z</dcterms:modified>
  <dc:language>en-US</dc:language>
</cp:coreProperties>
</file>